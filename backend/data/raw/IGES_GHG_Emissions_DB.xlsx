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X:\01. JCM関連事業\データベース\Feb-2024 update\4. GHG Emission Database\"/>
    </mc:Choice>
  </mc:AlternateContent>
  <xr:revisionPtr revIDLastSave="0" documentId="13_ncr:1_{005218A6-5D9D-426B-9698-79330D5BA7B7}" xr6:coauthVersionLast="47" xr6:coauthVersionMax="47" xr10:uidLastSave="{00000000-0000-0000-0000-000000000000}"/>
  <bookViews>
    <workbookView xWindow="-120" yWindow="-120" windowWidth="29040" windowHeight="17520" tabRatio="760" xr2:uid="{00000000-000D-0000-FFFF-FFFF00000000}"/>
  </bookViews>
  <sheets>
    <sheet name="Guidance" sheetId="3" r:id="rId1"/>
    <sheet name="Analytics" sheetId="11" r:id="rId2"/>
    <sheet name="GHG &amp; CO2 EMISSIONS" sheetId="13" r:id="rId3"/>
    <sheet name="Annex-GHG emissions CP1" sheetId="12" r:id="rId4"/>
    <sheet name="Working sheet" sheetId="14" state="hidden" r:id="rId5"/>
  </sheets>
  <definedNames>
    <definedName name="_xlnm._FilterDatabase" localSheetId="3" hidden="1">'Annex-GHG emissions CP1'!$C$2:$AB$2</definedName>
    <definedName name="_xlnm._FilterDatabase" localSheetId="2" hidden="1">'GHG &amp; CO2 EMISSIONS'!$C$2:$AC$2</definedName>
    <definedName name="_xlnm._FilterDatabase" localSheetId="4" hidden="1">'Working sheet'!#REF!</definedName>
    <definedName name="_xlnm.Print_Area" localSheetId="3">'Annex-GHG emissions CP1'!$C$2:$AB$51</definedName>
    <definedName name="_xlnm.Print_Area" localSheetId="2">'GHG &amp; CO2 EMISSIONS'!$D$2:$AC$183</definedName>
    <definedName name="_xlnm.Print_Area" localSheetId="0">Guidance!$A$1:$O$83</definedName>
    <definedName name="_xlnm.Print_Area" localSheetId="4">'Working sheet'!#REF!</definedName>
    <definedName name="_xlnm.Print_Titles" localSheetId="3">'Annex-GHG emissions CP1'!#REF!</definedName>
    <definedName name="_xlnm.Print_Titles" localSheetId="2">'GHG &amp; CO2 EMISSIONS'!#REF!</definedName>
    <definedName name="_xlnm.Print_Titles" localSheetId="4">'Working sheet'!#REF!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107" i="14" l="1"/>
  <c r="AG106" i="14"/>
  <c r="AG105" i="14"/>
  <c r="AG104" i="14"/>
  <c r="AG103" i="14"/>
  <c r="AG102" i="14"/>
  <c r="AG101" i="14"/>
  <c r="AG100" i="14"/>
  <c r="AG99" i="14"/>
  <c r="AG98" i="14"/>
  <c r="AG97" i="14"/>
  <c r="AG96" i="14"/>
  <c r="AG95" i="14"/>
  <c r="AG94" i="14"/>
  <c r="AG93" i="14"/>
  <c r="AG92" i="14"/>
  <c r="AG91" i="14"/>
  <c r="AG87" i="14"/>
  <c r="AG86" i="14"/>
  <c r="AG85" i="14"/>
  <c r="AG84" i="14"/>
  <c r="AG83" i="14"/>
  <c r="AG82" i="14"/>
  <c r="AG81" i="14"/>
  <c r="AG80" i="14"/>
  <c r="AG79" i="14"/>
  <c r="AG78" i="14"/>
  <c r="AG77" i="14"/>
  <c r="AG76" i="14"/>
  <c r="AG75" i="14"/>
  <c r="AG74" i="14"/>
  <c r="AG73" i="14"/>
  <c r="AG72" i="14"/>
  <c r="AG71" i="14"/>
  <c r="AG67" i="14"/>
  <c r="AG66" i="14"/>
  <c r="AG65" i="14"/>
  <c r="AG64" i="14"/>
  <c r="AG63" i="14"/>
  <c r="AG62" i="14"/>
  <c r="AG61" i="14"/>
  <c r="AG60" i="14"/>
  <c r="AG59" i="14"/>
  <c r="AG58" i="14"/>
  <c r="AG57" i="14"/>
  <c r="AG56" i="14"/>
  <c r="AG55" i="14"/>
  <c r="AG54" i="14"/>
  <c r="AG53" i="14"/>
  <c r="AG52" i="14"/>
  <c r="AG51" i="14"/>
  <c r="AG47" i="14"/>
  <c r="AG46" i="14"/>
  <c r="AG45" i="14"/>
  <c r="AG44" i="14"/>
  <c r="AG43" i="14"/>
  <c r="AG42" i="14"/>
  <c r="AG41" i="14"/>
  <c r="AG40" i="14"/>
  <c r="AG39" i="14"/>
  <c r="AG38" i="14"/>
  <c r="AG37" i="14"/>
  <c r="AG36" i="14"/>
  <c r="AG35" i="14"/>
  <c r="AG34" i="14"/>
  <c r="AG33" i="14"/>
  <c r="AG32" i="14"/>
  <c r="AG31" i="14"/>
  <c r="AN56" i="13"/>
  <c r="AN57" i="13"/>
  <c r="AN58" i="13"/>
  <c r="AN55" i="13"/>
  <c r="AS55" i="13"/>
  <c r="AJ185" i="13"/>
  <c r="AJ182" i="13"/>
  <c r="AJ181" i="13"/>
  <c r="AJ180" i="13"/>
  <c r="AJ179" i="13"/>
  <c r="AF31" i="14"/>
  <c r="AH31" i="14"/>
  <c r="AF32" i="14"/>
  <c r="AH32" i="14"/>
  <c r="AF33" i="14"/>
  <c r="AH33" i="14"/>
  <c r="AF34" i="14"/>
  <c r="AH34" i="14"/>
  <c r="AF35" i="14"/>
  <c r="AH35" i="14"/>
  <c r="AF36" i="14"/>
  <c r="AH36" i="14"/>
  <c r="AF37" i="14"/>
  <c r="AH37" i="14"/>
  <c r="AF38" i="14"/>
  <c r="AH38" i="14"/>
  <c r="AF39" i="14"/>
  <c r="AH39" i="14"/>
  <c r="AF40" i="14"/>
  <c r="AH40" i="14"/>
  <c r="AF41" i="14"/>
  <c r="AH41" i="14"/>
  <c r="AF42" i="14"/>
  <c r="AH42" i="14"/>
  <c r="AF43" i="14"/>
  <c r="AH43" i="14"/>
  <c r="AF44" i="14"/>
  <c r="AH44" i="14"/>
  <c r="AF45" i="14"/>
  <c r="AH45" i="14"/>
  <c r="AF46" i="14"/>
  <c r="AH46" i="14"/>
  <c r="AF47" i="14"/>
  <c r="AH47" i="14"/>
  <c r="AF51" i="14"/>
  <c r="AH51" i="14"/>
  <c r="AF52" i="14"/>
  <c r="AH52" i="14"/>
  <c r="AF53" i="14"/>
  <c r="AH53" i="14"/>
  <c r="AF54" i="14"/>
  <c r="AH54" i="14"/>
  <c r="AF55" i="14"/>
  <c r="AH55" i="14"/>
  <c r="AF56" i="14"/>
  <c r="AH56" i="14"/>
  <c r="AF57" i="14"/>
  <c r="AH57" i="14"/>
  <c r="AF58" i="14"/>
  <c r="AH58" i="14"/>
  <c r="AF59" i="14"/>
  <c r="AH59" i="14"/>
  <c r="AF60" i="14"/>
  <c r="AH60" i="14"/>
  <c r="AF61" i="14"/>
  <c r="AH61" i="14"/>
  <c r="AF62" i="14"/>
  <c r="AH62" i="14"/>
  <c r="AF63" i="14"/>
  <c r="AH63" i="14"/>
  <c r="AF64" i="14"/>
  <c r="AH64" i="14"/>
  <c r="AF65" i="14"/>
  <c r="AH65" i="14"/>
  <c r="AF66" i="14"/>
  <c r="AH66" i="14"/>
  <c r="AF67" i="14"/>
  <c r="AH67" i="14"/>
  <c r="AF71" i="14"/>
  <c r="AH71" i="14"/>
  <c r="AF72" i="14"/>
  <c r="AH72" i="14"/>
  <c r="AF73" i="14"/>
  <c r="AH73" i="14"/>
  <c r="AF74" i="14"/>
  <c r="AH74" i="14"/>
  <c r="AF75" i="14"/>
  <c r="AH75" i="14"/>
  <c r="AF76" i="14"/>
  <c r="AH76" i="14"/>
  <c r="AF77" i="14"/>
  <c r="AH77" i="14"/>
  <c r="AF78" i="14"/>
  <c r="AH78" i="14"/>
  <c r="AF79" i="14"/>
  <c r="AH79" i="14"/>
  <c r="AF80" i="14"/>
  <c r="AH80" i="14"/>
  <c r="AF81" i="14"/>
  <c r="AH81" i="14"/>
  <c r="AF82" i="14"/>
  <c r="AH82" i="14"/>
  <c r="AF83" i="14"/>
  <c r="AH83" i="14"/>
  <c r="AF84" i="14"/>
  <c r="AH84" i="14"/>
  <c r="AF85" i="14"/>
  <c r="AH85" i="14"/>
  <c r="AF86" i="14"/>
  <c r="AH86" i="14"/>
  <c r="AF87" i="14"/>
  <c r="AH87" i="14"/>
  <c r="AF91" i="14"/>
  <c r="AH91" i="14"/>
  <c r="AF92" i="14"/>
  <c r="AH92" i="14"/>
  <c r="AF93" i="14"/>
  <c r="AH93" i="14"/>
  <c r="AF94" i="14"/>
  <c r="AH94" i="14"/>
  <c r="AF95" i="14"/>
  <c r="AH95" i="14"/>
  <c r="AF96" i="14"/>
  <c r="AH96" i="14"/>
  <c r="AF97" i="14"/>
  <c r="AH97" i="14"/>
  <c r="AF98" i="14"/>
  <c r="AH98" i="14"/>
  <c r="AF99" i="14"/>
  <c r="AH99" i="14"/>
  <c r="AF100" i="14"/>
  <c r="AH100" i="14"/>
  <c r="AF101" i="14"/>
  <c r="AH101" i="14"/>
  <c r="AF102" i="14"/>
  <c r="AH102" i="14"/>
  <c r="AF103" i="14"/>
  <c r="AH103" i="14"/>
  <c r="AF104" i="14"/>
  <c r="AH104" i="14"/>
  <c r="AF105" i="14"/>
  <c r="AH105" i="14"/>
  <c r="AF106" i="14"/>
  <c r="AH106" i="14"/>
  <c r="AF107" i="14"/>
  <c r="AH107" i="14"/>
  <c r="AK185" i="13" l="1"/>
  <c r="AI182" i="13"/>
  <c r="AI181" i="13"/>
  <c r="AI180" i="13"/>
  <c r="AI179" i="13"/>
  <c r="AS159" i="13" l="1"/>
  <c r="AN163" i="13"/>
  <c r="AN159" i="13"/>
  <c r="AN171" i="13"/>
  <c r="C107" i="14" l="1"/>
  <c r="D107" i="14"/>
  <c r="E107" i="14"/>
  <c r="F107" i="14"/>
  <c r="G107" i="14"/>
  <c r="H107" i="14"/>
  <c r="I107" i="14"/>
  <c r="J107" i="14"/>
  <c r="K107" i="14"/>
  <c r="L107" i="14"/>
  <c r="M107" i="14"/>
  <c r="N107" i="14"/>
  <c r="O107" i="14"/>
  <c r="P107" i="14"/>
  <c r="Q107" i="14"/>
  <c r="R107" i="14"/>
  <c r="S107" i="14"/>
  <c r="T107" i="14"/>
  <c r="U107" i="14"/>
  <c r="V107" i="14"/>
  <c r="W107" i="14"/>
  <c r="X107" i="14"/>
  <c r="Y107" i="14"/>
  <c r="Z107" i="14"/>
  <c r="AA107" i="14"/>
  <c r="AB107" i="14"/>
  <c r="AC107" i="14"/>
  <c r="AD107" i="14"/>
  <c r="AE107" i="14"/>
  <c r="B107" i="14"/>
  <c r="C87" i="14"/>
  <c r="D87" i="14"/>
  <c r="E87" i="14"/>
  <c r="F87" i="14"/>
  <c r="G87" i="14"/>
  <c r="H87" i="14"/>
  <c r="I87" i="14"/>
  <c r="J87" i="14"/>
  <c r="K87" i="14"/>
  <c r="L87" i="14"/>
  <c r="M87" i="14"/>
  <c r="N87" i="14"/>
  <c r="O87" i="14"/>
  <c r="P87" i="14"/>
  <c r="Q87" i="14"/>
  <c r="R87" i="14"/>
  <c r="S87" i="14"/>
  <c r="T87" i="14"/>
  <c r="U87" i="14"/>
  <c r="V87" i="14"/>
  <c r="W87" i="14"/>
  <c r="X87" i="14"/>
  <c r="Y87" i="14"/>
  <c r="Z87" i="14"/>
  <c r="AA87" i="14"/>
  <c r="AB87" i="14"/>
  <c r="AC87" i="14"/>
  <c r="AD87" i="14"/>
  <c r="AE87" i="14"/>
  <c r="B87" i="14"/>
  <c r="C67" i="14"/>
  <c r="D67" i="14"/>
  <c r="E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B67" i="14"/>
  <c r="C47" i="14"/>
  <c r="D47" i="14"/>
  <c r="E47" i="14"/>
  <c r="F47" i="14"/>
  <c r="G47" i="14"/>
  <c r="H47" i="14"/>
  <c r="I47" i="14"/>
  <c r="J47" i="14"/>
  <c r="K47" i="14"/>
  <c r="L47" i="14"/>
  <c r="M47" i="14"/>
  <c r="N47" i="14"/>
  <c r="O47" i="14"/>
  <c r="P47" i="14"/>
  <c r="Q47" i="14"/>
  <c r="R47" i="14"/>
  <c r="S47" i="14"/>
  <c r="T47" i="14"/>
  <c r="U47" i="14"/>
  <c r="V47" i="14"/>
  <c r="W47" i="14"/>
  <c r="X47" i="14"/>
  <c r="Y47" i="14"/>
  <c r="Z47" i="14"/>
  <c r="AA47" i="14"/>
  <c r="AB47" i="14"/>
  <c r="AC47" i="14"/>
  <c r="AD47" i="14"/>
  <c r="AE47" i="14"/>
  <c r="B47" i="14"/>
  <c r="AE91" i="14"/>
  <c r="AE92" i="14"/>
  <c r="AE93" i="14"/>
  <c r="AE94" i="14"/>
  <c r="AE95" i="14"/>
  <c r="AE96" i="14"/>
  <c r="AE97" i="14"/>
  <c r="AE98" i="14"/>
  <c r="AE99" i="14"/>
  <c r="AE100" i="14"/>
  <c r="AE101" i="14"/>
  <c r="AE102" i="14"/>
  <c r="AE103" i="14"/>
  <c r="AE104" i="14"/>
  <c r="AE105" i="14"/>
  <c r="AE106" i="14"/>
  <c r="AE71" i="14"/>
  <c r="AE72" i="14"/>
  <c r="AE73" i="14"/>
  <c r="AE74" i="14"/>
  <c r="AE75" i="14"/>
  <c r="AE76" i="14"/>
  <c r="AE77" i="14"/>
  <c r="AE78" i="14"/>
  <c r="AE79" i="14"/>
  <c r="AE80" i="14"/>
  <c r="AE81" i="14"/>
  <c r="AE82" i="14"/>
  <c r="AE83" i="14"/>
  <c r="AE84" i="14"/>
  <c r="AE85" i="14"/>
  <c r="AE86" i="14"/>
  <c r="AE51" i="14"/>
  <c r="AE52" i="14"/>
  <c r="AE53" i="14"/>
  <c r="AE54" i="14"/>
  <c r="AE55" i="14"/>
  <c r="AE56" i="14"/>
  <c r="AE57" i="14"/>
  <c r="AE58" i="14"/>
  <c r="AE59" i="14"/>
  <c r="AE60" i="14"/>
  <c r="AE61" i="14"/>
  <c r="AE62" i="14"/>
  <c r="AE63" i="14"/>
  <c r="AE64" i="14"/>
  <c r="AE65" i="14"/>
  <c r="AE66" i="14"/>
  <c r="AE31" i="14"/>
  <c r="AE32" i="14"/>
  <c r="AE33" i="14"/>
  <c r="AE34" i="14"/>
  <c r="AE35" i="14"/>
  <c r="AE36" i="14"/>
  <c r="AE37" i="14"/>
  <c r="AE38" i="14"/>
  <c r="AE39" i="14"/>
  <c r="AE40" i="14"/>
  <c r="AE41" i="14"/>
  <c r="AE42" i="14"/>
  <c r="AE43" i="14"/>
  <c r="AE44" i="14"/>
  <c r="AE45" i="14"/>
  <c r="AE46" i="14"/>
  <c r="AH182" i="13" l="1"/>
  <c r="AH181" i="13"/>
  <c r="AH180" i="13"/>
  <c r="AH179" i="13"/>
  <c r="B71" i="14"/>
  <c r="C71" i="14"/>
  <c r="D71" i="14"/>
  <c r="E71" i="14"/>
  <c r="F71" i="14"/>
  <c r="G71" i="14"/>
  <c r="H71" i="14"/>
  <c r="I71" i="14"/>
  <c r="J71" i="14"/>
  <c r="K71" i="14"/>
  <c r="L71" i="14"/>
  <c r="M71" i="14"/>
  <c r="N71" i="14"/>
  <c r="O71" i="14"/>
  <c r="P71" i="14"/>
  <c r="Q71" i="14"/>
  <c r="R71" i="14"/>
  <c r="S71" i="14"/>
  <c r="T71" i="14"/>
  <c r="U71" i="14"/>
  <c r="V71" i="14"/>
  <c r="W71" i="14"/>
  <c r="X71" i="14"/>
  <c r="Y71" i="14"/>
  <c r="Z71" i="14"/>
  <c r="AA71" i="14"/>
  <c r="AB71" i="14"/>
  <c r="AC71" i="14"/>
  <c r="AD71" i="14"/>
  <c r="B72" i="14"/>
  <c r="C72" i="14"/>
  <c r="D72" i="14"/>
  <c r="E72" i="14"/>
  <c r="F72" i="14"/>
  <c r="G72" i="14"/>
  <c r="H72" i="14"/>
  <c r="I72" i="14"/>
  <c r="J72" i="14"/>
  <c r="K72" i="14"/>
  <c r="L72" i="14"/>
  <c r="M72" i="14"/>
  <c r="N72" i="14"/>
  <c r="O72" i="14"/>
  <c r="P72" i="14"/>
  <c r="Q72" i="14"/>
  <c r="R72" i="14"/>
  <c r="S72" i="14"/>
  <c r="T72" i="14"/>
  <c r="U72" i="14"/>
  <c r="V72" i="14"/>
  <c r="W72" i="14"/>
  <c r="X72" i="14"/>
  <c r="Y72" i="14"/>
  <c r="Z72" i="14"/>
  <c r="AA72" i="14"/>
  <c r="AB72" i="14"/>
  <c r="AC72" i="14"/>
  <c r="AD72" i="14"/>
  <c r="B73" i="14"/>
  <c r="C73" i="14"/>
  <c r="D73" i="14"/>
  <c r="E73" i="14"/>
  <c r="F73" i="14"/>
  <c r="G73" i="14"/>
  <c r="H73" i="14"/>
  <c r="I73" i="14"/>
  <c r="J73" i="14"/>
  <c r="K73" i="14"/>
  <c r="L73" i="14"/>
  <c r="M73" i="14"/>
  <c r="N73" i="14"/>
  <c r="O73" i="14"/>
  <c r="P73" i="14"/>
  <c r="Q73" i="14"/>
  <c r="R73" i="14"/>
  <c r="S73" i="14"/>
  <c r="T73" i="14"/>
  <c r="U73" i="14"/>
  <c r="V73" i="14"/>
  <c r="W73" i="14"/>
  <c r="X73" i="14"/>
  <c r="Y73" i="14"/>
  <c r="Z73" i="14"/>
  <c r="AA73" i="14"/>
  <c r="AB73" i="14"/>
  <c r="AC73" i="14"/>
  <c r="AD73" i="14"/>
  <c r="B74" i="14"/>
  <c r="C74" i="14"/>
  <c r="D74" i="14"/>
  <c r="E74" i="14"/>
  <c r="F74" i="14"/>
  <c r="G74" i="14"/>
  <c r="H74" i="14"/>
  <c r="I74" i="14"/>
  <c r="J74" i="14"/>
  <c r="K74" i="14"/>
  <c r="L74" i="14"/>
  <c r="M74" i="14"/>
  <c r="N74" i="14"/>
  <c r="O74" i="14"/>
  <c r="P74" i="14"/>
  <c r="Q74" i="14"/>
  <c r="R74" i="14"/>
  <c r="S74" i="14"/>
  <c r="T74" i="14"/>
  <c r="U74" i="14"/>
  <c r="V74" i="14"/>
  <c r="W74" i="14"/>
  <c r="X74" i="14"/>
  <c r="Y74" i="14"/>
  <c r="Z74" i="14"/>
  <c r="AA74" i="14"/>
  <c r="AB74" i="14"/>
  <c r="AC74" i="14"/>
  <c r="AD74" i="14"/>
  <c r="B75" i="14"/>
  <c r="C75" i="14"/>
  <c r="D75" i="14"/>
  <c r="E75"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B76" i="14"/>
  <c r="C76" i="14"/>
  <c r="D76" i="14"/>
  <c r="E76" i="14"/>
  <c r="F76" i="14"/>
  <c r="G76" i="14"/>
  <c r="H76" i="14"/>
  <c r="I76" i="14"/>
  <c r="J76" i="14"/>
  <c r="K76" i="14"/>
  <c r="L76" i="14"/>
  <c r="M76" i="14"/>
  <c r="N76" i="14"/>
  <c r="O76" i="14"/>
  <c r="P76" i="14"/>
  <c r="Q76" i="14"/>
  <c r="R76" i="14"/>
  <c r="S76" i="14"/>
  <c r="T76" i="14"/>
  <c r="U76" i="14"/>
  <c r="V76" i="14"/>
  <c r="W76" i="14"/>
  <c r="X76" i="14"/>
  <c r="Y76" i="14"/>
  <c r="Z76" i="14"/>
  <c r="AA76" i="14"/>
  <c r="AB76" i="14"/>
  <c r="AC76" i="14"/>
  <c r="AD76" i="14"/>
  <c r="B77" i="14"/>
  <c r="C77" i="14"/>
  <c r="D77" i="14"/>
  <c r="E77"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B78" i="14"/>
  <c r="C78" i="14"/>
  <c r="D78" i="14"/>
  <c r="E78" i="14"/>
  <c r="F78" i="14"/>
  <c r="G78" i="14"/>
  <c r="H78" i="14"/>
  <c r="I78" i="14"/>
  <c r="J78" i="14"/>
  <c r="K78" i="14"/>
  <c r="L78" i="14"/>
  <c r="M78" i="14"/>
  <c r="N78" i="14"/>
  <c r="O78" i="14"/>
  <c r="P78" i="14"/>
  <c r="Q78" i="14"/>
  <c r="R78" i="14"/>
  <c r="S78" i="14"/>
  <c r="T78" i="14"/>
  <c r="U78" i="14"/>
  <c r="V78" i="14"/>
  <c r="W78" i="14"/>
  <c r="X78" i="14"/>
  <c r="Y78" i="14"/>
  <c r="Z78" i="14"/>
  <c r="AA78" i="14"/>
  <c r="AB78" i="14"/>
  <c r="AC78" i="14"/>
  <c r="AD78" i="14"/>
  <c r="B79" i="14"/>
  <c r="C79" i="14"/>
  <c r="D79" i="14"/>
  <c r="E79" i="14"/>
  <c r="F79" i="14"/>
  <c r="G79" i="14"/>
  <c r="H79" i="14"/>
  <c r="I79" i="14"/>
  <c r="J79" i="14"/>
  <c r="K79" i="14"/>
  <c r="L79" i="14"/>
  <c r="M79" i="14"/>
  <c r="N79" i="14"/>
  <c r="O79" i="14"/>
  <c r="P79" i="14"/>
  <c r="Q79" i="14"/>
  <c r="R79" i="14"/>
  <c r="S79" i="14"/>
  <c r="T79" i="14"/>
  <c r="U79" i="14"/>
  <c r="V79" i="14"/>
  <c r="W79" i="14"/>
  <c r="X79" i="14"/>
  <c r="Y79" i="14"/>
  <c r="Z79" i="14"/>
  <c r="AA79" i="14"/>
  <c r="AB79" i="14"/>
  <c r="AC79" i="14"/>
  <c r="AD79" i="14"/>
  <c r="B80" i="14"/>
  <c r="C80" i="14"/>
  <c r="D80" i="14"/>
  <c r="E80" i="14"/>
  <c r="F80" i="14"/>
  <c r="G80" i="14"/>
  <c r="H80" i="14"/>
  <c r="I80" i="14"/>
  <c r="J80" i="14"/>
  <c r="K80" i="14"/>
  <c r="L80" i="14"/>
  <c r="M80" i="14"/>
  <c r="N80" i="14"/>
  <c r="O80" i="14"/>
  <c r="P80" i="14"/>
  <c r="Q80" i="14"/>
  <c r="R80" i="14"/>
  <c r="S80" i="14"/>
  <c r="T80" i="14"/>
  <c r="U80" i="14"/>
  <c r="V80" i="14"/>
  <c r="W80" i="14"/>
  <c r="X80" i="14"/>
  <c r="Y80" i="14"/>
  <c r="Z80" i="14"/>
  <c r="AA80" i="14"/>
  <c r="AB80" i="14"/>
  <c r="AC80" i="14"/>
  <c r="AD80" i="14"/>
  <c r="B81" i="14"/>
  <c r="C81" i="14"/>
  <c r="D81" i="14"/>
  <c r="E81" i="14"/>
  <c r="F81" i="14"/>
  <c r="G81" i="14"/>
  <c r="H81" i="14"/>
  <c r="I81" i="14"/>
  <c r="J81" i="14"/>
  <c r="K81" i="14"/>
  <c r="L81" i="14"/>
  <c r="M81" i="14"/>
  <c r="N81" i="14"/>
  <c r="O81" i="14"/>
  <c r="P81" i="14"/>
  <c r="Q81" i="14"/>
  <c r="R81" i="14"/>
  <c r="S81" i="14"/>
  <c r="T81" i="14"/>
  <c r="U81" i="14"/>
  <c r="V81" i="14"/>
  <c r="W81" i="14"/>
  <c r="X81" i="14"/>
  <c r="Y81" i="14"/>
  <c r="Z81" i="14"/>
  <c r="AA81" i="14"/>
  <c r="AB81" i="14"/>
  <c r="AC81" i="14"/>
  <c r="AD81" i="14"/>
  <c r="B82" i="14"/>
  <c r="C82" i="14"/>
  <c r="D82" i="14"/>
  <c r="E82"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B83" i="14"/>
  <c r="C83" i="14"/>
  <c r="D83" i="14"/>
  <c r="E83" i="14"/>
  <c r="F83" i="14"/>
  <c r="G83" i="14"/>
  <c r="H83" i="14"/>
  <c r="I83" i="14"/>
  <c r="J83" i="14"/>
  <c r="K83" i="14"/>
  <c r="L83" i="14"/>
  <c r="M83" i="14"/>
  <c r="N83" i="14"/>
  <c r="O83" i="14"/>
  <c r="P83" i="14"/>
  <c r="Q83" i="14"/>
  <c r="R83" i="14"/>
  <c r="S83" i="14"/>
  <c r="T83" i="14"/>
  <c r="U83" i="14"/>
  <c r="V83" i="14"/>
  <c r="W83" i="14"/>
  <c r="X83" i="14"/>
  <c r="Y83" i="14"/>
  <c r="Z83" i="14"/>
  <c r="AA83" i="14"/>
  <c r="AB83" i="14"/>
  <c r="AC83" i="14"/>
  <c r="AD83" i="14"/>
  <c r="B84" i="14"/>
  <c r="C84" i="14"/>
  <c r="D84" i="14"/>
  <c r="E84" i="14"/>
  <c r="F84" i="14"/>
  <c r="G84" i="14"/>
  <c r="H84" i="14"/>
  <c r="I84" i="14"/>
  <c r="J84" i="14"/>
  <c r="K84" i="14"/>
  <c r="L84" i="14"/>
  <c r="M84" i="14"/>
  <c r="N84" i="14"/>
  <c r="O84" i="14"/>
  <c r="P84" i="14"/>
  <c r="Q84" i="14"/>
  <c r="R84" i="14"/>
  <c r="S84" i="14"/>
  <c r="T84" i="14"/>
  <c r="U84" i="14"/>
  <c r="V84" i="14"/>
  <c r="W84" i="14"/>
  <c r="X84" i="14"/>
  <c r="Y84" i="14"/>
  <c r="Z84" i="14"/>
  <c r="AA84" i="14"/>
  <c r="AB84" i="14"/>
  <c r="AC84" i="14"/>
  <c r="AD84" i="14"/>
  <c r="B85" i="14"/>
  <c r="C85" i="14"/>
  <c r="D85" i="14"/>
  <c r="E85" i="14"/>
  <c r="F85" i="14"/>
  <c r="G85" i="14"/>
  <c r="H85" i="14"/>
  <c r="I85" i="14"/>
  <c r="J85" i="14"/>
  <c r="K85" i="14"/>
  <c r="L85" i="14"/>
  <c r="M85" i="14"/>
  <c r="N85" i="14"/>
  <c r="O85" i="14"/>
  <c r="P85" i="14"/>
  <c r="Q85" i="14"/>
  <c r="R85" i="14"/>
  <c r="S85" i="14"/>
  <c r="T85" i="14"/>
  <c r="U85" i="14"/>
  <c r="V85" i="14"/>
  <c r="W85" i="14"/>
  <c r="X85" i="14"/>
  <c r="Y85" i="14"/>
  <c r="Z85" i="14"/>
  <c r="AA85" i="14"/>
  <c r="AB85" i="14"/>
  <c r="AC85" i="14"/>
  <c r="AD85" i="14"/>
  <c r="B86" i="14"/>
  <c r="C86" i="14"/>
  <c r="D86" i="14"/>
  <c r="E86" i="14"/>
  <c r="F86" i="14"/>
  <c r="G86" i="14"/>
  <c r="H86" i="14"/>
  <c r="I86" i="14"/>
  <c r="J86" i="14"/>
  <c r="K86" i="14"/>
  <c r="L86" i="14"/>
  <c r="M86" i="14"/>
  <c r="N86" i="14"/>
  <c r="O86" i="14"/>
  <c r="P86" i="14"/>
  <c r="Q86" i="14"/>
  <c r="R86" i="14"/>
  <c r="S86" i="14"/>
  <c r="T86" i="14"/>
  <c r="U86" i="14"/>
  <c r="V86" i="14"/>
  <c r="W86" i="14"/>
  <c r="X86" i="14"/>
  <c r="Y86" i="14"/>
  <c r="Z86" i="14"/>
  <c r="AA86" i="14"/>
  <c r="AB86" i="14"/>
  <c r="AC86" i="14"/>
  <c r="AD86" i="14"/>
  <c r="B91" i="14"/>
  <c r="C91" i="14"/>
  <c r="D91" i="14"/>
  <c r="E91" i="14"/>
  <c r="F91" i="14"/>
  <c r="G91" i="14"/>
  <c r="H91" i="14"/>
  <c r="I91" i="14"/>
  <c r="J91" i="14"/>
  <c r="K91" i="14"/>
  <c r="L91" i="14"/>
  <c r="M91" i="14"/>
  <c r="N91" i="14"/>
  <c r="O91" i="14"/>
  <c r="P91" i="14"/>
  <c r="Q91" i="14"/>
  <c r="R91" i="14"/>
  <c r="S91" i="14"/>
  <c r="T91" i="14"/>
  <c r="U91" i="14"/>
  <c r="V91" i="14"/>
  <c r="W91" i="14"/>
  <c r="X91" i="14"/>
  <c r="Y91" i="14"/>
  <c r="Z91" i="14"/>
  <c r="AA91" i="14"/>
  <c r="AB91" i="14"/>
  <c r="AC91" i="14"/>
  <c r="AD91" i="14"/>
  <c r="B92" i="14"/>
  <c r="C92" i="14"/>
  <c r="D92" i="14"/>
  <c r="E92" i="14"/>
  <c r="F92" i="14"/>
  <c r="G92" i="14"/>
  <c r="H92" i="14"/>
  <c r="I92" i="14"/>
  <c r="J92" i="14"/>
  <c r="K92" i="14"/>
  <c r="L92" i="14"/>
  <c r="M92" i="14"/>
  <c r="N92" i="14"/>
  <c r="O92" i="14"/>
  <c r="P92" i="14"/>
  <c r="Q92" i="14"/>
  <c r="R92" i="14"/>
  <c r="S92" i="14"/>
  <c r="T92" i="14"/>
  <c r="U92" i="14"/>
  <c r="V92" i="14"/>
  <c r="W92" i="14"/>
  <c r="X92" i="14"/>
  <c r="Y92" i="14"/>
  <c r="Z92" i="14"/>
  <c r="AA92" i="14"/>
  <c r="AB92" i="14"/>
  <c r="AC92" i="14"/>
  <c r="AD92" i="14"/>
  <c r="B93" i="14"/>
  <c r="C93" i="14"/>
  <c r="D93" i="14"/>
  <c r="E93" i="14"/>
  <c r="F93" i="14"/>
  <c r="G93" i="14"/>
  <c r="H93" i="14"/>
  <c r="I93" i="14"/>
  <c r="J93" i="14"/>
  <c r="K93" i="14"/>
  <c r="L93" i="14"/>
  <c r="M93" i="14"/>
  <c r="N93" i="14"/>
  <c r="O93" i="14"/>
  <c r="P93" i="14"/>
  <c r="Q93" i="14"/>
  <c r="R93" i="14"/>
  <c r="S93" i="14"/>
  <c r="T93" i="14"/>
  <c r="U93" i="14"/>
  <c r="V93" i="14"/>
  <c r="W93" i="14"/>
  <c r="X93" i="14"/>
  <c r="Y93" i="14"/>
  <c r="Z93" i="14"/>
  <c r="AA93" i="14"/>
  <c r="AB93" i="14"/>
  <c r="AC93" i="14"/>
  <c r="AD93" i="14"/>
  <c r="B94" i="14"/>
  <c r="C94" i="14"/>
  <c r="D94" i="14"/>
  <c r="E94" i="14"/>
  <c r="F94" i="14"/>
  <c r="G94" i="14"/>
  <c r="H94" i="14"/>
  <c r="I94" i="14"/>
  <c r="J94" i="14"/>
  <c r="K94" i="14"/>
  <c r="L94" i="14"/>
  <c r="M94" i="14"/>
  <c r="N94" i="14"/>
  <c r="O94" i="14"/>
  <c r="P94" i="14"/>
  <c r="Q94" i="14"/>
  <c r="R94" i="14"/>
  <c r="S94" i="14"/>
  <c r="T94" i="14"/>
  <c r="U94" i="14"/>
  <c r="V94" i="14"/>
  <c r="W94" i="14"/>
  <c r="X94" i="14"/>
  <c r="Y94" i="14"/>
  <c r="Z94" i="14"/>
  <c r="AA94" i="14"/>
  <c r="AB94" i="14"/>
  <c r="AC94" i="14"/>
  <c r="AD94" i="14"/>
  <c r="B95" i="14"/>
  <c r="C95" i="14"/>
  <c r="D95" i="14"/>
  <c r="E95" i="14"/>
  <c r="F95" i="14"/>
  <c r="G95" i="14"/>
  <c r="H95" i="14"/>
  <c r="I95" i="14"/>
  <c r="J95" i="14"/>
  <c r="K95" i="14"/>
  <c r="L95" i="14"/>
  <c r="M95" i="14"/>
  <c r="N95" i="14"/>
  <c r="O95" i="14"/>
  <c r="P95" i="14"/>
  <c r="Q95" i="14"/>
  <c r="R95" i="14"/>
  <c r="S95" i="14"/>
  <c r="T95" i="14"/>
  <c r="U95" i="14"/>
  <c r="V95" i="14"/>
  <c r="W95" i="14"/>
  <c r="X95" i="14"/>
  <c r="Y95" i="14"/>
  <c r="Z95" i="14"/>
  <c r="AA95" i="14"/>
  <c r="AB95" i="14"/>
  <c r="AC95" i="14"/>
  <c r="AD95" i="14"/>
  <c r="B96" i="14"/>
  <c r="C96" i="14"/>
  <c r="D96" i="14"/>
  <c r="E96" i="14"/>
  <c r="F96" i="14"/>
  <c r="G96" i="14"/>
  <c r="H96" i="14"/>
  <c r="I96" i="14"/>
  <c r="J96" i="14"/>
  <c r="K96" i="14"/>
  <c r="L96" i="14"/>
  <c r="M96" i="14"/>
  <c r="N96" i="14"/>
  <c r="O96" i="14"/>
  <c r="P96" i="14"/>
  <c r="Q96" i="14"/>
  <c r="R96" i="14"/>
  <c r="S96" i="14"/>
  <c r="T96" i="14"/>
  <c r="U96" i="14"/>
  <c r="V96" i="14"/>
  <c r="W96" i="14"/>
  <c r="X96" i="14"/>
  <c r="Y96" i="14"/>
  <c r="Z96" i="14"/>
  <c r="AA96" i="14"/>
  <c r="AB96" i="14"/>
  <c r="AC96" i="14"/>
  <c r="AD96" i="14"/>
  <c r="E179" i="13"/>
  <c r="F3" i="12"/>
  <c r="AN76" i="13" l="1"/>
  <c r="AS115" i="13" l="1"/>
  <c r="AS143" i="13" l="1"/>
  <c r="AS147" i="13"/>
  <c r="AS151" i="13"/>
  <c r="AS163" i="13"/>
  <c r="AS167" i="13"/>
  <c r="AS171" i="13"/>
  <c r="AS175" i="13"/>
  <c r="AN175" i="13" l="1"/>
  <c r="E34" i="12"/>
  <c r="F34" i="12"/>
  <c r="AS155" i="13" l="1"/>
  <c r="AK179" i="13"/>
  <c r="AD106" i="14" l="1"/>
  <c r="AD105" i="14"/>
  <c r="AD104" i="14"/>
  <c r="AD103" i="14"/>
  <c r="AD102" i="14"/>
  <c r="AD101" i="14"/>
  <c r="AD100" i="14"/>
  <c r="AD99" i="14"/>
  <c r="AD98" i="14"/>
  <c r="AD97" i="14"/>
  <c r="AD66" i="14"/>
  <c r="AD65" i="14"/>
  <c r="AD64" i="14"/>
  <c r="AD63" i="14"/>
  <c r="AD62" i="14"/>
  <c r="AD61" i="14"/>
  <c r="AD60" i="14"/>
  <c r="AD59" i="14"/>
  <c r="AD58" i="14"/>
  <c r="AD57" i="14"/>
  <c r="AD56" i="14"/>
  <c r="AD55" i="14"/>
  <c r="AD54" i="14"/>
  <c r="AD53" i="14"/>
  <c r="AD52" i="14"/>
  <c r="AD51" i="14"/>
  <c r="AD46" i="14"/>
  <c r="AD45" i="14"/>
  <c r="AD44" i="14"/>
  <c r="AD43" i="14"/>
  <c r="AD42" i="14"/>
  <c r="AD41" i="14"/>
  <c r="AD40" i="14"/>
  <c r="AD39" i="14"/>
  <c r="AD38" i="14"/>
  <c r="AD37" i="14"/>
  <c r="AD36" i="14"/>
  <c r="AD35" i="14"/>
  <c r="AD34" i="14"/>
  <c r="AD33" i="14"/>
  <c r="AD32" i="14"/>
  <c r="AD31" i="14"/>
  <c r="AS23" i="13" l="1"/>
  <c r="AS27" i="13"/>
  <c r="AS31" i="13"/>
  <c r="AS35" i="13"/>
  <c r="AS39" i="13"/>
  <c r="AS43" i="13"/>
  <c r="AS47" i="13"/>
  <c r="AS51" i="13"/>
  <c r="AS59" i="13"/>
  <c r="AS63" i="13"/>
  <c r="AS67" i="13"/>
  <c r="AS71" i="13"/>
  <c r="AS75" i="13"/>
  <c r="AS79" i="13"/>
  <c r="AS83" i="13"/>
  <c r="AS87" i="13"/>
  <c r="AS91" i="13"/>
  <c r="AS95" i="13"/>
  <c r="AS99" i="13"/>
  <c r="AS103" i="13"/>
  <c r="AS107" i="13"/>
  <c r="AS111" i="13"/>
  <c r="AS119" i="13"/>
  <c r="AS123" i="13"/>
  <c r="AS127" i="13"/>
  <c r="AS131" i="13"/>
  <c r="AS135" i="13"/>
  <c r="AS139" i="13"/>
  <c r="AN165" i="13"/>
  <c r="AN166" i="13"/>
  <c r="AG182" i="13"/>
  <c r="AG181" i="13"/>
  <c r="AG180" i="13"/>
  <c r="AG179" i="13"/>
  <c r="AC31" i="14"/>
  <c r="AC32" i="14"/>
  <c r="AC33" i="14"/>
  <c r="AC34" i="14"/>
  <c r="AC35" i="14"/>
  <c r="AC36" i="14"/>
  <c r="AC37" i="14"/>
  <c r="AC38" i="14"/>
  <c r="AC39" i="14"/>
  <c r="AC40" i="14"/>
  <c r="AC41" i="14"/>
  <c r="AC42" i="14"/>
  <c r="AC43" i="14"/>
  <c r="AC44" i="14"/>
  <c r="AC45" i="14"/>
  <c r="AC46" i="14"/>
  <c r="AC51" i="14"/>
  <c r="AC52" i="14"/>
  <c r="AC53" i="14"/>
  <c r="AC54" i="14"/>
  <c r="AC55" i="14"/>
  <c r="AC56" i="14"/>
  <c r="AC57" i="14"/>
  <c r="AC58" i="14"/>
  <c r="AC59" i="14"/>
  <c r="AC60" i="14"/>
  <c r="AC61" i="14"/>
  <c r="AC62" i="14"/>
  <c r="AC63" i="14"/>
  <c r="AC64" i="14"/>
  <c r="AC65" i="14"/>
  <c r="AC66" i="14"/>
  <c r="AC97" i="14"/>
  <c r="AC98" i="14"/>
  <c r="AC99" i="14"/>
  <c r="AC100" i="14"/>
  <c r="AC101" i="14"/>
  <c r="AC102" i="14"/>
  <c r="AC103" i="14"/>
  <c r="AC104" i="14"/>
  <c r="AC105" i="14"/>
  <c r="AC106" i="14"/>
  <c r="AF182" i="13" l="1"/>
  <c r="AF181" i="13"/>
  <c r="AF180" i="13"/>
  <c r="AF179" i="13"/>
  <c r="AB97" i="14" l="1"/>
  <c r="AB98" i="14"/>
  <c r="AB99" i="14"/>
  <c r="AB100" i="14"/>
  <c r="AB101" i="14"/>
  <c r="AB102" i="14"/>
  <c r="AB103" i="14"/>
  <c r="AB104" i="14"/>
  <c r="AB105" i="14"/>
  <c r="AB106" i="14"/>
  <c r="AA97" i="14"/>
  <c r="AA98" i="14"/>
  <c r="AA99" i="14"/>
  <c r="AA100" i="14"/>
  <c r="AA101" i="14"/>
  <c r="AA102" i="14"/>
  <c r="AA103" i="14"/>
  <c r="AA104" i="14"/>
  <c r="AA105" i="14"/>
  <c r="AA106" i="14"/>
  <c r="AB51" i="14"/>
  <c r="AB52" i="14"/>
  <c r="AB53" i="14"/>
  <c r="AB54" i="14"/>
  <c r="AB55" i="14"/>
  <c r="AB56" i="14"/>
  <c r="AB57" i="14"/>
  <c r="AB58" i="14"/>
  <c r="AB59" i="14"/>
  <c r="AB60" i="14"/>
  <c r="AB61" i="14"/>
  <c r="AB62" i="14"/>
  <c r="AB63" i="14"/>
  <c r="AB64" i="14"/>
  <c r="AB65" i="14"/>
  <c r="AB66" i="14"/>
  <c r="AA51" i="14"/>
  <c r="AA52" i="14"/>
  <c r="AA53" i="14"/>
  <c r="AA54" i="14"/>
  <c r="AA55" i="14"/>
  <c r="AA56" i="14"/>
  <c r="AA57" i="14"/>
  <c r="AA58" i="14"/>
  <c r="AA59" i="14"/>
  <c r="AA60" i="14"/>
  <c r="AA61" i="14"/>
  <c r="AA62" i="14"/>
  <c r="AA63" i="14"/>
  <c r="AA64" i="14"/>
  <c r="AA65" i="14"/>
  <c r="AA66" i="14"/>
  <c r="AB31" i="14"/>
  <c r="AB32" i="14"/>
  <c r="AB33" i="14"/>
  <c r="AB34" i="14"/>
  <c r="AB35" i="14"/>
  <c r="AB36" i="14"/>
  <c r="AB37" i="14"/>
  <c r="AB38" i="14"/>
  <c r="AB39" i="14"/>
  <c r="AB40" i="14"/>
  <c r="AB41" i="14"/>
  <c r="AB42" i="14"/>
  <c r="AB43" i="14"/>
  <c r="AB44" i="14"/>
  <c r="AB45" i="14"/>
  <c r="AB46" i="14"/>
  <c r="AA31" i="14"/>
  <c r="AA32" i="14"/>
  <c r="AA33" i="14"/>
  <c r="AA34" i="14"/>
  <c r="AA35" i="14"/>
  <c r="AA36" i="14"/>
  <c r="AA37" i="14"/>
  <c r="AA38" i="14"/>
  <c r="AA39" i="14"/>
  <c r="AA40" i="14"/>
  <c r="AA41" i="14"/>
  <c r="AA42" i="14"/>
  <c r="AA43" i="14"/>
  <c r="AA44" i="14"/>
  <c r="AA45" i="14"/>
  <c r="AA46" i="14"/>
  <c r="G5" i="12" l="1"/>
  <c r="H5" i="12"/>
  <c r="I5" i="12"/>
  <c r="J5" i="12"/>
  <c r="K5" i="12"/>
  <c r="L5" i="12"/>
  <c r="M5" i="12"/>
  <c r="N5" i="12"/>
  <c r="O5" i="12"/>
  <c r="P5" i="12"/>
  <c r="Q5" i="12"/>
  <c r="R5" i="12"/>
  <c r="S5" i="12"/>
  <c r="T5" i="12"/>
  <c r="U5" i="12"/>
  <c r="V5" i="12"/>
  <c r="W5" i="12"/>
  <c r="X5" i="12"/>
  <c r="Y5" i="12"/>
  <c r="Z5" i="12"/>
  <c r="AA5" i="12"/>
  <c r="AB5" i="12"/>
  <c r="G6" i="12"/>
  <c r="H6" i="12"/>
  <c r="I6" i="12"/>
  <c r="J6" i="12"/>
  <c r="K6" i="12"/>
  <c r="L6" i="12"/>
  <c r="M6" i="12"/>
  <c r="N6" i="12"/>
  <c r="O6" i="12"/>
  <c r="P6" i="12"/>
  <c r="Q6" i="12"/>
  <c r="R6" i="12"/>
  <c r="S6" i="12"/>
  <c r="T6" i="12"/>
  <c r="U6" i="12"/>
  <c r="V6" i="12"/>
  <c r="W6" i="12"/>
  <c r="X6" i="12"/>
  <c r="Y6" i="12"/>
  <c r="Z6" i="12"/>
  <c r="AA6" i="12"/>
  <c r="AB6" i="12"/>
  <c r="G7" i="12"/>
  <c r="H7" i="12"/>
  <c r="I7" i="12"/>
  <c r="J7" i="12"/>
  <c r="K7" i="12"/>
  <c r="L7" i="12"/>
  <c r="M7" i="12"/>
  <c r="N7" i="12"/>
  <c r="O7" i="12"/>
  <c r="P7" i="12"/>
  <c r="Q7" i="12"/>
  <c r="R7" i="12"/>
  <c r="S7" i="12"/>
  <c r="T7" i="12"/>
  <c r="U7" i="12"/>
  <c r="V7" i="12"/>
  <c r="W7" i="12"/>
  <c r="X7" i="12"/>
  <c r="Y7" i="12"/>
  <c r="Z7" i="12"/>
  <c r="AA7" i="12"/>
  <c r="AB7" i="12"/>
  <c r="G8" i="12"/>
  <c r="H8" i="12"/>
  <c r="I8" i="12"/>
  <c r="J8" i="12"/>
  <c r="K8" i="12"/>
  <c r="L8" i="12"/>
  <c r="M8" i="12"/>
  <c r="N8" i="12"/>
  <c r="O8" i="12"/>
  <c r="P8" i="12"/>
  <c r="Q8" i="12"/>
  <c r="R8" i="12"/>
  <c r="S8" i="12"/>
  <c r="T8" i="12"/>
  <c r="U8" i="12"/>
  <c r="V8" i="12"/>
  <c r="W8" i="12"/>
  <c r="X8" i="12"/>
  <c r="Y8" i="12"/>
  <c r="Z8" i="12"/>
  <c r="AA8" i="12"/>
  <c r="AB8" i="12"/>
  <c r="G9" i="12"/>
  <c r="H9" i="12"/>
  <c r="I9" i="12"/>
  <c r="J9" i="12"/>
  <c r="K9" i="12"/>
  <c r="L9" i="12"/>
  <c r="M9" i="12"/>
  <c r="N9" i="12"/>
  <c r="O9" i="12"/>
  <c r="P9" i="12"/>
  <c r="Q9" i="12"/>
  <c r="R9" i="12"/>
  <c r="S9" i="12"/>
  <c r="T9" i="12"/>
  <c r="U9" i="12"/>
  <c r="V9" i="12"/>
  <c r="W9" i="12"/>
  <c r="X9" i="12"/>
  <c r="Y9" i="12"/>
  <c r="Z9" i="12"/>
  <c r="AA9" i="12"/>
  <c r="AB9" i="12"/>
  <c r="G10" i="12"/>
  <c r="H10" i="12"/>
  <c r="I10" i="12"/>
  <c r="J10" i="12"/>
  <c r="K10" i="12"/>
  <c r="L10" i="12"/>
  <c r="M10" i="12"/>
  <c r="N10" i="12"/>
  <c r="O10" i="12"/>
  <c r="P10" i="12"/>
  <c r="Q10" i="12"/>
  <c r="R10" i="12"/>
  <c r="S10" i="12"/>
  <c r="T10" i="12"/>
  <c r="U10" i="12"/>
  <c r="V10" i="12"/>
  <c r="W10" i="12"/>
  <c r="X10" i="12"/>
  <c r="Y10" i="12"/>
  <c r="Z10" i="12"/>
  <c r="AA10" i="12"/>
  <c r="AB10" i="12"/>
  <c r="G11" i="12"/>
  <c r="H11" i="12"/>
  <c r="I11" i="12"/>
  <c r="J11" i="12"/>
  <c r="K11" i="12"/>
  <c r="L11" i="12"/>
  <c r="M11" i="12"/>
  <c r="N11" i="12"/>
  <c r="O11" i="12"/>
  <c r="P11" i="12"/>
  <c r="Q11" i="12"/>
  <c r="R11" i="12"/>
  <c r="S11" i="12"/>
  <c r="T11" i="12"/>
  <c r="U11" i="12"/>
  <c r="V11" i="12"/>
  <c r="W11" i="12"/>
  <c r="X11" i="12"/>
  <c r="Y11" i="12"/>
  <c r="Z11" i="12"/>
  <c r="AA11" i="12"/>
  <c r="AB11" i="12"/>
  <c r="G12" i="12"/>
  <c r="H12" i="12"/>
  <c r="I12" i="12"/>
  <c r="J12" i="12"/>
  <c r="K12" i="12"/>
  <c r="L12" i="12"/>
  <c r="M12" i="12"/>
  <c r="N12" i="12"/>
  <c r="O12" i="12"/>
  <c r="P12" i="12"/>
  <c r="Q12" i="12"/>
  <c r="R12" i="12"/>
  <c r="S12" i="12"/>
  <c r="T12" i="12"/>
  <c r="U12" i="12"/>
  <c r="V12" i="12"/>
  <c r="W12" i="12"/>
  <c r="X12" i="12"/>
  <c r="Y12" i="12"/>
  <c r="Z12" i="12"/>
  <c r="AA12" i="12"/>
  <c r="AB12" i="12"/>
  <c r="G13" i="12"/>
  <c r="H13" i="12"/>
  <c r="I13" i="12"/>
  <c r="J13" i="12"/>
  <c r="K13" i="12"/>
  <c r="L13" i="12"/>
  <c r="M13" i="12"/>
  <c r="N13" i="12"/>
  <c r="O13" i="12"/>
  <c r="P13" i="12"/>
  <c r="Q13" i="12"/>
  <c r="R13" i="12"/>
  <c r="S13" i="12"/>
  <c r="T13" i="12"/>
  <c r="U13" i="12"/>
  <c r="V13" i="12"/>
  <c r="W13" i="12"/>
  <c r="X13" i="12"/>
  <c r="Y13" i="12"/>
  <c r="Z13" i="12"/>
  <c r="AA13" i="12"/>
  <c r="AB13" i="12"/>
  <c r="G14" i="12"/>
  <c r="H14" i="12"/>
  <c r="I14" i="12"/>
  <c r="J14" i="12"/>
  <c r="K14" i="12"/>
  <c r="L14" i="12"/>
  <c r="M14" i="12"/>
  <c r="N14" i="12"/>
  <c r="O14" i="12"/>
  <c r="P14" i="12"/>
  <c r="Q14" i="12"/>
  <c r="R14" i="12"/>
  <c r="S14" i="12"/>
  <c r="T14" i="12"/>
  <c r="U14" i="12"/>
  <c r="V14" i="12"/>
  <c r="W14" i="12"/>
  <c r="X14" i="12"/>
  <c r="Y14" i="12"/>
  <c r="Z14" i="12"/>
  <c r="AA14" i="12"/>
  <c r="AB14" i="12"/>
  <c r="G15" i="12"/>
  <c r="H15" i="12"/>
  <c r="I15" i="12"/>
  <c r="J15" i="12"/>
  <c r="K15" i="12"/>
  <c r="L15" i="12"/>
  <c r="M15" i="12"/>
  <c r="N15" i="12"/>
  <c r="O15" i="12"/>
  <c r="P15" i="12"/>
  <c r="Q15" i="12"/>
  <c r="R15" i="12"/>
  <c r="S15" i="12"/>
  <c r="T15" i="12"/>
  <c r="U15" i="12"/>
  <c r="V15" i="12"/>
  <c r="W15" i="12"/>
  <c r="X15" i="12"/>
  <c r="Y15" i="12"/>
  <c r="Z15" i="12"/>
  <c r="AA15" i="12"/>
  <c r="AB15" i="12"/>
  <c r="G16" i="12"/>
  <c r="H16" i="12"/>
  <c r="I16" i="12"/>
  <c r="J16" i="12"/>
  <c r="K16" i="12"/>
  <c r="L16" i="12"/>
  <c r="M16" i="12"/>
  <c r="N16" i="12"/>
  <c r="O16" i="12"/>
  <c r="P16" i="12"/>
  <c r="Q16" i="12"/>
  <c r="R16" i="12"/>
  <c r="S16" i="12"/>
  <c r="T16" i="12"/>
  <c r="U16" i="12"/>
  <c r="V16" i="12"/>
  <c r="W16" i="12"/>
  <c r="X16" i="12"/>
  <c r="Y16" i="12"/>
  <c r="Z16" i="12"/>
  <c r="AA16" i="12"/>
  <c r="AB16" i="12"/>
  <c r="G17" i="12"/>
  <c r="H17" i="12"/>
  <c r="I17" i="12"/>
  <c r="J17" i="12"/>
  <c r="K17" i="12"/>
  <c r="L17" i="12"/>
  <c r="M17" i="12"/>
  <c r="N17" i="12"/>
  <c r="O17" i="12"/>
  <c r="P17" i="12"/>
  <c r="Q17" i="12"/>
  <c r="R17" i="12"/>
  <c r="S17" i="12"/>
  <c r="T17" i="12"/>
  <c r="U17" i="12"/>
  <c r="V17" i="12"/>
  <c r="W17" i="12"/>
  <c r="X17" i="12"/>
  <c r="Y17" i="12"/>
  <c r="Z17" i="12"/>
  <c r="AA17" i="12"/>
  <c r="AB17" i="12"/>
  <c r="G18" i="12"/>
  <c r="H18" i="12"/>
  <c r="I18" i="12"/>
  <c r="J18" i="12"/>
  <c r="K18" i="12"/>
  <c r="L18" i="12"/>
  <c r="M18" i="12"/>
  <c r="N18" i="12"/>
  <c r="O18" i="12"/>
  <c r="P18" i="12"/>
  <c r="Q18" i="12"/>
  <c r="R18" i="12"/>
  <c r="S18" i="12"/>
  <c r="T18" i="12"/>
  <c r="U18" i="12"/>
  <c r="V18" i="12"/>
  <c r="W18" i="12"/>
  <c r="X18" i="12"/>
  <c r="Y18" i="12"/>
  <c r="Z18" i="12"/>
  <c r="AA18" i="12"/>
  <c r="AB18" i="12"/>
  <c r="G19" i="12"/>
  <c r="H19" i="12"/>
  <c r="I19" i="12"/>
  <c r="J19" i="12"/>
  <c r="K19" i="12"/>
  <c r="L19" i="12"/>
  <c r="M19" i="12"/>
  <c r="N19" i="12"/>
  <c r="O19" i="12"/>
  <c r="P19" i="12"/>
  <c r="Q19" i="12"/>
  <c r="R19" i="12"/>
  <c r="S19" i="12"/>
  <c r="T19" i="12"/>
  <c r="U19" i="12"/>
  <c r="V19" i="12"/>
  <c r="W19" i="12"/>
  <c r="X19" i="12"/>
  <c r="Y19" i="12"/>
  <c r="Z19" i="12"/>
  <c r="AA19" i="12"/>
  <c r="AB19" i="12"/>
  <c r="G20" i="12"/>
  <c r="H20" i="12"/>
  <c r="I20" i="12"/>
  <c r="J20" i="12"/>
  <c r="K20" i="12"/>
  <c r="L20" i="12"/>
  <c r="M20" i="12"/>
  <c r="N20" i="12"/>
  <c r="O20" i="12"/>
  <c r="P20" i="12"/>
  <c r="Q20" i="12"/>
  <c r="R20" i="12"/>
  <c r="S20" i="12"/>
  <c r="T20" i="12"/>
  <c r="U20" i="12"/>
  <c r="V20" i="12"/>
  <c r="W20" i="12"/>
  <c r="X20" i="12"/>
  <c r="Y20" i="12"/>
  <c r="Z20" i="12"/>
  <c r="AA20" i="12"/>
  <c r="AB20" i="12"/>
  <c r="G21" i="12"/>
  <c r="H21" i="12"/>
  <c r="I21" i="12"/>
  <c r="J21" i="12"/>
  <c r="K21" i="12"/>
  <c r="L21" i="12"/>
  <c r="M21" i="12"/>
  <c r="N21" i="12"/>
  <c r="O21" i="12"/>
  <c r="P21" i="12"/>
  <c r="Q21" i="12"/>
  <c r="R21" i="12"/>
  <c r="S21" i="12"/>
  <c r="T21" i="12"/>
  <c r="U21" i="12"/>
  <c r="V21" i="12"/>
  <c r="W21" i="12"/>
  <c r="X21" i="12"/>
  <c r="Y21" i="12"/>
  <c r="Z21" i="12"/>
  <c r="AA21" i="12"/>
  <c r="AB21" i="12"/>
  <c r="G22" i="12"/>
  <c r="H22" i="12"/>
  <c r="I22" i="12"/>
  <c r="J22" i="12"/>
  <c r="K22" i="12"/>
  <c r="L22" i="12"/>
  <c r="M22" i="12"/>
  <c r="N22" i="12"/>
  <c r="O22" i="12"/>
  <c r="P22" i="12"/>
  <c r="Q22" i="12"/>
  <c r="R22" i="12"/>
  <c r="S22" i="12"/>
  <c r="T22" i="12"/>
  <c r="U22" i="12"/>
  <c r="V22" i="12"/>
  <c r="W22" i="12"/>
  <c r="X22" i="12"/>
  <c r="Y22" i="12"/>
  <c r="Z22" i="12"/>
  <c r="AA22" i="12"/>
  <c r="AB22" i="12"/>
  <c r="G23" i="12"/>
  <c r="H23" i="12"/>
  <c r="I23" i="12"/>
  <c r="J23" i="12"/>
  <c r="K23" i="12"/>
  <c r="L23" i="12"/>
  <c r="M23" i="12"/>
  <c r="N23" i="12"/>
  <c r="O23" i="12"/>
  <c r="P23" i="12"/>
  <c r="Q23" i="12"/>
  <c r="R23" i="12"/>
  <c r="S23" i="12"/>
  <c r="T23" i="12"/>
  <c r="U23" i="12"/>
  <c r="V23" i="12"/>
  <c r="W23" i="12"/>
  <c r="X23" i="12"/>
  <c r="Y23" i="12"/>
  <c r="Z23" i="12"/>
  <c r="AA23" i="12"/>
  <c r="AB23" i="12"/>
  <c r="G24" i="12"/>
  <c r="H24" i="12"/>
  <c r="I24" i="12"/>
  <c r="J24" i="12"/>
  <c r="K24" i="12"/>
  <c r="L24" i="12"/>
  <c r="M24" i="12"/>
  <c r="N24" i="12"/>
  <c r="O24" i="12"/>
  <c r="P24" i="12"/>
  <c r="Q24" i="12"/>
  <c r="R24" i="12"/>
  <c r="S24" i="12"/>
  <c r="T24" i="12"/>
  <c r="U24" i="12"/>
  <c r="V24" i="12"/>
  <c r="W24" i="12"/>
  <c r="X24" i="12"/>
  <c r="Y24" i="12"/>
  <c r="Z24" i="12"/>
  <c r="AA24" i="12"/>
  <c r="AB24" i="12"/>
  <c r="G25" i="12"/>
  <c r="H25" i="12"/>
  <c r="I25" i="12"/>
  <c r="J25" i="12"/>
  <c r="K25" i="12"/>
  <c r="L25" i="12"/>
  <c r="M25" i="12"/>
  <c r="N25" i="12"/>
  <c r="O25" i="12"/>
  <c r="P25" i="12"/>
  <c r="Q25" i="12"/>
  <c r="R25" i="12"/>
  <c r="S25" i="12"/>
  <c r="T25" i="12"/>
  <c r="U25" i="12"/>
  <c r="V25" i="12"/>
  <c r="W25" i="12"/>
  <c r="X25" i="12"/>
  <c r="Y25" i="12"/>
  <c r="Z25" i="12"/>
  <c r="AA25" i="12"/>
  <c r="AB25" i="12"/>
  <c r="G26" i="12"/>
  <c r="H26" i="12"/>
  <c r="I26" i="12"/>
  <c r="J26" i="12"/>
  <c r="K26" i="12"/>
  <c r="L26" i="12"/>
  <c r="M26" i="12"/>
  <c r="N26" i="12"/>
  <c r="O26" i="12"/>
  <c r="P26" i="12"/>
  <c r="Q26" i="12"/>
  <c r="R26" i="12"/>
  <c r="S26" i="12"/>
  <c r="T26" i="12"/>
  <c r="U26" i="12"/>
  <c r="V26" i="12"/>
  <c r="W26" i="12"/>
  <c r="X26" i="12"/>
  <c r="Y26" i="12"/>
  <c r="Z26" i="12"/>
  <c r="AA26" i="12"/>
  <c r="AB26" i="12"/>
  <c r="G27" i="12"/>
  <c r="H27" i="12"/>
  <c r="I27" i="12"/>
  <c r="J27" i="12"/>
  <c r="K27" i="12"/>
  <c r="L27" i="12"/>
  <c r="M27" i="12"/>
  <c r="N27" i="12"/>
  <c r="O27" i="12"/>
  <c r="P27" i="12"/>
  <c r="Q27" i="12"/>
  <c r="R27" i="12"/>
  <c r="S27" i="12"/>
  <c r="T27" i="12"/>
  <c r="U27" i="12"/>
  <c r="V27" i="12"/>
  <c r="W27" i="12"/>
  <c r="X27" i="12"/>
  <c r="Y27" i="12"/>
  <c r="Z27" i="12"/>
  <c r="AA27" i="12"/>
  <c r="AB27" i="12"/>
  <c r="G28" i="12"/>
  <c r="H28" i="12"/>
  <c r="I28" i="12"/>
  <c r="J28" i="12"/>
  <c r="K28" i="12"/>
  <c r="L28" i="12"/>
  <c r="M28" i="12"/>
  <c r="N28" i="12"/>
  <c r="O28" i="12"/>
  <c r="P28" i="12"/>
  <c r="Q28" i="12"/>
  <c r="R28" i="12"/>
  <c r="S28" i="12"/>
  <c r="T28" i="12"/>
  <c r="U28" i="12"/>
  <c r="V28" i="12"/>
  <c r="W28" i="12"/>
  <c r="X28" i="12"/>
  <c r="Y28" i="12"/>
  <c r="Z28" i="12"/>
  <c r="AA28" i="12"/>
  <c r="AB28" i="12"/>
  <c r="G29" i="12"/>
  <c r="H29" i="12"/>
  <c r="I29" i="12"/>
  <c r="J29" i="12"/>
  <c r="K29" i="12"/>
  <c r="L29" i="12"/>
  <c r="M29" i="12"/>
  <c r="N29" i="12"/>
  <c r="O29" i="12"/>
  <c r="P29" i="12"/>
  <c r="Q29" i="12"/>
  <c r="R29" i="12"/>
  <c r="S29" i="12"/>
  <c r="T29" i="12"/>
  <c r="U29" i="12"/>
  <c r="V29" i="12"/>
  <c r="W29" i="12"/>
  <c r="X29" i="12"/>
  <c r="Y29" i="12"/>
  <c r="Z29" i="12"/>
  <c r="AA29" i="12"/>
  <c r="AB29" i="12"/>
  <c r="G30" i="12"/>
  <c r="H30" i="12"/>
  <c r="I30" i="12"/>
  <c r="J30" i="12"/>
  <c r="K30" i="12"/>
  <c r="L30" i="12"/>
  <c r="M30" i="12"/>
  <c r="N30" i="12"/>
  <c r="O30" i="12"/>
  <c r="P30" i="12"/>
  <c r="Q30" i="12"/>
  <c r="R30" i="12"/>
  <c r="S30" i="12"/>
  <c r="T30" i="12"/>
  <c r="U30" i="12"/>
  <c r="V30" i="12"/>
  <c r="W30" i="12"/>
  <c r="X30" i="12"/>
  <c r="Y30" i="12"/>
  <c r="Z30" i="12"/>
  <c r="AA30" i="12"/>
  <c r="AB30" i="12"/>
  <c r="G31" i="12"/>
  <c r="H31" i="12"/>
  <c r="I31" i="12"/>
  <c r="J31" i="12"/>
  <c r="K31" i="12"/>
  <c r="L31" i="12"/>
  <c r="M31" i="12"/>
  <c r="N31" i="12"/>
  <c r="O31" i="12"/>
  <c r="P31" i="12"/>
  <c r="Q31" i="12"/>
  <c r="R31" i="12"/>
  <c r="S31" i="12"/>
  <c r="T31" i="12"/>
  <c r="U31" i="12"/>
  <c r="V31" i="12"/>
  <c r="W31" i="12"/>
  <c r="X31" i="12"/>
  <c r="Y31" i="12"/>
  <c r="Z31" i="12"/>
  <c r="AA31" i="12"/>
  <c r="AB31" i="12"/>
  <c r="G32" i="12"/>
  <c r="H32" i="12"/>
  <c r="I32" i="12"/>
  <c r="J32" i="12"/>
  <c r="K32" i="12"/>
  <c r="L32" i="12"/>
  <c r="M32" i="12"/>
  <c r="N32" i="12"/>
  <c r="O32" i="12"/>
  <c r="P32" i="12"/>
  <c r="Q32" i="12"/>
  <c r="R32" i="12"/>
  <c r="S32" i="12"/>
  <c r="T32" i="12"/>
  <c r="U32" i="12"/>
  <c r="V32" i="12"/>
  <c r="W32" i="12"/>
  <c r="X32" i="12"/>
  <c r="Y32" i="12"/>
  <c r="Z32" i="12"/>
  <c r="AA32" i="12"/>
  <c r="AB32" i="12"/>
  <c r="G33" i="12"/>
  <c r="H33" i="12"/>
  <c r="I33" i="12"/>
  <c r="J33" i="12"/>
  <c r="K33" i="12"/>
  <c r="L33" i="12"/>
  <c r="M33" i="12"/>
  <c r="N33" i="12"/>
  <c r="O33" i="12"/>
  <c r="P33" i="12"/>
  <c r="Q33" i="12"/>
  <c r="R33" i="12"/>
  <c r="S33" i="12"/>
  <c r="T33" i="12"/>
  <c r="U33" i="12"/>
  <c r="V33" i="12"/>
  <c r="W33" i="12"/>
  <c r="X33" i="12"/>
  <c r="Y33" i="12"/>
  <c r="Z33" i="12"/>
  <c r="AA33" i="12"/>
  <c r="AB33" i="12"/>
  <c r="G35" i="12"/>
  <c r="H35" i="12"/>
  <c r="I35" i="12"/>
  <c r="J35" i="12"/>
  <c r="K35" i="12"/>
  <c r="L35" i="12"/>
  <c r="M35" i="12"/>
  <c r="N35" i="12"/>
  <c r="O35" i="12"/>
  <c r="P35" i="12"/>
  <c r="Q35" i="12"/>
  <c r="R35" i="12"/>
  <c r="S35" i="12"/>
  <c r="T35" i="12"/>
  <c r="U35" i="12"/>
  <c r="V35" i="12"/>
  <c r="W35" i="12"/>
  <c r="X35" i="12"/>
  <c r="Y35" i="12"/>
  <c r="Z35" i="12"/>
  <c r="AA35" i="12"/>
  <c r="AB35" i="12"/>
  <c r="G36" i="12"/>
  <c r="H36" i="12"/>
  <c r="I36" i="12"/>
  <c r="J36" i="12"/>
  <c r="K36" i="12"/>
  <c r="L36" i="12"/>
  <c r="M36" i="12"/>
  <c r="N36" i="12"/>
  <c r="O36" i="12"/>
  <c r="P36" i="12"/>
  <c r="Q36" i="12"/>
  <c r="R36" i="12"/>
  <c r="S36" i="12"/>
  <c r="T36" i="12"/>
  <c r="U36" i="12"/>
  <c r="V36" i="12"/>
  <c r="W36" i="12"/>
  <c r="X36" i="12"/>
  <c r="Y36" i="12"/>
  <c r="Z36" i="12"/>
  <c r="AA36" i="12"/>
  <c r="AB36" i="12"/>
  <c r="G37" i="12"/>
  <c r="H37" i="12"/>
  <c r="I37" i="12"/>
  <c r="J37" i="12"/>
  <c r="K37" i="12"/>
  <c r="L37" i="12"/>
  <c r="M37" i="12"/>
  <c r="N37" i="12"/>
  <c r="O37" i="12"/>
  <c r="P37" i="12"/>
  <c r="Q37" i="12"/>
  <c r="R37" i="12"/>
  <c r="S37" i="12"/>
  <c r="T37" i="12"/>
  <c r="U37" i="12"/>
  <c r="V37" i="12"/>
  <c r="W37" i="12"/>
  <c r="X37" i="12"/>
  <c r="Y37" i="12"/>
  <c r="Z37" i="12"/>
  <c r="AA37" i="12"/>
  <c r="AB37" i="12"/>
  <c r="G38" i="12"/>
  <c r="H38" i="12"/>
  <c r="I38" i="12"/>
  <c r="J38" i="12"/>
  <c r="K38" i="12"/>
  <c r="L38" i="12"/>
  <c r="M38" i="12"/>
  <c r="N38" i="12"/>
  <c r="O38" i="12"/>
  <c r="P38" i="12"/>
  <c r="Q38" i="12"/>
  <c r="R38" i="12"/>
  <c r="S38" i="12"/>
  <c r="T38" i="12"/>
  <c r="U38" i="12"/>
  <c r="V38" i="12"/>
  <c r="W38" i="12"/>
  <c r="X38" i="12"/>
  <c r="Y38" i="12"/>
  <c r="Z38" i="12"/>
  <c r="AA38" i="12"/>
  <c r="AB38" i="12"/>
  <c r="G39" i="12"/>
  <c r="H39" i="12"/>
  <c r="I39" i="12"/>
  <c r="J39" i="12"/>
  <c r="K39" i="12"/>
  <c r="L39" i="12"/>
  <c r="M39" i="12"/>
  <c r="N39" i="12"/>
  <c r="O39" i="12"/>
  <c r="P39" i="12"/>
  <c r="Q39" i="12"/>
  <c r="R39" i="12"/>
  <c r="S39" i="12"/>
  <c r="T39" i="12"/>
  <c r="U39" i="12"/>
  <c r="V39" i="12"/>
  <c r="W39" i="12"/>
  <c r="X39" i="12"/>
  <c r="Y39" i="12"/>
  <c r="Z39" i="12"/>
  <c r="AA39" i="12"/>
  <c r="AB39" i="12"/>
  <c r="G40" i="12"/>
  <c r="H40" i="12"/>
  <c r="I40" i="12"/>
  <c r="J40" i="12"/>
  <c r="K40" i="12"/>
  <c r="L40" i="12"/>
  <c r="M40" i="12"/>
  <c r="N40" i="12"/>
  <c r="O40" i="12"/>
  <c r="P40" i="12"/>
  <c r="Q40" i="12"/>
  <c r="R40" i="12"/>
  <c r="S40" i="12"/>
  <c r="T40" i="12"/>
  <c r="U40" i="12"/>
  <c r="V40" i="12"/>
  <c r="W40" i="12"/>
  <c r="X40" i="12"/>
  <c r="Y40" i="12"/>
  <c r="Z40" i="12"/>
  <c r="AA40" i="12"/>
  <c r="AB40" i="12"/>
  <c r="G41" i="12"/>
  <c r="H41" i="12"/>
  <c r="I41" i="12"/>
  <c r="J41" i="12"/>
  <c r="K41" i="12"/>
  <c r="L41" i="12"/>
  <c r="M41" i="12"/>
  <c r="N41" i="12"/>
  <c r="O41" i="12"/>
  <c r="P41" i="12"/>
  <c r="Q41" i="12"/>
  <c r="R41" i="12"/>
  <c r="S41" i="12"/>
  <c r="T41" i="12"/>
  <c r="U41" i="12"/>
  <c r="V41" i="12"/>
  <c r="W41" i="12"/>
  <c r="X41" i="12"/>
  <c r="Y41" i="12"/>
  <c r="Z41" i="12"/>
  <c r="AA41" i="12"/>
  <c r="AB41" i="12"/>
  <c r="G42" i="12"/>
  <c r="H42" i="12"/>
  <c r="I42" i="12"/>
  <c r="J42" i="12"/>
  <c r="K42" i="12"/>
  <c r="L42" i="12"/>
  <c r="M42" i="12"/>
  <c r="N42" i="12"/>
  <c r="O42" i="12"/>
  <c r="P42" i="12"/>
  <c r="Q42" i="12"/>
  <c r="R42" i="12"/>
  <c r="S42" i="12"/>
  <c r="T42" i="12"/>
  <c r="U42" i="12"/>
  <c r="V42" i="12"/>
  <c r="W42" i="12"/>
  <c r="X42" i="12"/>
  <c r="Y42" i="12"/>
  <c r="Z42" i="12"/>
  <c r="AA42" i="12"/>
  <c r="AB42" i="12"/>
  <c r="G43" i="12"/>
  <c r="H43" i="12"/>
  <c r="I43" i="12"/>
  <c r="J43" i="12"/>
  <c r="K43" i="12"/>
  <c r="L43" i="12"/>
  <c r="M43" i="12"/>
  <c r="N43" i="12"/>
  <c r="O43" i="12"/>
  <c r="P43" i="12"/>
  <c r="Q43" i="12"/>
  <c r="R43" i="12"/>
  <c r="S43" i="12"/>
  <c r="T43" i="12"/>
  <c r="U43" i="12"/>
  <c r="V43" i="12"/>
  <c r="W43" i="12"/>
  <c r="X43" i="12"/>
  <c r="Y43" i="12"/>
  <c r="Z43" i="12"/>
  <c r="AA43" i="12"/>
  <c r="AB43" i="12"/>
  <c r="G44" i="12"/>
  <c r="H44" i="12"/>
  <c r="I44" i="12"/>
  <c r="J44" i="12"/>
  <c r="K44" i="12"/>
  <c r="L44" i="12"/>
  <c r="M44" i="12"/>
  <c r="N44" i="12"/>
  <c r="O44" i="12"/>
  <c r="P44" i="12"/>
  <c r="Q44" i="12"/>
  <c r="R44" i="12"/>
  <c r="S44" i="12"/>
  <c r="T44" i="12"/>
  <c r="U44" i="12"/>
  <c r="V44" i="12"/>
  <c r="W44" i="12"/>
  <c r="X44" i="12"/>
  <c r="Y44" i="12"/>
  <c r="Z44" i="12"/>
  <c r="AA44" i="12"/>
  <c r="AB44" i="12"/>
  <c r="G45" i="12"/>
  <c r="H45" i="12"/>
  <c r="I45" i="12"/>
  <c r="J45" i="12"/>
  <c r="K45" i="12"/>
  <c r="L45" i="12"/>
  <c r="M45" i="12"/>
  <c r="N45" i="12"/>
  <c r="O45" i="12"/>
  <c r="P45" i="12"/>
  <c r="Q45" i="12"/>
  <c r="R45" i="12"/>
  <c r="S45" i="12"/>
  <c r="T45" i="12"/>
  <c r="U45" i="12"/>
  <c r="V45" i="12"/>
  <c r="W45" i="12"/>
  <c r="X45" i="12"/>
  <c r="Y45" i="12"/>
  <c r="Z45" i="12"/>
  <c r="AA45" i="12"/>
  <c r="AB45" i="12"/>
  <c r="G46" i="12"/>
  <c r="H46" i="12"/>
  <c r="I46" i="12"/>
  <c r="J46" i="12"/>
  <c r="K46" i="12"/>
  <c r="L46" i="12"/>
  <c r="M46" i="12"/>
  <c r="N46" i="12"/>
  <c r="O46" i="12"/>
  <c r="P46" i="12"/>
  <c r="Q46" i="12"/>
  <c r="R46" i="12"/>
  <c r="S46" i="12"/>
  <c r="T46" i="12"/>
  <c r="U46" i="12"/>
  <c r="V46" i="12"/>
  <c r="W46" i="12"/>
  <c r="X46" i="12"/>
  <c r="Y46" i="12"/>
  <c r="Z46" i="12"/>
  <c r="AA46" i="12"/>
  <c r="AB46" i="12"/>
  <c r="F46" i="12"/>
  <c r="F45" i="12"/>
  <c r="F44" i="12"/>
  <c r="F43" i="12"/>
  <c r="F42" i="12"/>
  <c r="F41" i="12"/>
  <c r="F40" i="12"/>
  <c r="F39" i="12"/>
  <c r="F38" i="12"/>
  <c r="F37" i="12"/>
  <c r="F36" i="12"/>
  <c r="F35"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G34" i="12"/>
  <c r="H34" i="12"/>
  <c r="I34" i="12"/>
  <c r="J34" i="12"/>
  <c r="K34" i="12"/>
  <c r="L34" i="12"/>
  <c r="M34" i="12"/>
  <c r="N34" i="12"/>
  <c r="O34" i="12"/>
  <c r="P34" i="12"/>
  <c r="Q34" i="12"/>
  <c r="R34" i="12"/>
  <c r="S34" i="12"/>
  <c r="T34" i="12"/>
  <c r="U34" i="12"/>
  <c r="V34" i="12"/>
  <c r="W34" i="12"/>
  <c r="X34" i="12"/>
  <c r="Y34" i="12"/>
  <c r="Z34" i="12"/>
  <c r="AA34" i="12"/>
  <c r="AB34" i="12"/>
  <c r="G4" i="12"/>
  <c r="H4" i="12"/>
  <c r="I4" i="12"/>
  <c r="J4" i="12"/>
  <c r="K4" i="12"/>
  <c r="L4" i="12"/>
  <c r="M4" i="12"/>
  <c r="N4" i="12"/>
  <c r="O4" i="12"/>
  <c r="P4" i="12"/>
  <c r="Q4" i="12"/>
  <c r="R4" i="12"/>
  <c r="S4" i="12"/>
  <c r="T4" i="12"/>
  <c r="U4" i="12"/>
  <c r="V4" i="12"/>
  <c r="W4" i="12"/>
  <c r="X4" i="12"/>
  <c r="Y4" i="12"/>
  <c r="Z4" i="12"/>
  <c r="AA4" i="12"/>
  <c r="AB4" i="12"/>
  <c r="F4" i="12"/>
  <c r="K3" i="12"/>
  <c r="L3" i="12"/>
  <c r="M3" i="12"/>
  <c r="N3" i="12"/>
  <c r="O3" i="12"/>
  <c r="P3" i="12"/>
  <c r="Q3" i="12"/>
  <c r="R3" i="12"/>
  <c r="S3" i="12"/>
  <c r="T3" i="12"/>
  <c r="U3" i="12"/>
  <c r="V3" i="12"/>
  <c r="W3" i="12"/>
  <c r="X3" i="12"/>
  <c r="Y3" i="12"/>
  <c r="Z3" i="12"/>
  <c r="AA3" i="12"/>
  <c r="AB3" i="12"/>
  <c r="J3" i="12"/>
  <c r="I3" i="12"/>
  <c r="G3" i="12"/>
  <c r="H3" i="12"/>
  <c r="AN67" i="13"/>
  <c r="AN68" i="13"/>
  <c r="AN125" i="13"/>
  <c r="AN126" i="13"/>
  <c r="AN49" i="13"/>
  <c r="AN50" i="13"/>
  <c r="AN45" i="13"/>
  <c r="AN46" i="13"/>
  <c r="AN23" i="13"/>
  <c r="AN24" i="13"/>
  <c r="AN13" i="13"/>
  <c r="AN14" i="13"/>
  <c r="F179" i="13" l="1"/>
  <c r="G179" i="13"/>
  <c r="H179" i="13"/>
  <c r="I179" i="13"/>
  <c r="J179" i="13"/>
  <c r="K179" i="13"/>
  <c r="L179" i="13"/>
  <c r="M179" i="13"/>
  <c r="N179" i="13"/>
  <c r="O179" i="13"/>
  <c r="P179" i="13"/>
  <c r="Q179" i="13"/>
  <c r="R179" i="13"/>
  <c r="S179" i="13"/>
  <c r="T179" i="13"/>
  <c r="U179" i="13"/>
  <c r="V179" i="13"/>
  <c r="W179" i="13"/>
  <c r="X179" i="13"/>
  <c r="Y179" i="13"/>
  <c r="Z179" i="13"/>
  <c r="AA179" i="13"/>
  <c r="AB179" i="13"/>
  <c r="AC179" i="13"/>
  <c r="AD179" i="13"/>
  <c r="F180" i="13"/>
  <c r="G180" i="13"/>
  <c r="H180" i="13"/>
  <c r="I180" i="13"/>
  <c r="J180" i="13"/>
  <c r="K180" i="13"/>
  <c r="L180" i="13"/>
  <c r="M180" i="13"/>
  <c r="N180" i="13"/>
  <c r="O180" i="13"/>
  <c r="P180" i="13"/>
  <c r="Q180" i="13"/>
  <c r="R180" i="13"/>
  <c r="S180" i="13"/>
  <c r="T180" i="13"/>
  <c r="U180" i="13"/>
  <c r="V180" i="13"/>
  <c r="W180" i="13"/>
  <c r="X180" i="13"/>
  <c r="Y180" i="13"/>
  <c r="Z180" i="13"/>
  <c r="AA180" i="13"/>
  <c r="AB180" i="13"/>
  <c r="AC180" i="13"/>
  <c r="AD180" i="13"/>
  <c r="AK180" i="13"/>
  <c r="F181" i="13"/>
  <c r="G181" i="13"/>
  <c r="H181" i="13"/>
  <c r="I181" i="13"/>
  <c r="J181" i="13"/>
  <c r="K181" i="13"/>
  <c r="L181" i="13"/>
  <c r="M181" i="13"/>
  <c r="N181" i="13"/>
  <c r="O181" i="13"/>
  <c r="P181" i="13"/>
  <c r="Q181" i="13"/>
  <c r="R181" i="13"/>
  <c r="S181" i="13"/>
  <c r="T181" i="13"/>
  <c r="U181" i="13"/>
  <c r="V181" i="13"/>
  <c r="W181" i="13"/>
  <c r="X181" i="13"/>
  <c r="Y181" i="13"/>
  <c r="Z181" i="13"/>
  <c r="AA181" i="13"/>
  <c r="AB181" i="13"/>
  <c r="AC181" i="13"/>
  <c r="AD181" i="13"/>
  <c r="AK181" i="13"/>
  <c r="F182" i="13"/>
  <c r="G182" i="13"/>
  <c r="H182" i="13"/>
  <c r="I182" i="13"/>
  <c r="J182" i="13"/>
  <c r="K182" i="13"/>
  <c r="L182" i="13"/>
  <c r="M182" i="13"/>
  <c r="N182" i="13"/>
  <c r="O182" i="13"/>
  <c r="P182" i="13"/>
  <c r="Q182" i="13"/>
  <c r="R182" i="13"/>
  <c r="S182" i="13"/>
  <c r="T182" i="13"/>
  <c r="U182" i="13"/>
  <c r="V182" i="13"/>
  <c r="W182" i="13"/>
  <c r="X182" i="13"/>
  <c r="Y182" i="13"/>
  <c r="Z182" i="13"/>
  <c r="AA182" i="13"/>
  <c r="AB182" i="13"/>
  <c r="AC182" i="13"/>
  <c r="AD182" i="13"/>
  <c r="AK182" i="13"/>
  <c r="E182" i="13"/>
  <c r="E181" i="13"/>
  <c r="E180" i="13"/>
  <c r="C105" i="14" l="1"/>
  <c r="D105" i="14"/>
  <c r="E105" i="14"/>
  <c r="F105" i="14"/>
  <c r="G105" i="14"/>
  <c r="H105" i="14"/>
  <c r="I105" i="14"/>
  <c r="J105" i="14"/>
  <c r="K105" i="14"/>
  <c r="L105" i="14"/>
  <c r="M105" i="14"/>
  <c r="N105" i="14"/>
  <c r="O105" i="14"/>
  <c r="P105" i="14"/>
  <c r="Q105" i="14"/>
  <c r="R105" i="14"/>
  <c r="S105" i="14"/>
  <c r="T105" i="14"/>
  <c r="U105" i="14"/>
  <c r="V105" i="14"/>
  <c r="W105" i="14"/>
  <c r="X105" i="14"/>
  <c r="Y105" i="14"/>
  <c r="Z105" i="14"/>
  <c r="C101" i="14"/>
  <c r="D101" i="14"/>
  <c r="E101" i="14"/>
  <c r="F101" i="14"/>
  <c r="G101" i="14"/>
  <c r="H101" i="14"/>
  <c r="I101" i="14"/>
  <c r="J101" i="14"/>
  <c r="K101" i="14"/>
  <c r="L101" i="14"/>
  <c r="M101" i="14"/>
  <c r="N101" i="14"/>
  <c r="O101" i="14"/>
  <c r="P101" i="14"/>
  <c r="Q101" i="14"/>
  <c r="R101" i="14"/>
  <c r="S101" i="14"/>
  <c r="T101" i="14"/>
  <c r="U101" i="14"/>
  <c r="V101" i="14"/>
  <c r="W101" i="14"/>
  <c r="X101" i="14"/>
  <c r="Y101" i="14"/>
  <c r="Z101" i="14"/>
  <c r="C99" i="14"/>
  <c r="D99" i="14"/>
  <c r="E99" i="14"/>
  <c r="F99" i="14"/>
  <c r="G99" i="14"/>
  <c r="H99" i="14"/>
  <c r="I99" i="14"/>
  <c r="J99" i="14"/>
  <c r="K99" i="14"/>
  <c r="L99" i="14"/>
  <c r="M99" i="14"/>
  <c r="N99" i="14"/>
  <c r="O99" i="14"/>
  <c r="P99" i="14"/>
  <c r="Q99" i="14"/>
  <c r="R99" i="14"/>
  <c r="S99" i="14"/>
  <c r="T99" i="14"/>
  <c r="U99" i="14"/>
  <c r="V99" i="14"/>
  <c r="W99" i="14"/>
  <c r="X99" i="14"/>
  <c r="Y99" i="14"/>
  <c r="Z99" i="14"/>
  <c r="C97" i="14"/>
  <c r="D97" i="14"/>
  <c r="E97" i="14"/>
  <c r="F97" i="14"/>
  <c r="G97" i="14"/>
  <c r="H97" i="14"/>
  <c r="I97" i="14"/>
  <c r="J97" i="14"/>
  <c r="K97" i="14"/>
  <c r="L97" i="14"/>
  <c r="M97" i="14"/>
  <c r="N97" i="14"/>
  <c r="O97" i="14"/>
  <c r="P97" i="14"/>
  <c r="Q97" i="14"/>
  <c r="R97" i="14"/>
  <c r="S97" i="14"/>
  <c r="T97" i="14"/>
  <c r="U97" i="14"/>
  <c r="V97" i="14"/>
  <c r="W97" i="14"/>
  <c r="X97" i="14"/>
  <c r="Y97" i="14"/>
  <c r="Z97" i="14"/>
  <c r="C100" i="14"/>
  <c r="D100" i="14"/>
  <c r="E100" i="14"/>
  <c r="F100" i="14"/>
  <c r="G100" i="14"/>
  <c r="H100" i="14"/>
  <c r="I100" i="14"/>
  <c r="J100" i="14"/>
  <c r="K100" i="14"/>
  <c r="L100" i="14"/>
  <c r="M100" i="14"/>
  <c r="N100" i="14"/>
  <c r="O100" i="14"/>
  <c r="P100" i="14"/>
  <c r="Q100" i="14"/>
  <c r="R100" i="14"/>
  <c r="S100" i="14"/>
  <c r="T100" i="14"/>
  <c r="U100" i="14"/>
  <c r="V100" i="14"/>
  <c r="W100" i="14"/>
  <c r="X100" i="14"/>
  <c r="Y100" i="14"/>
  <c r="Z100" i="14"/>
  <c r="C98" i="14"/>
  <c r="D98" i="14"/>
  <c r="E98" i="14"/>
  <c r="F98" i="14"/>
  <c r="G98" i="14"/>
  <c r="H98" i="14"/>
  <c r="I98" i="14"/>
  <c r="J98" i="14"/>
  <c r="K98" i="14"/>
  <c r="L98" i="14"/>
  <c r="M98" i="14"/>
  <c r="N98" i="14"/>
  <c r="O98" i="14"/>
  <c r="P98" i="14"/>
  <c r="Q98" i="14"/>
  <c r="R98" i="14"/>
  <c r="S98" i="14"/>
  <c r="T98" i="14"/>
  <c r="U98" i="14"/>
  <c r="V98" i="14"/>
  <c r="W98" i="14"/>
  <c r="X98" i="14"/>
  <c r="Y98" i="14"/>
  <c r="Z98" i="14"/>
  <c r="C103" i="14"/>
  <c r="D103" i="14"/>
  <c r="E103" i="14"/>
  <c r="F103" i="14"/>
  <c r="G103" i="14"/>
  <c r="H103" i="14"/>
  <c r="I103" i="14"/>
  <c r="J103" i="14"/>
  <c r="K103" i="14"/>
  <c r="L103" i="14"/>
  <c r="M103" i="14"/>
  <c r="N103" i="14"/>
  <c r="O103" i="14"/>
  <c r="P103" i="14"/>
  <c r="Q103" i="14"/>
  <c r="R103" i="14"/>
  <c r="S103" i="14"/>
  <c r="T103" i="14"/>
  <c r="U103" i="14"/>
  <c r="V103" i="14"/>
  <c r="W103" i="14"/>
  <c r="X103" i="14"/>
  <c r="Y103" i="14"/>
  <c r="Z103" i="14"/>
  <c r="C104" i="14"/>
  <c r="D104" i="14"/>
  <c r="E104" i="14"/>
  <c r="F104" i="14"/>
  <c r="G104" i="14"/>
  <c r="H104" i="14"/>
  <c r="I104" i="14"/>
  <c r="J104" i="14"/>
  <c r="K104" i="14"/>
  <c r="L104" i="14"/>
  <c r="M104" i="14"/>
  <c r="N104" i="14"/>
  <c r="O104" i="14"/>
  <c r="P104" i="14"/>
  <c r="Q104" i="14"/>
  <c r="R104" i="14"/>
  <c r="S104" i="14"/>
  <c r="T104" i="14"/>
  <c r="U104" i="14"/>
  <c r="V104" i="14"/>
  <c r="W104" i="14"/>
  <c r="X104" i="14"/>
  <c r="Y104" i="14"/>
  <c r="Z104" i="14"/>
  <c r="C102" i="14"/>
  <c r="D102" i="14"/>
  <c r="E102" i="14"/>
  <c r="F102" i="14"/>
  <c r="G102" i="14"/>
  <c r="H102" i="14"/>
  <c r="I102" i="14"/>
  <c r="J102" i="14"/>
  <c r="K102" i="14"/>
  <c r="L102" i="14"/>
  <c r="M102" i="14"/>
  <c r="N102" i="14"/>
  <c r="O102" i="14"/>
  <c r="P102" i="14"/>
  <c r="Q102" i="14"/>
  <c r="R102" i="14"/>
  <c r="S102" i="14"/>
  <c r="T102" i="14"/>
  <c r="U102" i="14"/>
  <c r="V102" i="14"/>
  <c r="W102" i="14"/>
  <c r="X102" i="14"/>
  <c r="Y102" i="14"/>
  <c r="Z102" i="14"/>
  <c r="C106" i="14"/>
  <c r="D106" i="14"/>
  <c r="E106" i="14"/>
  <c r="F106" i="14"/>
  <c r="G106" i="14"/>
  <c r="H106" i="14"/>
  <c r="I106" i="14"/>
  <c r="J106" i="14"/>
  <c r="K106" i="14"/>
  <c r="L106" i="14"/>
  <c r="M106" i="14"/>
  <c r="N106" i="14"/>
  <c r="O106" i="14"/>
  <c r="P106" i="14"/>
  <c r="Q106" i="14"/>
  <c r="R106" i="14"/>
  <c r="S106" i="14"/>
  <c r="T106" i="14"/>
  <c r="U106" i="14"/>
  <c r="V106" i="14"/>
  <c r="W106" i="14"/>
  <c r="X106" i="14"/>
  <c r="Y106" i="14"/>
  <c r="Z106" i="14"/>
  <c r="B106" i="14"/>
  <c r="B102" i="14"/>
  <c r="B104" i="14"/>
  <c r="B103" i="14"/>
  <c r="B98" i="14"/>
  <c r="B100" i="14"/>
  <c r="B97" i="14"/>
  <c r="B99" i="14"/>
  <c r="B101" i="14"/>
  <c r="B105" i="14"/>
  <c r="C65" i="14"/>
  <c r="D65" i="14"/>
  <c r="E65" i="14"/>
  <c r="F65" i="14"/>
  <c r="G65" i="14"/>
  <c r="H65" i="14"/>
  <c r="I65" i="14"/>
  <c r="J65" i="14"/>
  <c r="K65" i="14"/>
  <c r="L65" i="14"/>
  <c r="M65" i="14"/>
  <c r="N65" i="14"/>
  <c r="O65" i="14"/>
  <c r="P65" i="14"/>
  <c r="Q65" i="14"/>
  <c r="R65" i="14"/>
  <c r="S65" i="14"/>
  <c r="T65" i="14"/>
  <c r="U65" i="14"/>
  <c r="V65" i="14"/>
  <c r="W65" i="14"/>
  <c r="X65" i="14"/>
  <c r="Y65" i="14"/>
  <c r="Z65" i="14"/>
  <c r="C61" i="14"/>
  <c r="D61" i="14"/>
  <c r="E61" i="14"/>
  <c r="F61" i="14"/>
  <c r="G61" i="14"/>
  <c r="H61" i="14"/>
  <c r="I61" i="14"/>
  <c r="J61" i="14"/>
  <c r="K61" i="14"/>
  <c r="L61" i="14"/>
  <c r="M61" i="14"/>
  <c r="N61" i="14"/>
  <c r="O61" i="14"/>
  <c r="P61" i="14"/>
  <c r="Q61" i="14"/>
  <c r="R61" i="14"/>
  <c r="S61" i="14"/>
  <c r="T61" i="14"/>
  <c r="U61" i="14"/>
  <c r="V61" i="14"/>
  <c r="W61" i="14"/>
  <c r="X61" i="14"/>
  <c r="Y61" i="14"/>
  <c r="Z61" i="14"/>
  <c r="C57" i="14"/>
  <c r="D57" i="14"/>
  <c r="E57" i="14"/>
  <c r="F57" i="14"/>
  <c r="G57" i="14"/>
  <c r="H57" i="14"/>
  <c r="I57" i="14"/>
  <c r="J57" i="14"/>
  <c r="K57" i="14"/>
  <c r="L57" i="14"/>
  <c r="M57" i="14"/>
  <c r="N57" i="14"/>
  <c r="O57" i="14"/>
  <c r="P57" i="14"/>
  <c r="Q57" i="14"/>
  <c r="R57" i="14"/>
  <c r="S57" i="14"/>
  <c r="T57" i="14"/>
  <c r="U57" i="14"/>
  <c r="V57" i="14"/>
  <c r="W57" i="14"/>
  <c r="X57" i="14"/>
  <c r="Y57" i="14"/>
  <c r="Z57" i="14"/>
  <c r="C53" i="14"/>
  <c r="D53" i="14"/>
  <c r="E53" i="14"/>
  <c r="F53" i="14"/>
  <c r="G53" i="14"/>
  <c r="H53" i="14"/>
  <c r="I53" i="14"/>
  <c r="J53" i="14"/>
  <c r="K53" i="14"/>
  <c r="L53" i="14"/>
  <c r="M53" i="14"/>
  <c r="N53" i="14"/>
  <c r="O53" i="14"/>
  <c r="P53" i="14"/>
  <c r="Q53" i="14"/>
  <c r="R53" i="14"/>
  <c r="S53" i="14"/>
  <c r="T53" i="14"/>
  <c r="U53" i="14"/>
  <c r="V53" i="14"/>
  <c r="W53" i="14"/>
  <c r="X53" i="14"/>
  <c r="Y53" i="14"/>
  <c r="Z53" i="14"/>
  <c r="C59" i="14"/>
  <c r="D59" i="14"/>
  <c r="E59" i="14"/>
  <c r="F59" i="14"/>
  <c r="G59" i="14"/>
  <c r="H59" i="14"/>
  <c r="I59" i="14"/>
  <c r="J59" i="14"/>
  <c r="K59" i="14"/>
  <c r="L59" i="14"/>
  <c r="M59" i="14"/>
  <c r="N59" i="14"/>
  <c r="O59" i="14"/>
  <c r="P59" i="14"/>
  <c r="Q59" i="14"/>
  <c r="R59" i="14"/>
  <c r="S59" i="14"/>
  <c r="T59" i="14"/>
  <c r="U59" i="14"/>
  <c r="V59" i="14"/>
  <c r="W59" i="14"/>
  <c r="X59" i="14"/>
  <c r="Y59" i="14"/>
  <c r="Z59" i="14"/>
  <c r="C52" i="14"/>
  <c r="D52" i="14"/>
  <c r="E52" i="14"/>
  <c r="F52" i="14"/>
  <c r="G52" i="14"/>
  <c r="H52" i="14"/>
  <c r="I52" i="14"/>
  <c r="J52" i="14"/>
  <c r="K52" i="14"/>
  <c r="L52" i="14"/>
  <c r="M52" i="14"/>
  <c r="N52" i="14"/>
  <c r="O52" i="14"/>
  <c r="P52" i="14"/>
  <c r="Q52" i="14"/>
  <c r="R52" i="14"/>
  <c r="S52" i="14"/>
  <c r="T52" i="14"/>
  <c r="U52" i="14"/>
  <c r="V52" i="14"/>
  <c r="W52" i="14"/>
  <c r="X52" i="14"/>
  <c r="Y52" i="14"/>
  <c r="Z52" i="14"/>
  <c r="C51" i="14"/>
  <c r="D51" i="14"/>
  <c r="E51" i="14"/>
  <c r="F51" i="14"/>
  <c r="G51" i="14"/>
  <c r="H51" i="14"/>
  <c r="I51" i="14"/>
  <c r="J51" i="14"/>
  <c r="K51" i="14"/>
  <c r="L51" i="14"/>
  <c r="M51" i="14"/>
  <c r="N51" i="14"/>
  <c r="O51" i="14"/>
  <c r="P51" i="14"/>
  <c r="Q51" i="14"/>
  <c r="R51" i="14"/>
  <c r="S51" i="14"/>
  <c r="T51" i="14"/>
  <c r="U51" i="14"/>
  <c r="V51" i="14"/>
  <c r="W51" i="14"/>
  <c r="X51" i="14"/>
  <c r="Y51" i="14"/>
  <c r="Z51" i="14"/>
  <c r="C54" i="14"/>
  <c r="D54" i="14"/>
  <c r="E54" i="14"/>
  <c r="F54" i="14"/>
  <c r="G54" i="14"/>
  <c r="H54" i="14"/>
  <c r="I54" i="14"/>
  <c r="J54" i="14"/>
  <c r="K54" i="14"/>
  <c r="L54" i="14"/>
  <c r="M54" i="14"/>
  <c r="N54" i="14"/>
  <c r="O54" i="14"/>
  <c r="P54" i="14"/>
  <c r="Q54" i="14"/>
  <c r="R54" i="14"/>
  <c r="S54" i="14"/>
  <c r="T54" i="14"/>
  <c r="U54" i="14"/>
  <c r="V54" i="14"/>
  <c r="W54" i="14"/>
  <c r="X54" i="14"/>
  <c r="Y54" i="14"/>
  <c r="Z54" i="14"/>
  <c r="C55" i="14"/>
  <c r="D55" i="14"/>
  <c r="E55" i="14"/>
  <c r="F55" i="14"/>
  <c r="G55" i="14"/>
  <c r="H55" i="14"/>
  <c r="I55" i="14"/>
  <c r="J55" i="14"/>
  <c r="K55" i="14"/>
  <c r="L55" i="14"/>
  <c r="M55" i="14"/>
  <c r="N55" i="14"/>
  <c r="O55" i="14"/>
  <c r="P55" i="14"/>
  <c r="Q55" i="14"/>
  <c r="R55" i="14"/>
  <c r="S55" i="14"/>
  <c r="T55" i="14"/>
  <c r="U55" i="14"/>
  <c r="V55" i="14"/>
  <c r="W55" i="14"/>
  <c r="X55" i="14"/>
  <c r="Y55" i="14"/>
  <c r="Z55" i="14"/>
  <c r="C60" i="14"/>
  <c r="D60" i="14"/>
  <c r="E60" i="14"/>
  <c r="F60" i="14"/>
  <c r="G60" i="14"/>
  <c r="H60" i="14"/>
  <c r="I60" i="14"/>
  <c r="J60" i="14"/>
  <c r="K60" i="14"/>
  <c r="L60" i="14"/>
  <c r="M60" i="14"/>
  <c r="N60" i="14"/>
  <c r="O60" i="14"/>
  <c r="P60" i="14"/>
  <c r="Q60" i="14"/>
  <c r="R60" i="14"/>
  <c r="S60" i="14"/>
  <c r="T60" i="14"/>
  <c r="U60" i="14"/>
  <c r="V60" i="14"/>
  <c r="W60" i="14"/>
  <c r="X60" i="14"/>
  <c r="Y60" i="14"/>
  <c r="Z60" i="14"/>
  <c r="C58" i="14"/>
  <c r="D58" i="14"/>
  <c r="E58" i="14"/>
  <c r="F58" i="14"/>
  <c r="G58" i="14"/>
  <c r="H58" i="14"/>
  <c r="I58" i="14"/>
  <c r="J58" i="14"/>
  <c r="K58" i="14"/>
  <c r="L58" i="14"/>
  <c r="M58" i="14"/>
  <c r="N58" i="14"/>
  <c r="O58" i="14"/>
  <c r="P58" i="14"/>
  <c r="Q58" i="14"/>
  <c r="R58" i="14"/>
  <c r="S58" i="14"/>
  <c r="T58" i="14"/>
  <c r="U58" i="14"/>
  <c r="V58" i="14"/>
  <c r="W58" i="14"/>
  <c r="X58" i="14"/>
  <c r="Y58" i="14"/>
  <c r="Z58" i="14"/>
  <c r="C63" i="14"/>
  <c r="D63" i="14"/>
  <c r="E63" i="14"/>
  <c r="F63" i="14"/>
  <c r="G63" i="14"/>
  <c r="H63" i="14"/>
  <c r="I63" i="14"/>
  <c r="J63" i="14"/>
  <c r="K63" i="14"/>
  <c r="L63" i="14"/>
  <c r="M63" i="14"/>
  <c r="N63" i="14"/>
  <c r="O63" i="14"/>
  <c r="P63" i="14"/>
  <c r="Q63" i="14"/>
  <c r="R63" i="14"/>
  <c r="S63" i="14"/>
  <c r="T63" i="14"/>
  <c r="U63" i="14"/>
  <c r="V63" i="14"/>
  <c r="W63" i="14"/>
  <c r="X63" i="14"/>
  <c r="Y63" i="14"/>
  <c r="Z63" i="14"/>
  <c r="C56" i="14"/>
  <c r="D56" i="14"/>
  <c r="E56" i="14"/>
  <c r="F56" i="14"/>
  <c r="G56" i="14"/>
  <c r="H56" i="14"/>
  <c r="I56" i="14"/>
  <c r="J56" i="14"/>
  <c r="K56" i="14"/>
  <c r="L56" i="14"/>
  <c r="M56" i="14"/>
  <c r="N56" i="14"/>
  <c r="O56" i="14"/>
  <c r="P56" i="14"/>
  <c r="Q56" i="14"/>
  <c r="R56" i="14"/>
  <c r="S56" i="14"/>
  <c r="T56" i="14"/>
  <c r="U56" i="14"/>
  <c r="V56" i="14"/>
  <c r="W56" i="14"/>
  <c r="X56" i="14"/>
  <c r="Y56" i="14"/>
  <c r="Z56" i="14"/>
  <c r="C64" i="14"/>
  <c r="D64" i="14"/>
  <c r="E64" i="14"/>
  <c r="F64" i="14"/>
  <c r="G64" i="14"/>
  <c r="H64" i="14"/>
  <c r="I64" i="14"/>
  <c r="J64" i="14"/>
  <c r="K64" i="14"/>
  <c r="L64" i="14"/>
  <c r="M64" i="14"/>
  <c r="N64" i="14"/>
  <c r="O64" i="14"/>
  <c r="P64" i="14"/>
  <c r="Q64" i="14"/>
  <c r="R64" i="14"/>
  <c r="S64" i="14"/>
  <c r="T64" i="14"/>
  <c r="U64" i="14"/>
  <c r="V64" i="14"/>
  <c r="W64" i="14"/>
  <c r="X64" i="14"/>
  <c r="Y64" i="14"/>
  <c r="Z64" i="14"/>
  <c r="C62" i="14"/>
  <c r="D62" i="14"/>
  <c r="E62" i="14"/>
  <c r="F62" i="14"/>
  <c r="G62" i="14"/>
  <c r="H62" i="14"/>
  <c r="I62" i="14"/>
  <c r="J62" i="14"/>
  <c r="K62" i="14"/>
  <c r="L62" i="14"/>
  <c r="M62" i="14"/>
  <c r="N62" i="14"/>
  <c r="O62" i="14"/>
  <c r="P62" i="14"/>
  <c r="Q62" i="14"/>
  <c r="R62" i="14"/>
  <c r="S62" i="14"/>
  <c r="T62" i="14"/>
  <c r="U62" i="14"/>
  <c r="V62" i="14"/>
  <c r="W62" i="14"/>
  <c r="X62" i="14"/>
  <c r="Y62" i="14"/>
  <c r="Z62" i="14"/>
  <c r="C66" i="14"/>
  <c r="D66" i="14"/>
  <c r="E66" i="14"/>
  <c r="F66" i="14"/>
  <c r="G66" i="14"/>
  <c r="H66" i="14"/>
  <c r="I66" i="14"/>
  <c r="J66" i="14"/>
  <c r="K66" i="14"/>
  <c r="L66" i="14"/>
  <c r="M66" i="14"/>
  <c r="N66" i="14"/>
  <c r="O66" i="14"/>
  <c r="P66" i="14"/>
  <c r="Q66" i="14"/>
  <c r="R66" i="14"/>
  <c r="S66" i="14"/>
  <c r="T66" i="14"/>
  <c r="U66" i="14"/>
  <c r="V66" i="14"/>
  <c r="W66" i="14"/>
  <c r="X66" i="14"/>
  <c r="Y66" i="14"/>
  <c r="Z66" i="14"/>
  <c r="B66" i="14"/>
  <c r="B62" i="14"/>
  <c r="B64" i="14"/>
  <c r="B56" i="14"/>
  <c r="B63" i="14"/>
  <c r="B58" i="14"/>
  <c r="B60" i="14"/>
  <c r="B55" i="14"/>
  <c r="B54" i="14"/>
  <c r="B51" i="14"/>
  <c r="B52" i="14"/>
  <c r="B59" i="14"/>
  <c r="B53" i="14"/>
  <c r="B57" i="14"/>
  <c r="B61" i="14"/>
  <c r="B65" i="14"/>
  <c r="C41" i="14"/>
  <c r="D41" i="14"/>
  <c r="E41" i="14"/>
  <c r="F41" i="14"/>
  <c r="G41" i="14"/>
  <c r="H41" i="14"/>
  <c r="I41" i="14"/>
  <c r="J41" i="14"/>
  <c r="K41" i="14"/>
  <c r="L41" i="14"/>
  <c r="M41" i="14"/>
  <c r="N41" i="14"/>
  <c r="O41" i="14"/>
  <c r="P41" i="14"/>
  <c r="Q41" i="14"/>
  <c r="R41" i="14"/>
  <c r="S41" i="14"/>
  <c r="T41" i="14"/>
  <c r="U41" i="14"/>
  <c r="V41" i="14"/>
  <c r="W41" i="14"/>
  <c r="X41" i="14"/>
  <c r="Y41" i="14"/>
  <c r="Z41" i="14"/>
  <c r="C37" i="14"/>
  <c r="D37" i="14"/>
  <c r="E37" i="14"/>
  <c r="F37" i="14"/>
  <c r="G37" i="14"/>
  <c r="H37" i="14"/>
  <c r="I37" i="14"/>
  <c r="J37" i="14"/>
  <c r="K37" i="14"/>
  <c r="L37" i="14"/>
  <c r="M37" i="14"/>
  <c r="N37" i="14"/>
  <c r="O37" i="14"/>
  <c r="P37" i="14"/>
  <c r="Q37" i="14"/>
  <c r="R37" i="14"/>
  <c r="S37" i="14"/>
  <c r="T37" i="14"/>
  <c r="U37" i="14"/>
  <c r="V37" i="14"/>
  <c r="W37" i="14"/>
  <c r="X37" i="14"/>
  <c r="Y37" i="14"/>
  <c r="Z37" i="14"/>
  <c r="C33" i="14"/>
  <c r="D33" i="14"/>
  <c r="E33" i="14"/>
  <c r="F33" i="14"/>
  <c r="G33" i="14"/>
  <c r="H33" i="14"/>
  <c r="I33" i="14"/>
  <c r="J33" i="14"/>
  <c r="K33" i="14"/>
  <c r="L33" i="14"/>
  <c r="M33" i="14"/>
  <c r="N33" i="14"/>
  <c r="O33" i="14"/>
  <c r="P33" i="14"/>
  <c r="Q33" i="14"/>
  <c r="R33" i="14"/>
  <c r="S33" i="14"/>
  <c r="T33" i="14"/>
  <c r="U33" i="14"/>
  <c r="V33" i="14"/>
  <c r="W33" i="14"/>
  <c r="X33" i="14"/>
  <c r="Y33" i="14"/>
  <c r="Z33" i="14"/>
  <c r="C39" i="14"/>
  <c r="D39" i="14"/>
  <c r="E39" i="14"/>
  <c r="F39" i="14"/>
  <c r="G39" i="14"/>
  <c r="H39" i="14"/>
  <c r="I39" i="14"/>
  <c r="J39" i="14"/>
  <c r="K39" i="14"/>
  <c r="L39" i="14"/>
  <c r="M39" i="14"/>
  <c r="N39" i="14"/>
  <c r="O39" i="14"/>
  <c r="P39" i="14"/>
  <c r="Q39" i="14"/>
  <c r="R39" i="14"/>
  <c r="S39" i="14"/>
  <c r="T39" i="14"/>
  <c r="U39" i="14"/>
  <c r="V39" i="14"/>
  <c r="W39" i="14"/>
  <c r="X39" i="14"/>
  <c r="Y39" i="14"/>
  <c r="Z39" i="14"/>
  <c r="C32" i="14"/>
  <c r="D32" i="14"/>
  <c r="E32" i="14"/>
  <c r="F32" i="14"/>
  <c r="G32" i="14"/>
  <c r="H32" i="14"/>
  <c r="I32" i="14"/>
  <c r="J32" i="14"/>
  <c r="K32" i="14"/>
  <c r="L32" i="14"/>
  <c r="M32" i="14"/>
  <c r="N32" i="14"/>
  <c r="O32" i="14"/>
  <c r="P32" i="14"/>
  <c r="Q32" i="14"/>
  <c r="R32" i="14"/>
  <c r="S32" i="14"/>
  <c r="T32" i="14"/>
  <c r="U32" i="14"/>
  <c r="V32" i="14"/>
  <c r="W32" i="14"/>
  <c r="X32" i="14"/>
  <c r="Y32" i="14"/>
  <c r="Z32" i="14"/>
  <c r="C31" i="14"/>
  <c r="D31" i="14"/>
  <c r="E31" i="14"/>
  <c r="F31" i="14"/>
  <c r="G31" i="14"/>
  <c r="H31" i="14"/>
  <c r="I31" i="14"/>
  <c r="J31" i="14"/>
  <c r="K31" i="14"/>
  <c r="L31" i="14"/>
  <c r="M31" i="14"/>
  <c r="N31" i="14"/>
  <c r="O31" i="14"/>
  <c r="P31" i="14"/>
  <c r="Q31" i="14"/>
  <c r="R31" i="14"/>
  <c r="S31" i="14"/>
  <c r="T31" i="14"/>
  <c r="U31" i="14"/>
  <c r="V31" i="14"/>
  <c r="W31" i="14"/>
  <c r="X31" i="14"/>
  <c r="Y31" i="14"/>
  <c r="Z31" i="14"/>
  <c r="C35" i="14"/>
  <c r="D35" i="14"/>
  <c r="E35" i="14"/>
  <c r="F35" i="14"/>
  <c r="G35" i="14"/>
  <c r="H35" i="14"/>
  <c r="I35" i="14"/>
  <c r="J35" i="14"/>
  <c r="K35" i="14"/>
  <c r="L35" i="14"/>
  <c r="M35" i="14"/>
  <c r="N35" i="14"/>
  <c r="O35" i="14"/>
  <c r="P35" i="14"/>
  <c r="Q35" i="14"/>
  <c r="R35" i="14"/>
  <c r="S35" i="14"/>
  <c r="T35" i="14"/>
  <c r="U35" i="14"/>
  <c r="V35" i="14"/>
  <c r="W35" i="14"/>
  <c r="X35" i="14"/>
  <c r="Y35" i="14"/>
  <c r="Z35" i="14"/>
  <c r="C34" i="14"/>
  <c r="D34" i="14"/>
  <c r="E34" i="14"/>
  <c r="F34" i="14"/>
  <c r="G34" i="14"/>
  <c r="H34" i="14"/>
  <c r="I34" i="14"/>
  <c r="J34" i="14"/>
  <c r="K34" i="14"/>
  <c r="L34" i="14"/>
  <c r="M34" i="14"/>
  <c r="N34" i="14"/>
  <c r="O34" i="14"/>
  <c r="P34" i="14"/>
  <c r="Q34" i="14"/>
  <c r="R34" i="14"/>
  <c r="S34" i="14"/>
  <c r="T34" i="14"/>
  <c r="U34" i="14"/>
  <c r="V34" i="14"/>
  <c r="W34" i="14"/>
  <c r="X34" i="14"/>
  <c r="Y34" i="14"/>
  <c r="Z34" i="14"/>
  <c r="C40" i="14"/>
  <c r="D40" i="14"/>
  <c r="E40" i="14"/>
  <c r="F40" i="14"/>
  <c r="G40" i="14"/>
  <c r="H40" i="14"/>
  <c r="I40" i="14"/>
  <c r="J40" i="14"/>
  <c r="K40" i="14"/>
  <c r="L40" i="14"/>
  <c r="M40" i="14"/>
  <c r="N40" i="14"/>
  <c r="O40" i="14"/>
  <c r="P40" i="14"/>
  <c r="Q40" i="14"/>
  <c r="R40" i="14"/>
  <c r="S40" i="14"/>
  <c r="T40" i="14"/>
  <c r="U40" i="14"/>
  <c r="V40" i="14"/>
  <c r="W40" i="14"/>
  <c r="X40" i="14"/>
  <c r="Y40" i="14"/>
  <c r="Z40" i="14"/>
  <c r="C38" i="14"/>
  <c r="D38" i="14"/>
  <c r="E38" i="14"/>
  <c r="F38" i="14"/>
  <c r="G38" i="14"/>
  <c r="H38" i="14"/>
  <c r="I38" i="14"/>
  <c r="J38" i="14"/>
  <c r="K38" i="14"/>
  <c r="L38" i="14"/>
  <c r="M38" i="14"/>
  <c r="N38" i="14"/>
  <c r="O38" i="14"/>
  <c r="P38" i="14"/>
  <c r="Q38" i="14"/>
  <c r="R38" i="14"/>
  <c r="S38" i="14"/>
  <c r="T38" i="14"/>
  <c r="U38" i="14"/>
  <c r="V38" i="14"/>
  <c r="W38" i="14"/>
  <c r="X38" i="14"/>
  <c r="Y38" i="14"/>
  <c r="Z38" i="14"/>
  <c r="C43" i="14"/>
  <c r="D43" i="14"/>
  <c r="E43" i="14"/>
  <c r="F43" i="14"/>
  <c r="G43" i="14"/>
  <c r="H43" i="14"/>
  <c r="I43" i="14"/>
  <c r="J43" i="14"/>
  <c r="K43" i="14"/>
  <c r="L43" i="14"/>
  <c r="M43" i="14"/>
  <c r="N43" i="14"/>
  <c r="O43" i="14"/>
  <c r="P43" i="14"/>
  <c r="Q43" i="14"/>
  <c r="R43" i="14"/>
  <c r="S43" i="14"/>
  <c r="T43" i="14"/>
  <c r="U43" i="14"/>
  <c r="V43" i="14"/>
  <c r="W43" i="14"/>
  <c r="X43" i="14"/>
  <c r="Y43" i="14"/>
  <c r="Z43" i="14"/>
  <c r="C36" i="14"/>
  <c r="D36" i="14"/>
  <c r="E36" i="14"/>
  <c r="F36" i="14"/>
  <c r="G36" i="14"/>
  <c r="H36" i="14"/>
  <c r="I36" i="14"/>
  <c r="J36" i="14"/>
  <c r="K36" i="14"/>
  <c r="L36" i="14"/>
  <c r="M36" i="14"/>
  <c r="N36" i="14"/>
  <c r="O36" i="14"/>
  <c r="P36" i="14"/>
  <c r="Q36" i="14"/>
  <c r="R36" i="14"/>
  <c r="S36" i="14"/>
  <c r="T36" i="14"/>
  <c r="U36" i="14"/>
  <c r="V36" i="14"/>
  <c r="W36" i="14"/>
  <c r="X36" i="14"/>
  <c r="Y36" i="14"/>
  <c r="Z36" i="14"/>
  <c r="C44" i="14"/>
  <c r="D44" i="14"/>
  <c r="E44" i="14"/>
  <c r="F44" i="14"/>
  <c r="G44" i="14"/>
  <c r="H44" i="14"/>
  <c r="I44" i="14"/>
  <c r="J44" i="14"/>
  <c r="K44" i="14"/>
  <c r="L44" i="14"/>
  <c r="M44" i="14"/>
  <c r="N44" i="14"/>
  <c r="O44" i="14"/>
  <c r="P44" i="14"/>
  <c r="Q44" i="14"/>
  <c r="R44" i="14"/>
  <c r="S44" i="14"/>
  <c r="T44" i="14"/>
  <c r="U44" i="14"/>
  <c r="V44" i="14"/>
  <c r="W44" i="14"/>
  <c r="X44" i="14"/>
  <c r="Y44" i="14"/>
  <c r="Z44" i="14"/>
  <c r="C42" i="14"/>
  <c r="D42" i="14"/>
  <c r="E42" i="14"/>
  <c r="F42" i="14"/>
  <c r="G42" i="14"/>
  <c r="H42" i="14"/>
  <c r="I42" i="14"/>
  <c r="J42" i="14"/>
  <c r="K42" i="14"/>
  <c r="L42" i="14"/>
  <c r="M42" i="14"/>
  <c r="N42" i="14"/>
  <c r="O42" i="14"/>
  <c r="P42" i="14"/>
  <c r="Q42" i="14"/>
  <c r="R42" i="14"/>
  <c r="S42" i="14"/>
  <c r="T42" i="14"/>
  <c r="U42" i="14"/>
  <c r="V42" i="14"/>
  <c r="W42" i="14"/>
  <c r="X42" i="14"/>
  <c r="Y42" i="14"/>
  <c r="Z42" i="14"/>
  <c r="C46" i="14"/>
  <c r="D46" i="14"/>
  <c r="E46" i="14"/>
  <c r="F46" i="14"/>
  <c r="G46" i="14"/>
  <c r="H46" i="14"/>
  <c r="I46" i="14"/>
  <c r="J46" i="14"/>
  <c r="K46" i="14"/>
  <c r="L46" i="14"/>
  <c r="M46" i="14"/>
  <c r="N46" i="14"/>
  <c r="O46" i="14"/>
  <c r="P46" i="14"/>
  <c r="Q46" i="14"/>
  <c r="R46" i="14"/>
  <c r="S46" i="14"/>
  <c r="T46" i="14"/>
  <c r="U46" i="14"/>
  <c r="V46" i="14"/>
  <c r="W46" i="14"/>
  <c r="X46" i="14"/>
  <c r="Y46" i="14"/>
  <c r="Z46" i="14"/>
  <c r="B46" i="14"/>
  <c r="B42" i="14"/>
  <c r="B44" i="14"/>
  <c r="B36" i="14"/>
  <c r="B43" i="14"/>
  <c r="B38" i="14"/>
  <c r="B40" i="14"/>
  <c r="B34" i="14"/>
  <c r="B35" i="14"/>
  <c r="B31" i="14"/>
  <c r="B32" i="14"/>
  <c r="B39" i="14"/>
  <c r="B33" i="14"/>
  <c r="B37" i="14"/>
  <c r="B41" i="14"/>
  <c r="K45" i="14"/>
  <c r="L45" i="14"/>
  <c r="M45" i="14"/>
  <c r="N45" i="14"/>
  <c r="O45" i="14"/>
  <c r="P45" i="14"/>
  <c r="Q45" i="14"/>
  <c r="R45" i="14"/>
  <c r="S45" i="14"/>
  <c r="T45" i="14"/>
  <c r="U45" i="14"/>
  <c r="V45" i="14"/>
  <c r="W45" i="14"/>
  <c r="X45" i="14"/>
  <c r="Y45" i="14"/>
  <c r="Z45" i="14"/>
  <c r="D45" i="14"/>
  <c r="E45" i="14"/>
  <c r="F45" i="14"/>
  <c r="G45" i="14"/>
  <c r="H45" i="14"/>
  <c r="I45" i="14"/>
  <c r="J45" i="14"/>
  <c r="C45" i="14"/>
  <c r="B45" i="14"/>
  <c r="B19" i="14" l="1"/>
  <c r="E43" i="12" l="1"/>
  <c r="E42" i="12"/>
  <c r="E41" i="12"/>
  <c r="E40" i="12"/>
  <c r="E39" i="12"/>
  <c r="E38" i="12"/>
  <c r="E37" i="12"/>
  <c r="E36" i="12"/>
  <c r="E35" i="12"/>
  <c r="E33" i="12"/>
  <c r="E32" i="12"/>
  <c r="E31" i="12"/>
  <c r="E30" i="12"/>
  <c r="E29" i="12"/>
  <c r="E28" i="12"/>
  <c r="E27" i="12"/>
  <c r="E26" i="12"/>
  <c r="E25" i="12"/>
  <c r="E24" i="12"/>
  <c r="E23" i="12"/>
  <c r="E22" i="12"/>
  <c r="E21" i="12"/>
  <c r="E20" i="12"/>
  <c r="E13" i="12"/>
  <c r="E17" i="12"/>
  <c r="E16" i="12"/>
  <c r="E15" i="12"/>
  <c r="E14" i="12"/>
  <c r="E12" i="12"/>
  <c r="E11" i="12"/>
  <c r="E10" i="12"/>
  <c r="E9" i="12"/>
  <c r="E8" i="12"/>
  <c r="E7" i="12"/>
  <c r="E6" i="12"/>
  <c r="E5" i="12"/>
  <c r="E4" i="12"/>
  <c r="E3" i="12"/>
  <c r="AS19" i="13" l="1"/>
  <c r="AS15" i="13"/>
  <c r="AS11" i="13"/>
  <c r="AS7" i="13"/>
  <c r="AS3" i="13"/>
  <c r="AD46" i="12" l="1"/>
  <c r="AD45" i="12"/>
  <c r="AD44" i="12"/>
  <c r="AD43" i="12"/>
  <c r="AE43" i="12" s="1"/>
  <c r="AD42" i="12"/>
  <c r="AE42" i="12" s="1"/>
  <c r="AD41" i="12"/>
  <c r="AE41" i="12" s="1"/>
  <c r="AD40" i="12"/>
  <c r="AE40" i="12" s="1"/>
  <c r="AD39" i="12"/>
  <c r="AE39" i="12" s="1"/>
  <c r="AD38" i="12"/>
  <c r="AE38" i="12" s="1"/>
  <c r="AD37" i="12"/>
  <c r="AE37" i="12" s="1"/>
  <c r="AD36" i="12"/>
  <c r="AE36" i="12" s="1"/>
  <c r="AD35" i="12"/>
  <c r="AE35" i="12" s="1"/>
  <c r="AD33" i="12"/>
  <c r="AE33" i="12" s="1"/>
  <c r="AD32" i="12"/>
  <c r="AE32" i="12" s="1"/>
  <c r="AD31" i="12"/>
  <c r="AE31" i="12" s="1"/>
  <c r="AD30" i="12"/>
  <c r="AE30" i="12" s="1"/>
  <c r="AD29" i="12"/>
  <c r="AE29" i="12" s="1"/>
  <c r="AD28" i="12"/>
  <c r="AE28" i="12" s="1"/>
  <c r="AD27" i="12"/>
  <c r="AE27" i="12" s="1"/>
  <c r="AD26" i="12"/>
  <c r="AE26" i="12" s="1"/>
  <c r="AD25" i="12"/>
  <c r="AE25" i="12" s="1"/>
  <c r="AD24" i="12"/>
  <c r="AE24" i="12" s="1"/>
  <c r="AD23" i="12"/>
  <c r="AE23" i="12" s="1"/>
  <c r="AD22" i="12"/>
  <c r="AE22" i="12" s="1"/>
  <c r="AD21" i="12"/>
  <c r="AE21" i="12" s="1"/>
  <c r="AD20" i="12"/>
  <c r="AE20" i="12" s="1"/>
  <c r="AD19" i="12"/>
  <c r="AD18" i="12"/>
  <c r="AD17" i="12"/>
  <c r="AE17" i="12" s="1"/>
  <c r="AD16" i="12"/>
  <c r="AE16" i="12" s="1"/>
  <c r="AD15" i="12"/>
  <c r="AE15" i="12" s="1"/>
  <c r="AD14" i="12"/>
  <c r="AE14" i="12" s="1"/>
  <c r="AD13" i="12"/>
  <c r="AE13" i="12" s="1"/>
  <c r="AD12" i="12"/>
  <c r="AE12" i="12" s="1"/>
  <c r="AD11" i="12"/>
  <c r="AE11" i="12" s="1"/>
  <c r="AD10" i="12"/>
  <c r="AE10" i="12" s="1"/>
  <c r="AD9" i="12"/>
  <c r="AE9" i="12" s="1"/>
  <c r="AD8" i="12"/>
  <c r="AE8" i="12" s="1"/>
  <c r="AD7" i="12"/>
  <c r="AE7" i="12" s="1"/>
  <c r="AD6" i="12"/>
  <c r="AE6" i="12" s="1"/>
  <c r="AD5" i="12"/>
  <c r="AE5" i="12" s="1"/>
  <c r="AD34" i="12"/>
  <c r="AE34" i="12" s="1"/>
  <c r="AD4" i="12"/>
  <c r="AE4" i="12" s="1"/>
  <c r="AD3" i="12"/>
  <c r="AE3" i="12" s="1"/>
  <c r="F47" i="12"/>
  <c r="D47" i="12"/>
  <c r="E47" i="12"/>
  <c r="C47" i="12"/>
  <c r="AN178" i="13" l="1"/>
  <c r="AN177" i="13"/>
  <c r="AN176" i="13"/>
  <c r="B18" i="14"/>
  <c r="AN174" i="13"/>
  <c r="AN173" i="13"/>
  <c r="AN172" i="13"/>
  <c r="B21" i="14"/>
  <c r="AN154" i="13"/>
  <c r="AN153" i="13"/>
  <c r="AN152" i="13"/>
  <c r="AN151" i="13"/>
  <c r="B10" i="14" s="1"/>
  <c r="AN130" i="13"/>
  <c r="AN129" i="13"/>
  <c r="AN128" i="13"/>
  <c r="AN127" i="13"/>
  <c r="B22" i="14" s="1"/>
  <c r="AN116" i="13"/>
  <c r="AN118" i="13"/>
  <c r="AN117" i="13"/>
  <c r="AN115" i="13"/>
  <c r="B23" i="14" s="1"/>
  <c r="AN170" i="13"/>
  <c r="AN169" i="13"/>
  <c r="AN168" i="13"/>
  <c r="AN167" i="13"/>
  <c r="B13" i="14" s="1"/>
  <c r="AN164" i="13"/>
  <c r="B24" i="14"/>
  <c r="AN162" i="13"/>
  <c r="AN161" i="13"/>
  <c r="AN160" i="13"/>
  <c r="AN150" i="13"/>
  <c r="AN149" i="13"/>
  <c r="AN148" i="13"/>
  <c r="AN147" i="13"/>
  <c r="B26" i="14" s="1"/>
  <c r="AN146" i="13"/>
  <c r="AN145" i="13"/>
  <c r="AN144" i="13"/>
  <c r="AN143" i="13"/>
  <c r="B14" i="14" s="1"/>
  <c r="AN142" i="13"/>
  <c r="AN141" i="13"/>
  <c r="AN140" i="13"/>
  <c r="AN139" i="13"/>
  <c r="B20" i="14" s="1"/>
  <c r="AN138" i="13"/>
  <c r="AN137" i="13"/>
  <c r="AN136" i="13"/>
  <c r="AN135" i="13"/>
  <c r="B16" i="14" s="1"/>
  <c r="AN134" i="13"/>
  <c r="AN133" i="13"/>
  <c r="AN132" i="13"/>
  <c r="AN131" i="13"/>
  <c r="B17" i="14" s="1"/>
  <c r="AN124" i="13"/>
  <c r="AN123" i="13"/>
  <c r="B25" i="14" s="1"/>
  <c r="AN122" i="13"/>
  <c r="AN121" i="13"/>
  <c r="AN120" i="13"/>
  <c r="AN119" i="13"/>
  <c r="B12" i="14" s="1"/>
  <c r="AN158" i="13"/>
  <c r="AN157" i="13"/>
  <c r="AN156" i="13"/>
  <c r="AN155" i="13"/>
  <c r="B11" i="14" s="1"/>
  <c r="AN114" i="13"/>
  <c r="AN113" i="13"/>
  <c r="AN112" i="13"/>
  <c r="AN111" i="13"/>
  <c r="AN110" i="13"/>
  <c r="AN109" i="13"/>
  <c r="AN108" i="13"/>
  <c r="AN107" i="13"/>
  <c r="AN106" i="13"/>
  <c r="AN105" i="13"/>
  <c r="AN104" i="13"/>
  <c r="AN103" i="13"/>
  <c r="AN102" i="13"/>
  <c r="AN101" i="13"/>
  <c r="AN100" i="13"/>
  <c r="AN99" i="13"/>
  <c r="AN98" i="13"/>
  <c r="AN97" i="13"/>
  <c r="AN96" i="13"/>
  <c r="AN95" i="13"/>
  <c r="AN94" i="13"/>
  <c r="AN93" i="13"/>
  <c r="AN92" i="13"/>
  <c r="AN91" i="13"/>
  <c r="AN90" i="13"/>
  <c r="AN89" i="13"/>
  <c r="AN88" i="13"/>
  <c r="AN87" i="13"/>
  <c r="AN86" i="13"/>
  <c r="AN85" i="13"/>
  <c r="AN84" i="13"/>
  <c r="AN83" i="13"/>
  <c r="AN82" i="13"/>
  <c r="AN81" i="13"/>
  <c r="AN80" i="13"/>
  <c r="AN79" i="13"/>
  <c r="AN78" i="13"/>
  <c r="AN77" i="13"/>
  <c r="AN75" i="13"/>
  <c r="AN74" i="13"/>
  <c r="AN73" i="13"/>
  <c r="AN72" i="13"/>
  <c r="AN71" i="13"/>
  <c r="AN70" i="13"/>
  <c r="AN69" i="13"/>
  <c r="AN66" i="13"/>
  <c r="AN65" i="13"/>
  <c r="AN64" i="13"/>
  <c r="AN63" i="13"/>
  <c r="AN62" i="13"/>
  <c r="AN61" i="13"/>
  <c r="AN60" i="13"/>
  <c r="AN59" i="13"/>
  <c r="AN54" i="13"/>
  <c r="AN53" i="13"/>
  <c r="AN52" i="13"/>
  <c r="AN51" i="13"/>
  <c r="AN48" i="13"/>
  <c r="AN47" i="13"/>
  <c r="AN44" i="13"/>
  <c r="AN43" i="13"/>
  <c r="AN42" i="13"/>
  <c r="AN41" i="13"/>
  <c r="AN40" i="13"/>
  <c r="AN39" i="13"/>
  <c r="AN38" i="13"/>
  <c r="AN37" i="13"/>
  <c r="AN36" i="13"/>
  <c r="AN35" i="13"/>
  <c r="AN34" i="13"/>
  <c r="AN33" i="13"/>
  <c r="AN32" i="13"/>
  <c r="AN31" i="13"/>
  <c r="AN30" i="13"/>
  <c r="AN29" i="13"/>
  <c r="AN28" i="13"/>
  <c r="AN27" i="13"/>
  <c r="AN26" i="13"/>
  <c r="AN25" i="13"/>
  <c r="AN22" i="13"/>
  <c r="AN21" i="13"/>
  <c r="AN20" i="13"/>
  <c r="AN19" i="13"/>
  <c r="AN18" i="13"/>
  <c r="AN17" i="13"/>
  <c r="AN16" i="13"/>
  <c r="AN15" i="13"/>
  <c r="AN12" i="13"/>
  <c r="AN11" i="13"/>
  <c r="AN10" i="13"/>
  <c r="AN9" i="13"/>
  <c r="AN8" i="13"/>
  <c r="AN7" i="13"/>
  <c r="AN6" i="13"/>
  <c r="AN5" i="13"/>
  <c r="AN4" i="13"/>
  <c r="AN3" i="13"/>
  <c r="B15" i="14" s="1"/>
  <c r="AB47" i="12" l="1"/>
  <c r="AA47" i="12"/>
  <c r="Z47" i="12"/>
  <c r="Y47" i="12"/>
  <c r="X47" i="12"/>
  <c r="W47" i="12"/>
  <c r="V47" i="12"/>
  <c r="U47" i="12"/>
  <c r="T47" i="12"/>
  <c r="S47" i="12"/>
  <c r="R47" i="12"/>
  <c r="Q47" i="12"/>
  <c r="P47" i="12"/>
  <c r="O47" i="12"/>
  <c r="N47" i="12"/>
  <c r="M47" i="12"/>
  <c r="L47" i="12"/>
  <c r="K47" i="12"/>
  <c r="J47" i="12"/>
  <c r="I47" i="12"/>
  <c r="H47" i="12"/>
  <c r="G47" i="12"/>
</calcChain>
</file>

<file path=xl/sharedStrings.xml><?xml version="1.0" encoding="utf-8"?>
<sst xmlns="http://schemas.openxmlformats.org/spreadsheetml/2006/main" count="767" uniqueCount="170">
  <si>
    <t>Region</t>
    <phoneticPr fontId="3"/>
  </si>
  <si>
    <t>Party</t>
    <phoneticPr fontId="3"/>
  </si>
  <si>
    <t>Austria</t>
    <phoneticPr fontId="3"/>
  </si>
  <si>
    <t>Japan</t>
    <phoneticPr fontId="3"/>
  </si>
  <si>
    <t>Australia</t>
    <phoneticPr fontId="3"/>
  </si>
  <si>
    <t>United Kingdom</t>
  </si>
  <si>
    <t>Czech Republic</t>
  </si>
  <si>
    <t>New Zealand</t>
  </si>
  <si>
    <t>Canada</t>
    <phoneticPr fontId="3"/>
  </si>
  <si>
    <t>EU</t>
  </si>
  <si>
    <t>Others non-CP2</t>
  </si>
  <si>
    <t>Introduction</t>
  </si>
  <si>
    <t>Disclaimer</t>
  </si>
  <si>
    <t>Data Source</t>
  </si>
  <si>
    <t>Update History</t>
  </si>
  <si>
    <t>Date</t>
  </si>
  <si>
    <t>Emissions in 2008 have been added.</t>
  </si>
  <si>
    <t>Emissions from Australia and Hungary have been added.</t>
  </si>
  <si>
    <t>Emissions in 2009 have been added.</t>
  </si>
  <si>
    <t>Emissions have been added.</t>
  </si>
  <si>
    <t>Emissions from Romania and Sweden have been added.</t>
  </si>
  <si>
    <t>Emissions during 1990-2009 have been renewed and emissions in 2010 have been added.</t>
  </si>
  <si>
    <t>Emissions during 1990-2010 have been renewed and emissions in 2011 have been added.</t>
  </si>
  <si>
    <t>Emissions during 1990-2011 have been renewed and emissions in 2012 have been added.</t>
  </si>
  <si>
    <t>Emissions during 1990-2012 have been renewed and emissions in 2013 have been added.</t>
  </si>
  <si>
    <t>Emissions during 1990-2013 have been renewed and emissions in 2014 have been added.</t>
  </si>
  <si>
    <t>Other KP Parties</t>
  </si>
  <si>
    <t>Non KP Parties</t>
  </si>
  <si>
    <t>N/A</t>
  </si>
  <si>
    <t>Cancun target base year</t>
  </si>
  <si>
    <t>Change from base to latest reported year</t>
  </si>
  <si>
    <t>-5%, -15% or -25%</t>
  </si>
  <si>
    <t>-5-10%</t>
  </si>
  <si>
    <t>-10%-20%</t>
  </si>
  <si>
    <t>-15-25 %</t>
  </si>
  <si>
    <t>-20%/30%</t>
  </si>
  <si>
    <t>-30%-40%</t>
  </si>
  <si>
    <t>Features</t>
  </si>
  <si>
    <t>Editors</t>
  </si>
  <si>
    <t>Version</t>
  </si>
  <si>
    <t>Akihisa Kuriyama
Kentaro Takahashi</t>
  </si>
  <si>
    <t>Alexis R. Rocamora
Yuji Mizuno</t>
  </si>
  <si>
    <t>Addition of summary charts</t>
  </si>
  <si>
    <t>Whilst this data is believed to be true and accurate at the date of going to press, neither the editor nor IGES can accept any legal responsibility or liability for any errors or omissions that may have been made. For any queries relating to this database, please contact ce-info@iges.or.jp .
 All copyrights are reserved. The source must be clearly stated when this database is reproduced or transmitted in any form or by any means.</t>
  </si>
  <si>
    <t>Charts are provided to reflect emissions trends over the reported time periods.</t>
  </si>
  <si>
    <r>
      <t xml:space="preserve">Table of Contents </t>
    </r>
    <r>
      <rPr>
        <sz val="12"/>
        <color theme="0"/>
        <rFont val="Arial"/>
        <family val="2"/>
      </rPr>
      <t>(links to sheets)</t>
    </r>
  </si>
  <si>
    <t>Alexis R. Rocamora
Machiko Louhisuo
Yuji Mizuno</t>
  </si>
  <si>
    <t>• Emissions for 2015 have been added.
• Emissions for the 1990-2014 period have been updated.
• Two new columns for the base year and the percentage of change from base year have been added.
• Three new columns have been added, informing on the emissions reductions target of each country under the Cancun Agreement, the respective base year of those targets, and the KP-CP2 emission reductions targets.
• Sorting of countries per new categories and alphabetically inside each category.
• Update of the guidance sheet, with notably an update history.
• Streamlined and more colorful data layout.</t>
  </si>
  <si>
    <t>Emission Type</t>
  </si>
  <si>
    <t>Belgium</t>
  </si>
  <si>
    <t>Bulgaria</t>
  </si>
  <si>
    <t>Croatia</t>
  </si>
  <si>
    <t>Cyprus</t>
  </si>
  <si>
    <t xml:space="preserve">Denmark  </t>
  </si>
  <si>
    <t>Estonia</t>
  </si>
  <si>
    <t>Finland</t>
  </si>
  <si>
    <t xml:space="preserve">France  </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</si>
  <si>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</si>
  <si>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</si>
  <si>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</si>
  <si>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</si>
  <si>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</si>
  <si>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</si>
  <si>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</si>
  <si>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</si>
  <si>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</si>
  <si>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</si>
  <si>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</si>
  <si>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</si>
  <si>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</si>
  <si>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</si>
  <si>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</si>
  <si>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</si>
  <si>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</si>
  <si>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Belarus</t>
  </si>
  <si>
    <t>Iceland</t>
  </si>
  <si>
    <t>Kazakhstan</t>
  </si>
  <si>
    <t>Liechtenstein</t>
  </si>
  <si>
    <t>Monaco</t>
  </si>
  <si>
    <t>Norway</t>
  </si>
  <si>
    <t>Switzerland</t>
  </si>
  <si>
    <t>Turkey</t>
  </si>
  <si>
    <t>Ukraine</t>
  </si>
  <si>
    <t>United States of America</t>
  </si>
  <si>
    <t>Russia</t>
  </si>
  <si>
    <t>without LULUCF</t>
  </si>
  <si>
    <t>with LULUCF</t>
  </si>
  <si>
    <t>GHG</t>
  </si>
  <si>
    <t>CO2</t>
  </si>
  <si>
    <t>TOTAL</t>
  </si>
  <si>
    <t>Chart 6: Total GHG and CO2 Emissions Trends by all countries</t>
  </si>
  <si>
    <t>GHG &amp; CO2 EMISSIONS</t>
  </si>
  <si>
    <r>
      <t xml:space="preserve">GHG &amp; CO2 EMISSIONS </t>
    </r>
    <r>
      <rPr>
        <sz val="18"/>
        <color theme="0"/>
        <rFont val="Arial"/>
        <family val="2"/>
      </rPr>
      <t>(1,000 tCO2)</t>
    </r>
  </si>
  <si>
    <r>
      <t xml:space="preserve">Chart 1: Trend of GHG emissions without LULUCF </t>
    </r>
    <r>
      <rPr>
        <sz val="12"/>
        <color theme="0"/>
        <rFont val="Arial"/>
        <family val="2"/>
      </rPr>
      <t>(1,000 tCO2)</t>
    </r>
  </si>
  <si>
    <r>
      <t xml:space="preserve">Chart 2: Trend of GHG emissions with LULUCF </t>
    </r>
    <r>
      <rPr>
        <sz val="12"/>
        <color theme="0"/>
        <rFont val="Arial"/>
        <family val="2"/>
      </rPr>
      <t>(1,000 tCO2)</t>
    </r>
  </si>
  <si>
    <r>
      <t>Chart 3: Trend of CO2 emissions without LULUCF</t>
    </r>
    <r>
      <rPr>
        <sz val="12"/>
        <color theme="0"/>
        <rFont val="Arial"/>
        <family val="2"/>
      </rPr>
      <t xml:space="preserve"> (1,000 tCO2)</t>
    </r>
  </si>
  <si>
    <r>
      <t xml:space="preserve">Chart 4: Trend of CO2 emissions with LULUCF </t>
    </r>
    <r>
      <rPr>
        <sz val="12"/>
        <color theme="0"/>
        <rFont val="Arial"/>
        <family val="2"/>
      </rPr>
      <t>(1,000 tCO2)</t>
    </r>
  </si>
  <si>
    <t>ANALYTICS</t>
  </si>
  <si>
    <t>Analytics</t>
  </si>
  <si>
    <t>Total</t>
  </si>
  <si>
    <t>Austria</t>
  </si>
  <si>
    <t>EU27</t>
  </si>
  <si>
    <t>EIT/EU27</t>
  </si>
  <si>
    <t>EIT</t>
  </si>
  <si>
    <t>Other</t>
  </si>
  <si>
    <t>Japan</t>
  </si>
  <si>
    <t>Australia</t>
  </si>
  <si>
    <t>Non-Annex B</t>
  </si>
  <si>
    <t>Canada</t>
  </si>
  <si>
    <t>Base year emissions</t>
  </si>
  <si>
    <t>Average CP1 emissions (2008-2012)</t>
  </si>
  <si>
    <t>Reference emissions</t>
  </si>
  <si>
    <t>Assigned emissions for CP1 (2008-2012)</t>
  </si>
  <si>
    <t>Annual assigned emissions for CP1</t>
  </si>
  <si>
    <t>Kyoto Protocol target</t>
  </si>
  <si>
    <t>Change from base year emissions to average CP1 emissions</t>
  </si>
  <si>
    <t>Kyoto Target Compliance</t>
  </si>
  <si>
    <t>Cancun Target Compliance</t>
  </si>
  <si>
    <t>NDC Target Compliance</t>
  </si>
  <si>
    <t>NDC target year</t>
  </si>
  <si>
    <t>NDC base year</t>
  </si>
  <si>
    <t>NDC emission reduction target</t>
  </si>
  <si>
    <t>Cancun emission reduction target by 2020</t>
  </si>
  <si>
    <t>Kyoto CP2 Target</t>
  </si>
  <si>
    <t>Kyoto Protocol emission reduction target for CP2 (2013-2020)</t>
  </si>
  <si>
    <t>GHG Emissions without LULUCF reported for the first commitment period of the Kyoto Protocol</t>
  </si>
  <si>
    <t>Annex-GHG emissions CP1</t>
  </si>
  <si>
    <t>• Addition of target compliance comparisons, showing the variation between countries' emission reductions target (NDC, Cancun, Kyoto Protocol etc) and their actual reported emission reductions. 
• Added GHG and CO2 emissions for 2016.
• Integrated into one sheet previous four sheets for GHG and CO2 with and without LULUCF
• Improved data visualization
• Revised guidance sheet
• Addition of previously reported emission data from CP1.</t>
  </si>
  <si>
    <t>This sheet provides annual emissions, as previously reported until the end of the 1st commitment period (CP1). The methodology that countries used for reporting emissions changed for the 2nd commitment period of the Kyoto Protocol (CP2), therefore emissions over the same period differ slightly in the two sheets. These older emissions data are valuable nonetheless, as they are used as a reference for evaluating compliance to the Kyoto Protocol emission reduction targets, which are shown in this sheet as well.</t>
  </si>
  <si>
    <t>Detailed GHG and CO2 emissions data with and without LULUCF, as reported by UNFCCC Annex 1 countries from 1990 up to the most recent year. The variation over time of those historical emissions for each country is also compared with their emission reduction targets from Nationally Determined Contributions (NDCs) and the Cancun Agreement, in order to evaluate their compliance to the targets so far.</t>
  </si>
  <si>
    <t>Chart 5: Change of GHG emissions without LULUCF from Cancun target base year to latest reported year</t>
  </si>
  <si>
    <t>BAU*</t>
  </si>
  <si>
    <t>*Turkey's NDC mitigation target is based on a business as usual (BAU) scenario, in which emissions are estimated to reach in 2030 the following amount:</t>
  </si>
  <si>
    <t>(1,000 tCO2)</t>
  </si>
  <si>
    <t>GHG emissions without LULUCF (1,000 tCO2)</t>
  </si>
  <si>
    <t>GHG emissions with LULUCF (1,000 tCO2)</t>
  </si>
  <si>
    <t>Template ot use for update of above tables (before sorting)</t>
  </si>
  <si>
    <t>CO2 emissions without LULUCF (1,000 tCO2)</t>
  </si>
  <si>
    <t>CO2 emissions with LULUCF (1,000 tCO2)</t>
  </si>
  <si>
    <t>Working Sheet</t>
  </si>
  <si>
    <t>*** This sheet is to remain hidden. It copies the values from the main sheet in order to sort them out from smallest to highest values.</t>
  </si>
  <si>
    <t>*** This sorting out facilitates data visualisation in the Analytics sheet.</t>
  </si>
  <si>
    <t xml:space="preserve">*** When updating the database, use the template at the bottom to add all the data in the original order, before sorting them out again. </t>
  </si>
  <si>
    <t>INSTRUCTIONS</t>
  </si>
  <si>
    <t>*** For annual emissions, sort out values based on the latest reported year (or the prior year if one country has a year marked N/A)</t>
  </si>
  <si>
    <t xml:space="preserve">Temuulen Murun Machiko Louhisuo Kentaro Takahashi </t>
  </si>
  <si>
    <t xml:space="preserve">• Update of the following countries:
 Cyprus, Iceland, Kazakhstan, Lithuania, Monaco, Slovakia and Ukraine.                                                                              </t>
    <phoneticPr fontId="3"/>
  </si>
  <si>
    <t>Change from base to latest reported year</t>
    <phoneticPr fontId="3"/>
  </si>
  <si>
    <t>Kentaro Takahashi 
Machiko Louhisuo</t>
    <phoneticPr fontId="3"/>
  </si>
  <si>
    <t xml:space="preserve">• Update of countries' actual reported emission reductions since 1990                                                                             
 • Update of GHG emissions from CP1                                                                                    </t>
    <phoneticPr fontId="3"/>
  </si>
  <si>
    <t xml:space="preserve">• Update of countries' actual reported emission reductions since 1990                                                                              
• Update of GHG emissions from CP1                                         
• Update of the reference link for the Cancun pledge </t>
    <phoneticPr fontId="3"/>
  </si>
  <si>
    <t xml:space="preserve">• Update of countries' actual reported emission reductions since 1990
• Update of countries' NDC target  
• Update of GHG emissions from CP1                                                                                  </t>
    <phoneticPr fontId="3"/>
  </si>
  <si>
    <t>• Updated region category of UK</t>
    <phoneticPr fontId="3"/>
  </si>
  <si>
    <t>European Union (14)</t>
    <phoneticPr fontId="3"/>
  </si>
  <si>
    <t>EU14</t>
    <phoneticPr fontId="3"/>
  </si>
  <si>
    <t>United Kingdom</t>
    <phoneticPr fontId="3"/>
  </si>
  <si>
    <t>European Union (excl. UK)</t>
    <phoneticPr fontId="3"/>
  </si>
  <si>
    <t>-15-25%</t>
    <phoneticPr fontId="3"/>
  </si>
  <si>
    <t>Akibi Tsukui 
Machiko Louhisuo</t>
  </si>
  <si>
    <t>43%</t>
  </si>
  <si>
    <t>-35-40%</t>
  </si>
  <si>
    <t>IGES's GHG emissions database aims to compile the latest information on GHG and CO2 emissions, as reported annually by UNFCCC Annex I countries. The data covers the period from from 1990 up to two years before the submission date of the reports. This database also provides information on target compliance, in order to compare historical emission with countries' emission reduction targets under various regimes.</t>
    <phoneticPr fontId="3"/>
  </si>
  <si>
    <t xml:space="preserve">• Update of Portugal and Russia                                 </t>
    <phoneticPr fontId="3"/>
  </si>
  <si>
    <t>European Union 
(excl. UK)</t>
  </si>
  <si>
    <t>-51–55%</t>
  </si>
  <si>
    <t>Masatsugu Azuma
Machiko Louhisuo</t>
  </si>
  <si>
    <t>-45-50%</t>
  </si>
  <si>
    <t>-61-66%</t>
  </si>
  <si>
    <t>Figures for GHG emissions and CO2 emissions in each year are directly extracted from the CRF (Common Reporting Format) of GHG inventory reports submitted by Annex I Parties (https://unfccc.int/ghg-inventories-annex-i-parties/2024)
This data is reviewed each year by the ERT so it is subject to change based on the review results. (In fact, it is usual for minor corrections to be carried out at the time of the review).   
The reported values of GHG emissions based on the Convention and those based on the Kyoto Protocol are deemed to be identical (the abovementioned sinks differ in concept and numerical value). However, France and Denmark, based on inherent extraordinary circumstances, have slight differences in the GHG emissions based on the Convention and GHG emissions based on the Kyoto Protocol. Therefore, this chart deals with those two countries as special cases and shows their emissions based on the Kyoto Protocol.
For reference, the emissions reduction targets of each country under the Cancun Agreement and for the second commitment period of the Kyoto Protocol (KP-CP2) are mentioned on the three last columns on the right of the third sheet. 
Targets under the Cancun agreement can be found here: https://unfccc.int/topics/mitigation/workstreams/pre-2020-ambition/compilation-of-economy-wide-emission-reduction-targets-to-be-implemented-by-parties-included-in-annex-i-to-the-convention  
Targets for the KP-CP2 are available online here: http://unfccc.int/files/kyoto_protocol/application/pdf/kp_doha_amendment_english.pdf</t>
  </si>
  <si>
    <t xml:space="preserve">• Update of countries' actual reported emission reductions since 1990
• Update of countries' NDC target                                                                               </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</si>
</sst>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00_-;\-* #,##0.00_-;_-* &quot;-&quot;??_-;_-@_-"/>
    <numFmt numFmtId="177" formatCode="#,##0.000"/>
    <numFmt numFmtId="178" formatCode="#,##0.0000"/>
    <numFmt numFmtId="179" formatCode="_-* #,##0.00\ _F_-;\-* #,##0.00\ _F_-;_-* &quot;-&quot;??\ _F_-;_-@_-"/>
    <numFmt numFmtId="180" formatCode="0.0"/>
    <numFmt numFmtId="181" formatCode="0.0%"/>
    <numFmt numFmtId="182" formatCode="_-* #,##0_-;\-* #,##0_-;_-* &quot;-&quot;??_-;_-@_-"/>
  </numFmts>
  <fonts count="102">
    <font>
      <sz val="11"/>
      <name val="ＭＳ Ｐゴシック"/>
      <family val="3"/>
      <charset val="128"/>
    </font>
    <font>
      <sz val="11"/>
      <color theme="1"/>
      <name val="ＭＳ Ｐゴシック"/>
      <family val="2"/>
      <scheme val="minor"/>
    </font>
    <font>
      <sz val="11"/>
      <name val="ＭＳ Ｐゴシック"/>
      <family val="3"/>
      <charset val="128"/>
    </font>
    <font>
      <sz val="6"/>
      <name val="ＭＳ Ｐゴシック"/>
      <family val="3"/>
      <charset val="128"/>
    </font>
    <font>
      <sz val="9"/>
      <name val="Times New Roman"/>
      <family val="1"/>
    </font>
    <font>
      <b/>
      <sz val="12"/>
      <name val="Times New Roman"/>
      <family val="1"/>
    </font>
    <font>
      <sz val="9"/>
      <color indexed="8"/>
      <name val="Times New Roman"/>
      <family val="1"/>
    </font>
    <font>
      <sz val="10"/>
      <name val="Arial"/>
      <family val="2"/>
    </font>
    <font>
      <b/>
      <sz val="9"/>
      <name val="Times New Roman"/>
      <family val="1"/>
    </font>
    <font>
      <sz val="12"/>
      <color indexed="8"/>
      <name val="Times New Roman"/>
      <family val="1"/>
    </font>
    <font>
      <b/>
      <sz val="12"/>
      <color indexed="8"/>
      <name val="Times New Roman"/>
      <family val="1"/>
    </font>
    <font>
      <u/>
      <sz val="10"/>
      <color indexed="12"/>
      <name val="Times New Roman"/>
      <family val="1"/>
    </font>
    <font>
      <sz val="8"/>
      <name val="Helvetic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name val="Arial Tur"/>
      <family val="2"/>
      <charset val="162"/>
    </font>
    <font>
      <b/>
      <sz val="18"/>
      <color indexed="56"/>
      <name val="Cambria"/>
      <family val="1"/>
    </font>
    <font>
      <u/>
      <sz val="10"/>
      <color indexed="12"/>
      <name val="Arial Tur"/>
      <family val="2"/>
      <charset val="162"/>
    </font>
    <font>
      <sz val="10"/>
      <name val="Arial"/>
      <family val="2"/>
    </font>
    <font>
      <sz val="8"/>
      <name val="Helvetica"/>
      <family val="2"/>
    </font>
    <font>
      <sz val="10"/>
      <name val="Arial"/>
      <family val="2"/>
    </font>
    <font>
      <sz val="10"/>
      <name val="Arial"/>
      <family val="2"/>
    </font>
    <font>
      <sz val="8"/>
      <name val="Helvetica"/>
      <family val="2"/>
    </font>
    <font>
      <sz val="11"/>
      <color theme="1"/>
      <name val="ＭＳ Ｐゴシック"/>
      <family val="3"/>
      <charset val="128"/>
    </font>
    <font>
      <u/>
      <sz val="8.8000000000000007"/>
      <color theme="10"/>
      <name val="ＭＳ Ｐゴシック"/>
      <family val="3"/>
      <charset val="128"/>
    </font>
    <font>
      <u/>
      <sz val="11"/>
      <color theme="10"/>
      <name val="ＭＳ Ｐゴシック"/>
      <family val="3"/>
      <charset val="128"/>
      <scheme val="minor"/>
    </font>
    <font>
      <u/>
      <sz val="10"/>
      <color theme="10"/>
      <name val="Calibri"/>
      <family val="2"/>
    </font>
    <font>
      <u/>
      <sz val="10"/>
      <color theme="10"/>
      <name val="Arial"/>
      <family val="2"/>
    </font>
    <font>
      <u/>
      <sz val="11"/>
      <color theme="10"/>
      <name val="Calibri"/>
      <family val="2"/>
    </font>
    <font>
      <u/>
      <sz val="11"/>
      <color theme="10"/>
      <name val="ＭＳ Ｐゴシック"/>
      <family val="3"/>
      <charset val="128"/>
    </font>
    <font>
      <sz val="11"/>
      <color theme="1"/>
      <name val="ＭＳ Ｐゴシック"/>
      <family val="3"/>
      <charset val="128"/>
      <scheme val="minor"/>
    </font>
    <font>
      <sz val="10"/>
      <color theme="1"/>
      <name val="ＭＳ Ｐゴシック"/>
      <family val="3"/>
      <charset val="128"/>
    </font>
    <font>
      <sz val="10"/>
      <color theme="1"/>
      <name val="Arial"/>
      <family val="2"/>
    </font>
    <font>
      <sz val="11"/>
      <color theme="1"/>
      <name val="ＭＳ Ｐゴシック"/>
      <family val="2"/>
      <scheme val="minor"/>
    </font>
    <font>
      <sz val="11"/>
      <color rgb="FF3F3F76"/>
      <name val="ＭＳ Ｐゴシック"/>
      <family val="2"/>
      <scheme val="minor"/>
    </font>
    <font>
      <b/>
      <sz val="10"/>
      <name val="Arial"/>
      <family val="2"/>
    </font>
    <font>
      <sz val="11"/>
      <color indexed="8"/>
      <name val="Calibri"/>
      <family val="2"/>
      <charset val="186"/>
    </font>
    <font>
      <sz val="11"/>
      <color indexed="9"/>
      <name val="Calibri"/>
      <family val="2"/>
      <charset val="186"/>
    </font>
    <font>
      <sz val="11"/>
      <color indexed="20"/>
      <name val="Calibri"/>
      <family val="2"/>
      <charset val="186"/>
    </font>
    <font>
      <b/>
      <sz val="11"/>
      <color indexed="52"/>
      <name val="Calibri"/>
      <family val="2"/>
      <charset val="186"/>
    </font>
    <font>
      <b/>
      <sz val="11"/>
      <color indexed="9"/>
      <name val="Calibri"/>
      <family val="2"/>
      <charset val="186"/>
    </font>
    <font>
      <sz val="8"/>
      <name val="Helvetica"/>
      <family val="2"/>
    </font>
    <font>
      <i/>
      <sz val="11"/>
      <color indexed="23"/>
      <name val="Calibri"/>
      <family val="2"/>
      <charset val="186"/>
    </font>
    <font>
      <sz val="11"/>
      <color indexed="17"/>
      <name val="Calibri"/>
      <family val="2"/>
      <charset val="186"/>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b/>
      <sz val="18"/>
      <color indexed="56"/>
      <name val="Cambria"/>
      <family val="2"/>
      <charset val="186"/>
    </font>
    <font>
      <b/>
      <sz val="11"/>
      <color indexed="8"/>
      <name val="Calibri"/>
      <family val="2"/>
      <charset val="186"/>
    </font>
    <font>
      <b/>
      <sz val="18"/>
      <color indexed="56"/>
      <name val="Cambria"/>
      <family val="2"/>
    </font>
    <font>
      <sz val="11"/>
      <color indexed="10"/>
      <name val="Calibri"/>
      <family val="2"/>
      <charset val="186"/>
    </font>
    <font>
      <u/>
      <sz val="10"/>
      <color indexed="12"/>
      <name val="Times New Roman"/>
      <family val="1"/>
      <charset val="186"/>
    </font>
    <font>
      <sz val="10"/>
      <name val="Arial"/>
      <family val="2"/>
      <charset val="204"/>
    </font>
    <font>
      <u/>
      <sz val="11"/>
      <color theme="10"/>
      <name val="ＭＳ Ｐゴシック"/>
      <family val="2"/>
      <scheme val="minor"/>
    </font>
    <font>
      <b/>
      <sz val="11"/>
      <color indexed="12"/>
      <name val="Arial"/>
      <family val="2"/>
      <charset val="204"/>
    </font>
    <font>
      <sz val="11"/>
      <name val="Calibri"/>
      <family val="2"/>
    </font>
    <font>
      <u/>
      <sz val="8.8000000000000007"/>
      <color theme="10"/>
      <name val="Calibri"/>
      <family val="2"/>
    </font>
    <font>
      <b/>
      <sz val="9"/>
      <name val="Calibri"/>
      <family val="2"/>
    </font>
    <font>
      <sz val="11"/>
      <name val="ＭＳ Ｐゴシック"/>
      <family val="2"/>
      <scheme val="minor"/>
    </font>
    <font>
      <b/>
      <sz val="12"/>
      <name val="Arial"/>
      <family val="2"/>
    </font>
    <font>
      <sz val="11"/>
      <name val="Arial"/>
      <family val="2"/>
    </font>
    <font>
      <b/>
      <sz val="11"/>
      <name val="Arial"/>
      <family val="2"/>
    </font>
    <font>
      <b/>
      <sz val="12"/>
      <color theme="0"/>
      <name val="Arial"/>
      <family val="2"/>
    </font>
    <font>
      <b/>
      <sz val="16"/>
      <color theme="0"/>
      <name val="Arial"/>
      <family val="2"/>
    </font>
    <font>
      <b/>
      <sz val="18"/>
      <color theme="0"/>
      <name val="Arial"/>
      <family val="2"/>
    </font>
    <font>
      <sz val="12"/>
      <color theme="0"/>
      <name val="Arial"/>
      <family val="2"/>
    </font>
    <font>
      <b/>
      <u/>
      <sz val="12"/>
      <color theme="3"/>
      <name val="Arial"/>
      <family val="2"/>
    </font>
    <font>
      <b/>
      <sz val="11"/>
      <color rgb="FF3F3F3F"/>
      <name val="ＭＳ Ｐゴシック"/>
      <family val="2"/>
      <scheme val="minor"/>
    </font>
    <font>
      <b/>
      <sz val="11"/>
      <color rgb="FFFA7D00"/>
      <name val="ＭＳ Ｐゴシック"/>
      <family val="2"/>
      <scheme val="minor"/>
    </font>
    <font>
      <sz val="11"/>
      <color rgb="FFFF0000"/>
      <name val="ＭＳ Ｐゴシック"/>
      <family val="2"/>
      <scheme val="minor"/>
    </font>
    <font>
      <i/>
      <sz val="11"/>
      <color rgb="FF7F7F7F"/>
      <name val="ＭＳ Ｐゴシック"/>
      <family val="2"/>
      <scheme val="minor"/>
    </font>
    <font>
      <b/>
      <sz val="11"/>
      <color theme="1"/>
      <name val="ＭＳ Ｐゴシック"/>
      <family val="2"/>
      <scheme val="minor"/>
    </font>
    <font>
      <sz val="11"/>
      <color theme="0"/>
      <name val="ＭＳ Ｐゴシック"/>
      <family val="2"/>
      <scheme val="minor"/>
    </font>
    <font>
      <sz val="18"/>
      <color theme="0"/>
      <name val="Arial"/>
      <family val="2"/>
    </font>
    <font>
      <b/>
      <sz val="14"/>
      <color theme="0"/>
      <name val="Arial"/>
      <family val="2"/>
    </font>
    <font>
      <sz val="11"/>
      <color theme="0"/>
      <name val="Arial"/>
      <family val="2"/>
    </font>
    <font>
      <b/>
      <sz val="16"/>
      <name val="Arial"/>
      <family val="2"/>
    </font>
    <font>
      <b/>
      <sz val="16"/>
      <name val="Calibri"/>
      <family val="2"/>
    </font>
    <font>
      <b/>
      <sz val="18"/>
      <name val="Arial"/>
      <family val="2"/>
    </font>
    <font>
      <b/>
      <sz val="12"/>
      <name val="Arial"/>
      <family val="2"/>
      <charset val="128"/>
    </font>
    <font>
      <sz val="20"/>
      <color theme="0"/>
      <name val="Arial"/>
      <family val="2"/>
      <charset val="128"/>
    </font>
    <font>
      <sz val="11"/>
      <color theme="1"/>
      <name val="Arial"/>
      <family val="2"/>
    </font>
  </fonts>
  <fills count="6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26"/>
        <bgColor indexed="64"/>
      </patternFill>
    </fill>
    <fill>
      <patternFill patternType="solid">
        <fgColor rgb="FFFFCC99"/>
      </patternFill>
    </fill>
    <fill>
      <patternFill patternType="solid">
        <fgColor indexed="2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324851"/>
        <bgColor indexed="64"/>
      </patternFill>
    </fill>
    <fill>
      <patternFill patternType="solid">
        <fgColor rgb="FF86AC41"/>
        <bgColor indexed="64"/>
      </patternFill>
    </fill>
    <fill>
      <patternFill patternType="solid">
        <fgColor rgb="FF5D8595"/>
        <bgColor indexed="64"/>
      </patternFill>
    </fill>
    <fill>
      <patternFill patternType="solid">
        <fgColor rgb="FFC3D99B"/>
        <bgColor indexed="64"/>
      </patternFill>
    </fill>
    <fill>
      <patternFill patternType="solid">
        <fgColor theme="0"/>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7B9FAD"/>
        <bgColor indexed="64"/>
      </patternFill>
    </fill>
    <fill>
      <patternFill patternType="solid">
        <fgColor rgb="FFB6D185"/>
        <bgColor indexed="64"/>
      </patternFill>
    </fill>
    <fill>
      <patternFill patternType="solid">
        <fgColor rgb="FFF6CF60"/>
        <bgColor indexed="64"/>
      </patternFill>
    </fill>
    <fill>
      <patternFill patternType="solid">
        <fgColor rgb="FF4A6976"/>
        <bgColor indexed="64"/>
      </patternFill>
    </fill>
    <fill>
      <patternFill patternType="solid">
        <fgColor rgb="FF344952"/>
        <bgColor indexed="64"/>
      </patternFill>
    </fill>
    <fill>
      <patternFill patternType="solid">
        <fgColor rgb="FFBAD48C"/>
        <bgColor indexed="64"/>
      </patternFill>
    </fill>
  </fills>
  <borders count="26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indexed="64"/>
      </left>
      <right/>
      <top style="thin">
        <color theme="0" tint="-0.34998626667073579"/>
      </top>
      <bottom/>
      <diagonal/>
    </border>
    <border>
      <left style="thin">
        <color indexed="64"/>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theme="0" tint="-0.34998626667073579"/>
      </right>
      <top style="thin">
        <color indexed="64"/>
      </top>
      <bottom/>
      <diagonal/>
    </border>
    <border>
      <left/>
      <right style="thin">
        <color theme="0" tint="-0.34998626667073579"/>
      </right>
      <top/>
      <bottom style="thin">
        <color theme="0" tint="-0.34998626667073579"/>
      </bottom>
      <diagonal/>
    </border>
    <border>
      <left/>
      <right/>
      <top style="thin">
        <color indexed="64"/>
      </top>
      <bottom/>
      <diagonal/>
    </border>
    <border>
      <left/>
      <right/>
      <top/>
      <bottom style="thin">
        <color theme="1" tint="0.249977111117893"/>
      </bottom>
      <diagonal/>
    </border>
    <border>
      <left/>
      <right style="thin">
        <color theme="0" tint="-0.34998626667073579"/>
      </right>
      <top/>
      <bottom style="thin">
        <color theme="1" tint="0.249977111117893"/>
      </bottom>
      <diagonal/>
    </border>
    <border>
      <left/>
      <right/>
      <top style="thin">
        <color theme="0" tint="-0.34998626667073579"/>
      </top>
      <bottom style="thin">
        <color theme="1" tint="0.249977111117893"/>
      </bottom>
      <diagonal/>
    </border>
    <border>
      <left/>
      <right style="thin">
        <color indexed="64"/>
      </right>
      <top style="thin">
        <color theme="0" tint="-0.34998626667073579"/>
      </top>
      <bottom style="thin">
        <color theme="1" tint="0.249977111117893"/>
      </bottom>
      <diagonal/>
    </border>
    <border>
      <left style="thin">
        <color indexed="64"/>
      </left>
      <right/>
      <top style="thin">
        <color theme="1" tint="0.249977111117893"/>
      </top>
      <bottom/>
      <diagonal/>
    </border>
    <border>
      <left style="thin">
        <color indexed="64"/>
      </left>
      <right/>
      <top/>
      <bottom/>
      <diagonal/>
    </border>
    <border>
      <left style="thin">
        <color indexed="64"/>
      </left>
      <right/>
      <top/>
      <bottom style="thin">
        <color theme="0" tint="-0.34998626667073579"/>
      </bottom>
      <diagonal/>
    </border>
    <border>
      <left/>
      <right style="thin">
        <color theme="0" tint="-0.34998626667073579"/>
      </right>
      <top style="thin">
        <color theme="1" tint="0.249977111117893"/>
      </top>
      <bottom/>
      <diagonal/>
    </border>
    <border>
      <left/>
      <right/>
      <top/>
      <bottom style="thin">
        <color theme="0" tint="-0.34998626667073579"/>
      </bottom>
      <diagonal/>
    </border>
    <border>
      <left style="thin">
        <color indexed="64"/>
      </left>
      <right/>
      <top/>
      <bottom style="thin">
        <color indexed="64"/>
      </bottom>
      <diagonal/>
    </border>
    <border>
      <left/>
      <right style="thin">
        <color theme="0" tint="-0.34998626667073579"/>
      </right>
      <top/>
      <bottom style="thin">
        <color indexed="64"/>
      </bottom>
      <diagonal/>
    </border>
    <border>
      <left/>
      <right style="thin">
        <color theme="1" tint="0.249977111117893"/>
      </right>
      <top style="thin">
        <color indexed="64"/>
      </top>
      <bottom style="thin">
        <color theme="0" tint="-0.34998626667073579"/>
      </bottom>
      <diagonal/>
    </border>
    <border>
      <left/>
      <right style="thin">
        <color theme="1" tint="0.249977111117893"/>
      </right>
      <top style="thin">
        <color theme="0" tint="-0.34998626667073579"/>
      </top>
      <bottom style="thin">
        <color theme="0" tint="-0.34998626667073579"/>
      </bottom>
      <diagonal/>
    </border>
    <border>
      <left/>
      <right style="thin">
        <color theme="1" tint="0.249977111117893"/>
      </right>
      <top style="thin">
        <color theme="0" tint="-0.34998626667073579"/>
      </top>
      <bottom style="thin">
        <color theme="1" tint="0.249977111117893"/>
      </bottom>
      <diagonal/>
    </border>
    <border>
      <left style="thin">
        <color theme="1" tint="0.249977111117893"/>
      </left>
      <right/>
      <top style="thin">
        <color theme="1" tint="0.249977111117893"/>
      </top>
      <bottom/>
      <diagonal/>
    </border>
    <border>
      <left style="thin">
        <color theme="1" tint="0.249977111117893"/>
      </left>
      <right/>
      <top/>
      <bottom/>
      <diagonal/>
    </border>
    <border>
      <left style="thin">
        <color theme="1" tint="0.249977111117893"/>
      </left>
      <right/>
      <top/>
      <bottom style="thin">
        <color theme="1" tint="0.249977111117893"/>
      </bottom>
      <diagonal/>
    </border>
    <border>
      <left style="thin">
        <color indexed="64"/>
      </left>
      <right/>
      <top/>
      <bottom style="thin">
        <color theme="1" tint="0.249977111117893"/>
      </bottom>
      <diagonal/>
    </border>
    <border>
      <left/>
      <right style="thin">
        <color theme="1" tint="0.249977111117893"/>
      </right>
      <top style="thin">
        <color indexed="64"/>
      </top>
      <bottom style="thin">
        <color indexed="64"/>
      </bottom>
      <diagonal/>
    </border>
    <border>
      <left style="thin">
        <color indexed="64"/>
      </left>
      <right style="thin">
        <color theme="1" tint="0.249977111117893"/>
      </right>
      <top style="thin">
        <color indexed="64"/>
      </top>
      <bottom/>
      <diagonal/>
    </border>
    <border>
      <left/>
      <right style="thin">
        <color theme="1" tint="0.249977111117893"/>
      </right>
      <top style="thin">
        <color theme="0" tint="-0.34998626667073579"/>
      </top>
      <bottom style="thin">
        <color indexed="64"/>
      </bottom>
      <diagonal/>
    </border>
    <border>
      <left style="thin">
        <color theme="0" tint="-0.34998626667073579"/>
      </left>
      <right style="thin">
        <color theme="1" tint="0.249977111117893"/>
      </right>
      <top style="thin">
        <color theme="0" tint="-0.34998626667073579"/>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indexed="64"/>
      </bottom>
      <diagonal/>
    </border>
    <border>
      <left/>
      <right style="thin">
        <color theme="1" tint="0.249977111117893"/>
      </right>
      <top/>
      <bottom style="thin">
        <color indexed="64"/>
      </bottom>
      <diagonal/>
    </border>
    <border>
      <left style="thin">
        <color theme="0" tint="-0.34998626667073579"/>
      </left>
      <right/>
      <top style="thin">
        <color indexed="64"/>
      </top>
      <bottom/>
      <diagonal/>
    </border>
    <border>
      <left style="thin">
        <color theme="0" tint="-0.34998626667073579"/>
      </left>
      <right/>
      <top/>
      <bottom style="thin">
        <color indexed="64"/>
      </bottom>
      <diagonal/>
    </border>
    <border>
      <left/>
      <right/>
      <top style="thin">
        <color theme="1" tint="0.249977111117893"/>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n">
        <color indexed="64"/>
      </right>
      <top/>
      <bottom/>
      <diagonal/>
    </border>
    <border>
      <left/>
      <right style="thin">
        <color indexed="64"/>
      </right>
      <top style="thin">
        <color theme="0" tint="-0.34998626667073579"/>
      </top>
      <bottom style="thin">
        <color indexed="64"/>
      </bottom>
      <diagonal/>
    </border>
    <border>
      <left/>
      <right style="thin">
        <color theme="1" tint="0.249977111117893"/>
      </right>
      <top/>
      <bottom style="thin">
        <color theme="1" tint="0.249977111117893"/>
      </bottom>
      <diagonal/>
    </border>
    <border>
      <left style="thin">
        <color theme="0" tint="-0.34998626667073579"/>
      </left>
      <right/>
      <top/>
      <bottom/>
      <diagonal/>
    </border>
    <border>
      <left/>
      <right style="thin">
        <color theme="1" tint="0.249977111117893"/>
      </right>
      <top style="thin">
        <color theme="1" tint="0.249977111117893"/>
      </top>
      <bottom style="thin">
        <color theme="0" tint="-0.34998626667073579"/>
      </bottom>
      <diagonal/>
    </border>
    <border>
      <left/>
      <right/>
      <top style="thin">
        <color theme="1" tint="0.249977111117893"/>
      </top>
      <bottom style="thin">
        <color theme="0" tint="-0.34998626667073579"/>
      </bottom>
      <diagonal/>
    </border>
    <border>
      <left style="thin">
        <color theme="1" tint="0.249977111117893"/>
      </left>
      <right/>
      <top style="thin">
        <color theme="1" tint="0.249977111117893"/>
      </top>
      <bottom style="thin">
        <color theme="0" tint="-0.34998626667073579"/>
      </bottom>
      <diagonal/>
    </border>
    <border>
      <left/>
      <right style="thin">
        <color theme="1" tint="0.249977111117893"/>
      </right>
      <top/>
      <bottom style="thin">
        <color theme="0" tint="-0.34998626667073579"/>
      </bottom>
      <diagonal/>
    </border>
    <border>
      <left style="thin">
        <color theme="1" tint="0.249977111117893"/>
      </left>
      <right/>
      <top/>
      <bottom style="thin">
        <color theme="0" tint="-0.34998626667073579"/>
      </bottom>
      <diagonal/>
    </border>
    <border>
      <left style="thin">
        <color theme="0" tint="-0.34998626667073579"/>
      </left>
      <right/>
      <top/>
      <bottom style="thin">
        <color theme="0" tint="-0.34998626667073579"/>
      </bottom>
      <diagonal/>
    </border>
    <border>
      <left style="thin">
        <color theme="1" tint="0.249977111117893"/>
      </left>
      <right/>
      <top style="thin">
        <color theme="0" tint="-0.34998626667073579"/>
      </top>
      <bottom style="thin">
        <color theme="0" tint="-0.34998626667073579"/>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theme="0" tint="-0.34998626667073579"/>
      </left>
      <right/>
      <top style="thin">
        <color theme="0" tint="-0.34998626667073579"/>
      </top>
      <bottom style="thin">
        <color theme="0" tint="-0.34998626667073579"/>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theme="1" tint="0.249977111117893"/>
      </right>
      <top style="thin">
        <color theme="0" tint="-0.34998626667073579"/>
      </top>
      <bottom/>
      <diagonal/>
    </border>
    <border>
      <left/>
      <right style="thin">
        <color theme="1" tint="0.249977111117893"/>
      </right>
      <top style="thin">
        <color theme="1"/>
      </top>
      <bottom style="thin">
        <color theme="0" tint="-0.34998626667073579"/>
      </bottom>
      <diagonal/>
    </border>
    <border>
      <left/>
      <right/>
      <top style="thin">
        <color theme="1"/>
      </top>
      <bottom style="thin">
        <color theme="0" tint="-0.34998626667073579"/>
      </bottom>
      <diagonal/>
    </border>
    <border>
      <left style="thin">
        <color theme="0"/>
      </left>
      <right style="thin">
        <color theme="0"/>
      </right>
      <top style="thin">
        <color theme="0" tint="-0.34998626667073579"/>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theme="0" tint="-0.34998626667073579"/>
      </left>
      <right/>
      <top style="thin">
        <color indexed="64"/>
      </top>
      <bottom style="thin">
        <color theme="0" tint="-0.34998626667073579"/>
      </bottom>
      <diagonal/>
    </border>
  </borders>
  <cellStyleXfs count="6031">
    <xf numFmtId="0" fontId="0" fillId="0" borderId="0">
      <alignment vertical="center"/>
    </xf>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7" fillId="0" borderId="0" applyNumberFormat="0" applyFont="0" applyFill="0" applyBorder="0" applyProtection="0">
      <alignment horizontal="left" vertical="center" indent="2"/>
    </xf>
    <xf numFmtId="49" fontId="4" fillId="0" borderId="1" applyNumberFormat="0" applyFont="0" applyFill="0" applyBorder="0" applyProtection="0">
      <alignment horizontal="left" vertical="center" indent="2"/>
    </xf>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7" fillId="0" borderId="0" applyNumberFormat="0" applyFont="0" applyFill="0" applyBorder="0" applyProtection="0">
      <alignment horizontal="left" vertical="center" indent="5"/>
    </xf>
    <xf numFmtId="49" fontId="4" fillId="0" borderId="2" applyNumberFormat="0" applyFont="0" applyFill="0" applyBorder="0" applyProtection="0">
      <alignment horizontal="left" vertical="center" indent="5"/>
    </xf>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8" fillId="20" borderId="0" applyBorder="0" applyAlignment="0"/>
    <xf numFmtId="4" fontId="8" fillId="20" borderId="0" applyBorder="0" applyAlignment="0"/>
    <xf numFmtId="0" fontId="4" fillId="20" borderId="0" applyBorder="0">
      <alignment horizontal="right" vertical="center"/>
    </xf>
    <xf numFmtId="4" fontId="4" fillId="20" borderId="0" applyBorder="0">
      <alignment horizontal="right" vertical="center"/>
    </xf>
    <xf numFmtId="0" fontId="4" fillId="20" borderId="1">
      <alignment horizontal="right" vertical="center"/>
    </xf>
    <xf numFmtId="4" fontId="4" fillId="21" borderId="0" applyBorder="0">
      <alignment horizontal="right" vertical="center"/>
    </xf>
    <xf numFmtId="4" fontId="4" fillId="21" borderId="0" applyBorder="0">
      <alignment horizontal="right" vertical="center"/>
    </xf>
    <xf numFmtId="0" fontId="6" fillId="21" borderId="1">
      <alignment horizontal="right" vertical="center"/>
    </xf>
    <xf numFmtId="4" fontId="6" fillId="21" borderId="1">
      <alignment horizontal="right" vertical="center"/>
    </xf>
    <xf numFmtId="0" fontId="6" fillId="21" borderId="3">
      <alignment horizontal="right" vertical="center"/>
    </xf>
    <xf numFmtId="0" fontId="9" fillId="21" borderId="1">
      <alignment horizontal="right" vertical="center"/>
    </xf>
    <xf numFmtId="4" fontId="9" fillId="21" borderId="1">
      <alignment horizontal="right" vertical="center"/>
    </xf>
    <xf numFmtId="0" fontId="6" fillId="22" borderId="1">
      <alignment horizontal="right" vertical="center"/>
    </xf>
    <xf numFmtId="4" fontId="6" fillId="22" borderId="1">
      <alignment horizontal="right" vertical="center"/>
    </xf>
    <xf numFmtId="0" fontId="6" fillId="22" borderId="3">
      <alignment horizontal="right" vertical="center"/>
    </xf>
    <xf numFmtId="0" fontId="6" fillId="22" borderId="1">
      <alignment horizontal="right" vertical="center"/>
    </xf>
    <xf numFmtId="4" fontId="6" fillId="22" borderId="1">
      <alignment horizontal="right" vertical="center"/>
    </xf>
    <xf numFmtId="0" fontId="6" fillId="22" borderId="4">
      <alignment horizontal="right" vertical="center"/>
    </xf>
    <xf numFmtId="0" fontId="6" fillId="22" borderId="2">
      <alignment horizontal="right" vertical="center"/>
    </xf>
    <xf numFmtId="4" fontId="6" fillId="22" borderId="2">
      <alignment horizontal="right" vertical="center"/>
    </xf>
    <xf numFmtId="0" fontId="6" fillId="22" borderId="5">
      <alignment horizontal="right" vertical="center"/>
    </xf>
    <xf numFmtId="4" fontId="6" fillId="22" borderId="5">
      <alignment horizontal="right" vertical="center"/>
    </xf>
    <xf numFmtId="0" fontId="15" fillId="3" borderId="0" applyNumberFormat="0" applyBorder="0" applyAlignment="0" applyProtection="0"/>
    <xf numFmtId="4" fontId="8" fillId="0" borderId="6" applyFill="0" applyBorder="0" applyProtection="0">
      <alignment horizontal="right" vertical="center"/>
    </xf>
    <xf numFmtId="0" fontId="16" fillId="23" borderId="7" applyNumberFormat="0" applyAlignment="0" applyProtection="0"/>
    <xf numFmtId="0" fontId="17" fillId="24" borderId="8" applyNumberFormat="0" applyAlignment="0" applyProtection="0"/>
    <xf numFmtId="0" fontId="6" fillId="0" borderId="0" applyNumberFormat="0">
      <alignment horizontal="right"/>
    </xf>
    <xf numFmtId="0" fontId="4" fillId="22" borderId="9">
      <alignment horizontal="left" vertical="center" wrapText="1" indent="2"/>
    </xf>
    <xf numFmtId="0" fontId="4" fillId="0" borderId="9">
      <alignment horizontal="left" vertical="center" wrapText="1" indent="2"/>
    </xf>
    <xf numFmtId="0" fontId="4" fillId="21" borderId="2">
      <alignment horizontal="left" vertical="center"/>
    </xf>
    <xf numFmtId="0" fontId="6" fillId="0" borderId="10">
      <alignment horizontal="left" vertical="top" wrapText="1"/>
    </xf>
    <xf numFmtId="0" fontId="7" fillId="0" borderId="11"/>
    <xf numFmtId="0" fontId="18" fillId="0" borderId="0" applyNumberFormat="0" applyFill="0" applyBorder="0" applyAlignment="0" applyProtection="0"/>
    <xf numFmtId="0" fontId="19" fillId="4" borderId="0" applyNumberFormat="0" applyBorder="0" applyAlignment="0" applyProtection="0"/>
    <xf numFmtId="0" fontId="20" fillId="0" borderId="12" applyNumberFormat="0" applyFill="0" applyAlignment="0" applyProtection="0"/>
    <xf numFmtId="0" fontId="21" fillId="0" borderId="13" applyNumberFormat="0" applyFill="0" applyAlignment="0" applyProtection="0"/>
    <xf numFmtId="0" fontId="22" fillId="0" borderId="14" applyNumberFormat="0" applyFill="0" applyAlignment="0" applyProtection="0"/>
    <xf numFmtId="0" fontId="22" fillId="0" borderId="0" applyNumberFormat="0" applyFill="0" applyBorder="0" applyAlignment="0" applyProtection="0"/>
    <xf numFmtId="0" fontId="5" fillId="0" borderId="0" applyNumberFormat="0" applyFill="0" applyBorder="0" applyAlignment="0" applyProtection="0"/>
    <xf numFmtId="0" fontId="23" fillId="7" borderId="7" applyNumberFormat="0" applyAlignment="0" applyProtection="0"/>
    <xf numFmtId="4" fontId="4" fillId="0" borderId="0" applyBorder="0">
      <alignment horizontal="right" vertical="center"/>
    </xf>
    <xf numFmtId="0" fontId="4" fillId="0" borderId="1">
      <alignment horizontal="right" vertical="center"/>
    </xf>
    <xf numFmtId="4" fontId="4" fillId="0" borderId="1">
      <alignment horizontal="right" vertical="center"/>
    </xf>
    <xf numFmtId="0" fontId="4" fillId="0" borderId="3">
      <alignment horizontal="right" vertical="center"/>
    </xf>
    <xf numFmtId="1" fontId="10" fillId="21" borderId="0" applyBorder="0">
      <alignment horizontal="right" vertical="center"/>
    </xf>
    <xf numFmtId="0" fontId="7" fillId="25" borderId="1"/>
    <xf numFmtId="0" fontId="24" fillId="0" borderId="15" applyNumberFormat="0" applyFill="0" applyAlignment="0" applyProtection="0"/>
    <xf numFmtId="0" fontId="25" fillId="26" borderId="0" applyNumberFormat="0" applyBorder="0" applyAlignment="0" applyProtection="0"/>
    <xf numFmtId="0" fontId="7" fillId="0" borderId="0"/>
    <xf numFmtId="4" fontId="7" fillId="0" borderId="0"/>
    <xf numFmtId="4" fontId="7" fillId="0" borderId="0"/>
    <xf numFmtId="4" fontId="7" fillId="0" borderId="0"/>
    <xf numFmtId="4" fontId="35" fillId="0" borderId="0"/>
    <xf numFmtId="4" fontId="33" fillId="0" borderId="0"/>
    <xf numFmtId="4" fontId="4" fillId="0" borderId="0" applyFill="0" applyBorder="0" applyProtection="0">
      <alignment horizontal="right" vertical="center"/>
    </xf>
    <xf numFmtId="4" fontId="4" fillId="0" borderId="1" applyFill="0" applyBorder="0" applyProtection="0">
      <alignment horizontal="right" vertical="center"/>
    </xf>
    <xf numFmtId="0" fontId="8" fillId="0" borderId="0" applyNumberFormat="0" applyFill="0" applyBorder="0" applyProtection="0">
      <alignment horizontal="left" vertical="center"/>
    </xf>
    <xf numFmtId="49" fontId="8" fillId="0" borderId="1" applyNumberFormat="0" applyFill="0" applyBorder="0" applyProtection="0">
      <alignment horizontal="left" vertical="center"/>
    </xf>
    <xf numFmtId="0" fontId="4" fillId="0" borderId="1"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12" fillId="27" borderId="0" applyNumberFormat="0" applyFont="0" applyBorder="0" applyAlignment="0" applyProtection="0"/>
    <xf numFmtId="0" fontId="34" fillId="27" borderId="0" applyNumberFormat="0" applyFont="0" applyBorder="0" applyAlignment="0" applyProtection="0"/>
    <xf numFmtId="0" fontId="37" fillId="27" borderId="0" applyNumberFormat="0" applyFont="0" applyBorder="0" applyAlignment="0" applyProtection="0"/>
    <xf numFmtId="4" fontId="7" fillId="0" borderId="0"/>
    <xf numFmtId="4" fontId="7" fillId="0" borderId="0"/>
    <xf numFmtId="0" fontId="7" fillId="28" borderId="16" applyNumberFormat="0" applyFont="0" applyAlignment="0" applyProtection="0"/>
    <xf numFmtId="0" fontId="26" fillId="23" borderId="17" applyNumberFormat="0" applyAlignment="0" applyProtection="0"/>
    <xf numFmtId="178" fontId="4" fillId="29" borderId="1" applyNumberFormat="0" applyFont="0" applyBorder="0" applyAlignment="0" applyProtection="0">
      <alignment horizontal="right" vertical="center"/>
    </xf>
    <xf numFmtId="0" fontId="4" fillId="27" borderId="1"/>
    <xf numFmtId="4" fontId="4" fillId="27" borderId="1"/>
    <xf numFmtId="0" fontId="4" fillId="27" borderId="3"/>
    <xf numFmtId="4" fontId="7" fillId="0" borderId="0"/>
    <xf numFmtId="0" fontId="7" fillId="0" borderId="0"/>
    <xf numFmtId="4" fontId="7" fillId="0" borderId="0"/>
    <xf numFmtId="4" fontId="7" fillId="0" borderId="0"/>
    <xf numFmtId="0" fontId="27" fillId="0" borderId="0" applyNumberFormat="0" applyFill="0" applyBorder="0" applyAlignment="0" applyProtection="0"/>
    <xf numFmtId="0" fontId="31" fillId="0" borderId="0" applyNumberFormat="0" applyFill="0" applyBorder="0" applyAlignment="0" applyProtection="0"/>
    <xf numFmtId="0" fontId="28" fillId="0" borderId="18" applyNumberFormat="0" applyFill="0" applyAlignment="0" applyProtection="0"/>
    <xf numFmtId="0" fontId="29" fillId="0" borderId="0" applyNumberFormat="0" applyFill="0" applyBorder="0" applyAlignment="0" applyProtection="0"/>
    <xf numFmtId="0" fontId="11" fillId="0" borderId="0" applyNumberFormat="0" applyFill="0" applyBorder="0" applyAlignment="0" applyProtection="0"/>
    <xf numFmtId="4" fontId="7" fillId="0" borderId="0"/>
    <xf numFmtId="4" fontId="36" fillId="0" borderId="0"/>
    <xf numFmtId="0" fontId="4" fillId="0" borderId="0"/>
    <xf numFmtId="4" fontId="4" fillId="0" borderId="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xf numFmtId="0" fontId="39"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4" fillId="0" borderId="0" applyNumberFormat="0" applyFill="0" applyBorder="0" applyAlignment="0" applyProtection="0"/>
    <xf numFmtId="0" fontId="1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7" fillId="0" borderId="0"/>
    <xf numFmtId="0" fontId="30" fillId="0" borderId="0"/>
    <xf numFmtId="0" fontId="45" fillId="0" borderId="0"/>
    <xf numFmtId="0" fontId="45" fillId="0" borderId="0"/>
    <xf numFmtId="0" fontId="38" fillId="0" borderId="0"/>
    <xf numFmtId="0" fontId="2" fillId="0" borderId="0">
      <alignment vertical="center"/>
    </xf>
    <xf numFmtId="0" fontId="38" fillId="0" borderId="0">
      <alignment vertical="center"/>
    </xf>
    <xf numFmtId="0" fontId="2" fillId="0" borderId="0">
      <alignment vertical="center"/>
    </xf>
    <xf numFmtId="0" fontId="38" fillId="0" borderId="0">
      <alignment vertical="center"/>
    </xf>
    <xf numFmtId="0" fontId="46" fillId="0" borderId="0"/>
    <xf numFmtId="0" fontId="47" fillId="0" borderId="0"/>
    <xf numFmtId="0" fontId="38" fillId="0" borderId="0"/>
    <xf numFmtId="0" fontId="48" fillId="0" borderId="0"/>
    <xf numFmtId="0" fontId="49" fillId="31" borderId="19" applyNumberFormat="0" applyAlignment="0" applyProtection="0"/>
    <xf numFmtId="4" fontId="6" fillId="22" borderId="42">
      <alignment horizontal="right" vertical="center"/>
    </xf>
    <xf numFmtId="0" fontId="68" fillId="0" borderId="32" applyNumberFormat="0" applyFill="0" applyAlignment="0" applyProtection="0"/>
    <xf numFmtId="4" fontId="9" fillId="21" borderId="35">
      <alignment horizontal="right" vertical="center"/>
    </xf>
    <xf numFmtId="0" fontId="4" fillId="21" borderId="0" applyBorder="0">
      <alignment horizontal="right" vertical="center"/>
    </xf>
    <xf numFmtId="0" fontId="4" fillId="21" borderId="20">
      <alignment horizontal="right" vertical="center"/>
    </xf>
    <xf numFmtId="0" fontId="4" fillId="21" borderId="0" applyBorder="0">
      <alignment horizontal="right" vertical="center"/>
    </xf>
    <xf numFmtId="0" fontId="4" fillId="0" borderId="0" applyBorder="0">
      <alignment horizontal="right" vertical="center"/>
    </xf>
    <xf numFmtId="4" fontId="9" fillId="21" borderId="90">
      <alignment horizontal="right" vertical="center"/>
    </xf>
    <xf numFmtId="0" fontId="16" fillId="23" borderId="87" applyNumberFormat="0" applyAlignment="0" applyProtection="0"/>
    <xf numFmtId="0" fontId="4" fillId="22" borderId="101">
      <alignment horizontal="left" vertical="center" wrapText="1" indent="2"/>
    </xf>
    <xf numFmtId="0" fontId="6" fillId="22" borderId="83">
      <alignment horizontal="right" vertical="center"/>
    </xf>
    <xf numFmtId="0" fontId="28" fillId="0" borderId="56" applyNumberFormat="0" applyFill="0" applyAlignment="0" applyProtection="0"/>
    <xf numFmtId="0" fontId="6" fillId="22" borderId="50">
      <alignment horizontal="right" vertical="center"/>
    </xf>
    <xf numFmtId="4" fontId="6" fillId="22" borderId="36">
      <alignment horizontal="right" vertical="center"/>
    </xf>
    <xf numFmtId="4" fontId="9" fillId="21" borderId="98">
      <alignment horizontal="right" vertical="center"/>
    </xf>
    <xf numFmtId="4" fontId="4" fillId="0" borderId="82" applyFill="0" applyBorder="0" applyProtection="0">
      <alignment horizontal="right" vertical="center"/>
    </xf>
    <xf numFmtId="0" fontId="68" fillId="0" borderId="60" applyNumberFormat="0" applyFill="0" applyAlignment="0" applyProtection="0"/>
    <xf numFmtId="0" fontId="4" fillId="0" borderId="82" applyNumberFormat="0" applyFill="0" applyAlignment="0" applyProtection="0"/>
    <xf numFmtId="4" fontId="6" fillId="22" borderId="5">
      <alignment horizontal="right" vertical="center"/>
    </xf>
    <xf numFmtId="49" fontId="8" fillId="0" borderId="50" applyNumberFormat="0" applyFill="0" applyBorder="0" applyProtection="0">
      <alignment horizontal="left" vertical="center"/>
    </xf>
    <xf numFmtId="0" fontId="7" fillId="0" borderId="0"/>
    <xf numFmtId="0" fontId="50" fillId="0" borderId="0" applyNumberFormat="0" applyFill="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51" fillId="2" borderId="0" applyNumberFormat="0" applyBorder="0" applyAlignment="0" applyProtection="0"/>
    <xf numFmtId="0" fontId="51" fillId="3" borderId="0" applyNumberFormat="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7" fillId="0" borderId="0" applyNumberFormat="0" applyFont="0" applyFill="0" applyBorder="0" applyProtection="0">
      <alignment horizontal="left" vertical="center" indent="2"/>
    </xf>
    <xf numFmtId="0" fontId="7" fillId="0" borderId="0" applyNumberFormat="0" applyFont="0" applyFill="0" applyBorder="0" applyProtection="0">
      <alignment horizontal="left" vertical="center" indent="2"/>
    </xf>
    <xf numFmtId="49" fontId="4" fillId="0" borderId="1" applyNumberFormat="0" applyFont="0" applyFill="0" applyBorder="0" applyProtection="0">
      <alignment horizontal="left" vertical="center" indent="2"/>
    </xf>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5" borderId="0" applyNumberFormat="0" applyBorder="0" applyAlignment="0" applyProtection="0"/>
    <xf numFmtId="0" fontId="51" fillId="8" borderId="0" applyNumberFormat="0" applyBorder="0" applyAlignment="0" applyProtection="0"/>
    <xf numFmtId="0" fontId="51" fillId="11" borderId="0" applyNumberFormat="0" applyBorder="0" applyAlignment="0" applyProtection="0"/>
    <xf numFmtId="0" fontId="7" fillId="0" borderId="0" applyNumberFormat="0" applyFont="0" applyFill="0" applyBorder="0" applyProtection="0">
      <alignment horizontal="left" vertical="center" indent="5"/>
    </xf>
    <xf numFmtId="0" fontId="7" fillId="0" borderId="0" applyNumberFormat="0" applyFont="0" applyFill="0" applyBorder="0" applyProtection="0">
      <alignment horizontal="left" vertical="center" indent="5"/>
    </xf>
    <xf numFmtId="49" fontId="4" fillId="0" borderId="2" applyNumberFormat="0" applyFont="0" applyFill="0" applyBorder="0" applyProtection="0">
      <alignment horizontal="left" vertical="center" indent="5"/>
    </xf>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52" fillId="12"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8"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9" borderId="0" applyNumberFormat="0" applyBorder="0" applyAlignment="0" applyProtection="0"/>
    <xf numFmtId="4" fontId="4" fillId="21" borderId="0" applyBorder="0">
      <alignment horizontal="right" vertical="center"/>
    </xf>
    <xf numFmtId="4" fontId="4" fillId="21" borderId="0" applyBorder="0">
      <alignment horizontal="right" vertical="center"/>
    </xf>
    <xf numFmtId="49" fontId="4" fillId="0" borderId="50" applyNumberFormat="0" applyFont="0" applyFill="0" applyBorder="0" applyProtection="0">
      <alignment horizontal="left" vertical="center" indent="2"/>
    </xf>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26" fillId="23" borderId="17" applyNumberFormat="0" applyAlignment="0" applyProtection="0"/>
    <xf numFmtId="0" fontId="53" fillId="3" borderId="0" applyNumberFormat="0" applyBorder="0" applyAlignment="0" applyProtection="0"/>
    <xf numFmtId="0" fontId="16" fillId="23" borderId="7" applyNumberFormat="0" applyAlignment="0" applyProtection="0"/>
    <xf numFmtId="0" fontId="54" fillId="23" borderId="7" applyNumberFormat="0" applyAlignment="0" applyProtection="0"/>
    <xf numFmtId="0" fontId="55" fillId="24" borderId="8" applyNumberFormat="0" applyAlignment="0" applyProtection="0"/>
    <xf numFmtId="176" fontId="13" fillId="0" borderId="0" applyFont="0" applyFill="0" applyBorder="0" applyAlignment="0" applyProtection="0"/>
    <xf numFmtId="179" fontId="56" fillId="0" borderId="0" applyFont="0" applyFill="0" applyBorder="0" applyAlignment="0" applyProtection="0"/>
    <xf numFmtId="176" fontId="13" fillId="0" borderId="0" applyFont="0" applyFill="0" applyBorder="0" applyAlignment="0" applyProtection="0"/>
    <xf numFmtId="0" fontId="6" fillId="22" borderId="51">
      <alignment horizontal="right" vertical="center"/>
    </xf>
    <xf numFmtId="0" fontId="6" fillId="22" borderId="84">
      <alignment horizontal="right" vertical="center"/>
    </xf>
    <xf numFmtId="0" fontId="23" fillId="7" borderId="7" applyNumberFormat="0" applyAlignment="0" applyProtection="0"/>
    <xf numFmtId="0" fontId="28" fillId="0" borderId="18" applyNumberFormat="0" applyFill="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4" borderId="0" applyNumberFormat="0" applyBorder="0" applyAlignment="0" applyProtection="0"/>
    <xf numFmtId="0" fontId="19" fillId="4" borderId="0" applyNumberFormat="0" applyBorder="0" applyAlignment="0" applyProtection="0"/>
    <xf numFmtId="0" fontId="59" fillId="0" borderId="12" applyNumberFormat="0" applyFill="0" applyAlignment="0" applyProtection="0"/>
    <xf numFmtId="0" fontId="60" fillId="0" borderId="13" applyNumberFormat="0" applyFill="0" applyAlignment="0" applyProtection="0"/>
    <xf numFmtId="0" fontId="61" fillId="0" borderId="14" applyNumberFormat="0" applyFill="0" applyAlignment="0" applyProtection="0"/>
    <xf numFmtId="0" fontId="61" fillId="0" borderId="0" applyNumberFormat="0" applyFill="0" applyBorder="0" applyAlignment="0" applyProtection="0"/>
    <xf numFmtId="0" fontId="62" fillId="7" borderId="7" applyNumberFormat="0" applyAlignment="0" applyProtection="0"/>
    <xf numFmtId="4" fontId="4" fillId="0" borderId="0" applyBorder="0">
      <alignment horizontal="right" vertical="center"/>
    </xf>
    <xf numFmtId="0" fontId="4" fillId="0" borderId="21">
      <alignment horizontal="right" vertical="center"/>
    </xf>
    <xf numFmtId="49" fontId="8" fillId="0" borderId="41" applyNumberFormat="0" applyFill="0" applyBorder="0" applyProtection="0">
      <alignment horizontal="left" vertical="center"/>
    </xf>
    <xf numFmtId="0" fontId="28" fillId="0" borderId="39" applyNumberFormat="0" applyFill="0" applyAlignment="0" applyProtection="0"/>
    <xf numFmtId="0" fontId="23" fillId="7" borderId="67" applyNumberFormat="0" applyAlignment="0" applyProtection="0"/>
    <xf numFmtId="0" fontId="63" fillId="0" borderId="15" applyNumberFormat="0" applyFill="0" applyAlignment="0" applyProtection="0"/>
    <xf numFmtId="0" fontId="64" fillId="26" borderId="0" applyNumberFormat="0" applyBorder="0" applyAlignment="0" applyProtection="0"/>
    <xf numFmtId="0" fontId="7" fillId="0" borderId="0"/>
    <xf numFmtId="0" fontId="7" fillId="0" borderId="0"/>
    <xf numFmtId="0" fontId="7" fillId="0" borderId="0"/>
    <xf numFmtId="0" fontId="7" fillId="0" borderId="0"/>
    <xf numFmtId="0" fontId="56" fillId="0" borderId="0"/>
    <xf numFmtId="4" fontId="65" fillId="0" borderId="0"/>
    <xf numFmtId="0" fontId="7" fillId="0" borderId="0"/>
    <xf numFmtId="0" fontId="7" fillId="0" borderId="0"/>
    <xf numFmtId="0" fontId="7" fillId="0" borderId="0"/>
    <xf numFmtId="0" fontId="7" fillId="0" borderId="0"/>
    <xf numFmtId="0" fontId="48" fillId="0" borderId="0"/>
    <xf numFmtId="0" fontId="4" fillId="22" borderId="37">
      <alignment horizontal="left" vertical="center" wrapText="1" indent="2"/>
    </xf>
    <xf numFmtId="4" fontId="4" fillId="0" borderId="0" applyFill="0" applyBorder="0" applyProtection="0">
      <alignment horizontal="right" vertical="center"/>
    </xf>
    <xf numFmtId="4" fontId="4" fillId="0" borderId="1" applyFill="0" applyBorder="0" applyProtection="0">
      <alignment horizontal="right" vertical="center"/>
    </xf>
    <xf numFmtId="0" fontId="8" fillId="0" borderId="0" applyNumberFormat="0" applyFill="0" applyBorder="0" applyProtection="0">
      <alignment horizontal="left" vertical="center"/>
    </xf>
    <xf numFmtId="49" fontId="8" fillId="0" borderId="1" applyNumberFormat="0" applyFill="0" applyBorder="0" applyProtection="0">
      <alignment horizontal="left" vertical="center"/>
    </xf>
    <xf numFmtId="0" fontId="7" fillId="27" borderId="0" applyNumberFormat="0" applyFont="0" applyBorder="0" applyAlignment="0" applyProtection="0"/>
    <xf numFmtId="4" fontId="7" fillId="27" borderId="0" applyNumberFormat="0" applyFont="0" applyBorder="0" applyAlignment="0" applyProtection="0"/>
    <xf numFmtId="4" fontId="7" fillId="27" borderId="0" applyNumberFormat="0" applyFont="0" applyBorder="0" applyAlignment="0" applyProtection="0"/>
    <xf numFmtId="0" fontId="7" fillId="27" borderId="0" applyNumberFormat="0" applyFont="0" applyBorder="0" applyAlignment="0" applyProtection="0"/>
    <xf numFmtId="0" fontId="7" fillId="27" borderId="0" applyNumberFormat="0" applyFont="0" applyBorder="0" applyAlignment="0" applyProtection="0"/>
    <xf numFmtId="0" fontId="56" fillId="32" borderId="0" applyNumberFormat="0" applyFont="0" applyBorder="0" applyAlignment="0" applyProtection="0"/>
    <xf numFmtId="0" fontId="51" fillId="28" borderId="16" applyNumberFormat="0" applyFont="0" applyAlignment="0" applyProtection="0"/>
    <xf numFmtId="0" fontId="7" fillId="28" borderId="16" applyNumberFormat="0" applyFont="0" applyAlignment="0" applyProtection="0"/>
    <xf numFmtId="0" fontId="66" fillId="23" borderId="17" applyNumberFormat="0" applyAlignment="0" applyProtection="0"/>
    <xf numFmtId="49" fontId="4" fillId="0" borderId="41" applyNumberFormat="0" applyFont="0" applyFill="0" applyBorder="0" applyProtection="0">
      <alignment horizontal="left" vertical="center" indent="2"/>
    </xf>
    <xf numFmtId="9" fontId="56" fillId="0" borderId="0" applyFont="0" applyFill="0" applyBorder="0" applyAlignment="0" applyProtection="0"/>
    <xf numFmtId="0" fontId="15" fillId="3" borderId="0" applyNumberFormat="0" applyBorder="0" applyAlignment="0" applyProtection="0"/>
    <xf numFmtId="49" fontId="4" fillId="0" borderId="34" applyNumberFormat="0" applyFont="0" applyFill="0" applyBorder="0" applyProtection="0">
      <alignment horizontal="left" vertical="center" indent="5"/>
    </xf>
    <xf numFmtId="0" fontId="67" fillId="0" borderId="0" applyNumberFormat="0" applyFill="0" applyBorder="0" applyAlignment="0" applyProtection="0"/>
    <xf numFmtId="0" fontId="68" fillId="0" borderId="18" applyNumberFormat="0" applyFill="0" applyAlignment="0" applyProtection="0"/>
    <xf numFmtId="0" fontId="69" fillId="0" borderId="0" applyNumberFormat="0" applyFill="0" applyBorder="0" applyAlignment="0" applyProtection="0"/>
    <xf numFmtId="0" fontId="20" fillId="0" borderId="12" applyNumberFormat="0" applyFill="0" applyAlignment="0" applyProtection="0"/>
    <xf numFmtId="0" fontId="21" fillId="0" borderId="13" applyNumberFormat="0" applyFill="0" applyAlignment="0" applyProtection="0"/>
    <xf numFmtId="0" fontId="22" fillId="0" borderId="14" applyNumberFormat="0" applyFill="0" applyAlignment="0" applyProtection="0"/>
    <xf numFmtId="0" fontId="22" fillId="0" borderId="0" applyNumberFormat="0" applyFill="0" applyBorder="0" applyAlignment="0" applyProtection="0"/>
    <xf numFmtId="0" fontId="24" fillId="0" borderId="15" applyNumberFormat="0" applyFill="0" applyAlignment="0" applyProtection="0"/>
    <xf numFmtId="0" fontId="29" fillId="0" borderId="0" applyNumberFormat="0" applyFill="0" applyBorder="0" applyAlignment="0" applyProtection="0"/>
    <xf numFmtId="0" fontId="70" fillId="0" borderId="0" applyNumberFormat="0" applyFill="0" applyBorder="0" applyAlignment="0" applyProtection="0"/>
    <xf numFmtId="0" fontId="17" fillId="24" borderId="8" applyNumberFormat="0" applyAlignment="0" applyProtection="0"/>
    <xf numFmtId="0" fontId="71" fillId="0" borderId="0" applyNumberFormat="0" applyFill="0" applyBorder="0" applyAlignment="0" applyProtection="0"/>
    <xf numFmtId="0" fontId="11" fillId="0" borderId="0" applyNumberFormat="0" applyFill="0" applyBorder="0" applyAlignment="0" applyProtection="0"/>
    <xf numFmtId="0" fontId="7" fillId="0" borderId="0" applyNumberFormat="0" applyFont="0" applyFill="0" applyBorder="0" applyProtection="0">
      <alignment horizontal="left" vertical="center"/>
    </xf>
    <xf numFmtId="0" fontId="4" fillId="21" borderId="0" applyBorder="0">
      <alignment horizontal="right" vertical="center"/>
    </xf>
    <xf numFmtId="0" fontId="4" fillId="21" borderId="0" applyBorder="0">
      <alignment horizontal="right" vertical="center"/>
    </xf>
    <xf numFmtId="0" fontId="4" fillId="0" borderId="0" applyBorder="0">
      <alignment horizontal="right" vertical="center"/>
    </xf>
    <xf numFmtId="4" fontId="7" fillId="0" borderId="0"/>
    <xf numFmtId="0" fontId="72" fillId="0" borderId="0"/>
    <xf numFmtId="0" fontId="7" fillId="27" borderId="0" applyNumberFormat="0" applyFont="0" applyBorder="0" applyAlignment="0" applyProtection="0"/>
    <xf numFmtId="0" fontId="11" fillId="0" borderId="0" applyNumberFormat="0" applyFill="0" applyBorder="0" applyAlignment="0" applyProtection="0"/>
    <xf numFmtId="4" fontId="7" fillId="0" borderId="0"/>
    <xf numFmtId="4" fontId="7" fillId="0" borderId="0"/>
    <xf numFmtId="0" fontId="48" fillId="0" borderId="0"/>
    <xf numFmtId="0" fontId="51" fillId="2" borderId="0" applyNumberFormat="0" applyBorder="0" applyAlignment="0" applyProtection="0"/>
    <xf numFmtId="0" fontId="51" fillId="3" borderId="0" applyNumberFormat="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5" borderId="0" applyNumberFormat="0" applyBorder="0" applyAlignment="0" applyProtection="0"/>
    <xf numFmtId="0" fontId="51" fillId="8" borderId="0" applyNumberFormat="0" applyBorder="0" applyAlignment="0" applyProtection="0"/>
    <xf numFmtId="0" fontId="51" fillId="11" borderId="0" applyNumberFormat="0" applyBorder="0" applyAlignment="0" applyProtection="0"/>
    <xf numFmtId="0" fontId="52" fillId="12"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8"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9" borderId="0" applyNumberFormat="0" applyBorder="0" applyAlignment="0" applyProtection="0"/>
    <xf numFmtId="0" fontId="53" fillId="3" borderId="0" applyNumberFormat="0" applyBorder="0" applyAlignment="0" applyProtection="0"/>
    <xf numFmtId="0" fontId="54" fillId="23" borderId="7" applyNumberFormat="0" applyAlignment="0" applyProtection="0"/>
    <xf numFmtId="0" fontId="55" fillId="24" borderId="8" applyNumberFormat="0" applyAlignment="0" applyProtection="0"/>
    <xf numFmtId="0" fontId="57" fillId="0" borderId="0" applyNumberFormat="0" applyFill="0" applyBorder="0" applyAlignment="0" applyProtection="0"/>
    <xf numFmtId="0" fontId="58" fillId="4" borderId="0" applyNumberFormat="0" applyBorder="0" applyAlignment="0" applyProtection="0"/>
    <xf numFmtId="0" fontId="59" fillId="0" borderId="12" applyNumberFormat="0" applyFill="0" applyAlignment="0" applyProtection="0"/>
    <xf numFmtId="0" fontId="60" fillId="0" borderId="13" applyNumberFormat="0" applyFill="0" applyAlignment="0" applyProtection="0"/>
    <xf numFmtId="0" fontId="61" fillId="0" borderId="14" applyNumberFormat="0" applyFill="0" applyAlignment="0" applyProtection="0"/>
    <xf numFmtId="0" fontId="61" fillId="0" borderId="0" applyNumberFormat="0" applyFill="0" applyBorder="0" applyAlignment="0" applyProtection="0"/>
    <xf numFmtId="0" fontId="62" fillId="7" borderId="7" applyNumberFormat="0" applyAlignment="0" applyProtection="0"/>
    <xf numFmtId="0" fontId="63" fillId="0" borderId="15" applyNumberFormat="0" applyFill="0" applyAlignment="0" applyProtection="0"/>
    <xf numFmtId="0" fontId="64" fillId="26" borderId="0" applyNumberFormat="0" applyBorder="0" applyAlignment="0" applyProtection="0"/>
    <xf numFmtId="0" fontId="7" fillId="0" borderId="0"/>
    <xf numFmtId="0" fontId="51" fillId="28" borderId="16" applyNumberFormat="0" applyFont="0" applyAlignment="0" applyProtection="0"/>
    <xf numFmtId="0" fontId="66" fillId="23" borderId="17" applyNumberFormat="0" applyAlignment="0" applyProtection="0"/>
    <xf numFmtId="0" fontId="67" fillId="0" borderId="0" applyNumberFormat="0" applyFill="0" applyBorder="0" applyAlignment="0" applyProtection="0"/>
    <xf numFmtId="0" fontId="68" fillId="0" borderId="18" applyNumberFormat="0" applyFill="0" applyAlignment="0" applyProtection="0"/>
    <xf numFmtId="0" fontId="70" fillId="0" borderId="0" applyNumberFormat="0" applyFill="0" applyBorder="0" applyAlignment="0" applyProtection="0"/>
    <xf numFmtId="0" fontId="73" fillId="0" borderId="0" applyNumberFormat="0" applyFill="0" applyBorder="0" applyAlignment="0" applyProtection="0"/>
    <xf numFmtId="0" fontId="74" fillId="0" borderId="0">
      <alignment horizontal="left" vertical="center" indent="1"/>
    </xf>
    <xf numFmtId="0" fontId="51" fillId="2" borderId="0" applyNumberFormat="0" applyBorder="0" applyAlignment="0" applyProtection="0"/>
    <xf numFmtId="0" fontId="51" fillId="3" borderId="0" applyNumberFormat="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5" borderId="0" applyNumberFormat="0" applyBorder="0" applyAlignment="0" applyProtection="0"/>
    <xf numFmtId="0" fontId="51" fillId="8" borderId="0" applyNumberFormat="0" applyBorder="0" applyAlignment="0" applyProtection="0"/>
    <xf numFmtId="0" fontId="51" fillId="11" borderId="0" applyNumberFormat="0" applyBorder="0" applyAlignment="0" applyProtection="0"/>
    <xf numFmtId="0" fontId="52" fillId="12"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6" fillId="21" borderId="22">
      <alignment horizontal="right" vertical="center"/>
    </xf>
    <xf numFmtId="4" fontId="6" fillId="21" borderId="22">
      <alignment horizontal="right" vertical="center"/>
    </xf>
    <xf numFmtId="0" fontId="9" fillId="21" borderId="22">
      <alignment horizontal="right" vertical="center"/>
    </xf>
    <xf numFmtId="4" fontId="9" fillId="21" borderId="22">
      <alignment horizontal="right" vertical="center"/>
    </xf>
    <xf numFmtId="0" fontId="6" fillId="22" borderId="22">
      <alignment horizontal="right" vertical="center"/>
    </xf>
    <xf numFmtId="4" fontId="6" fillId="22" borderId="22">
      <alignment horizontal="right" vertical="center"/>
    </xf>
    <xf numFmtId="0" fontId="6" fillId="22" borderId="22">
      <alignment horizontal="right" vertical="center"/>
    </xf>
    <xf numFmtId="4" fontId="6" fillId="22" borderId="22">
      <alignment horizontal="right" vertical="center"/>
    </xf>
    <xf numFmtId="0" fontId="6" fillId="22" borderId="23">
      <alignment horizontal="right" vertical="center"/>
    </xf>
    <xf numFmtId="4" fontId="6" fillId="22" borderId="23">
      <alignment horizontal="right" vertical="center"/>
    </xf>
    <xf numFmtId="0" fontId="6" fillId="22" borderId="24">
      <alignment horizontal="right" vertical="center"/>
    </xf>
    <xf numFmtId="4" fontId="6" fillId="22" borderId="24">
      <alignment horizontal="right" vertical="center"/>
    </xf>
    <xf numFmtId="0" fontId="54" fillId="23" borderId="7" applyNumberFormat="0" applyAlignment="0" applyProtection="0"/>
    <xf numFmtId="0" fontId="4" fillId="22" borderId="25">
      <alignment horizontal="left" vertical="center" wrapText="1" indent="2"/>
    </xf>
    <xf numFmtId="0" fontId="4" fillId="0" borderId="25">
      <alignment horizontal="left" vertical="center" wrapText="1" indent="2"/>
    </xf>
    <xf numFmtId="0" fontId="4" fillId="21" borderId="23">
      <alignment horizontal="left" vertical="center"/>
    </xf>
    <xf numFmtId="0" fontId="57" fillId="0" borderId="0" applyNumberFormat="0" applyFill="0" applyBorder="0" applyAlignment="0" applyProtection="0"/>
    <xf numFmtId="0" fontId="62" fillId="7" borderId="7" applyNumberFormat="0" applyAlignment="0" applyProtection="0"/>
    <xf numFmtId="0" fontId="4" fillId="0" borderId="22">
      <alignment horizontal="right" vertical="center"/>
    </xf>
    <xf numFmtId="4" fontId="4" fillId="0" borderId="22">
      <alignment horizontal="right" vertical="center"/>
    </xf>
    <xf numFmtId="0" fontId="48" fillId="0" borderId="0"/>
    <xf numFmtId="0" fontId="4" fillId="0" borderId="22" applyNumberFormat="0" applyFill="0" applyAlignment="0" applyProtection="0"/>
    <xf numFmtId="0" fontId="66" fillId="23" borderId="17" applyNumberFormat="0" applyAlignment="0" applyProtection="0"/>
    <xf numFmtId="178" fontId="4" fillId="29" borderId="22" applyNumberFormat="0" applyFont="0" applyBorder="0" applyAlignment="0" applyProtection="0">
      <alignment horizontal="right" vertical="center"/>
    </xf>
    <xf numFmtId="0" fontId="4" fillId="27" borderId="22"/>
    <xf numFmtId="4" fontId="4" fillId="27" borderId="22"/>
    <xf numFmtId="0" fontId="68" fillId="0" borderId="18" applyNumberFormat="0" applyFill="0" applyAlignment="0" applyProtection="0"/>
    <xf numFmtId="0" fontId="70"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9" fillId="31" borderId="19" applyNumberFormat="0" applyAlignment="0" applyProtection="0"/>
    <xf numFmtId="0" fontId="4" fillId="21" borderId="0" applyBorder="0">
      <alignment horizontal="right" vertical="center"/>
    </xf>
    <xf numFmtId="0" fontId="4" fillId="21" borderId="0" applyBorder="0">
      <alignment horizontal="right" vertical="center"/>
    </xf>
    <xf numFmtId="0" fontId="4" fillId="0" borderId="0" applyBorder="0">
      <alignment horizontal="right" vertical="center"/>
    </xf>
    <xf numFmtId="0" fontId="7" fillId="0" borderId="0"/>
    <xf numFmtId="49" fontId="4" fillId="0" borderId="22" applyNumberFormat="0" applyFont="0" applyFill="0" applyBorder="0" applyProtection="0">
      <alignment horizontal="left" vertical="center" indent="2"/>
    </xf>
    <xf numFmtId="49" fontId="4" fillId="0" borderId="23" applyNumberFormat="0" applyFont="0" applyFill="0" applyBorder="0" applyProtection="0">
      <alignment horizontal="left" vertical="center" indent="5"/>
    </xf>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9" fillId="4" borderId="0" applyNumberFormat="0" applyBorder="0" applyAlignment="0" applyProtection="0"/>
    <xf numFmtId="4" fontId="7" fillId="0" borderId="0"/>
    <xf numFmtId="0" fontId="7" fillId="0" borderId="0"/>
    <xf numFmtId="0" fontId="48" fillId="0" borderId="0"/>
    <xf numFmtId="4" fontId="4" fillId="0" borderId="22" applyFill="0" applyBorder="0" applyProtection="0">
      <alignment horizontal="right" vertical="center"/>
    </xf>
    <xf numFmtId="49" fontId="8" fillId="0" borderId="22" applyNumberFormat="0" applyFill="0" applyBorder="0" applyProtection="0">
      <alignment horizontal="left" vertical="center"/>
    </xf>
    <xf numFmtId="0" fontId="7" fillId="27" borderId="0" applyNumberFormat="0" applyFont="0" applyBorder="0" applyAlignment="0" applyProtection="0"/>
    <xf numFmtId="0" fontId="15" fillId="3" borderId="0" applyNumberFormat="0" applyBorder="0" applyAlignment="0" applyProtection="0"/>
    <xf numFmtId="0" fontId="20" fillId="0" borderId="12" applyNumberFormat="0" applyFill="0" applyAlignment="0" applyProtection="0"/>
    <xf numFmtId="0" fontId="21" fillId="0" borderId="13" applyNumberFormat="0" applyFill="0" applyAlignment="0" applyProtection="0"/>
    <xf numFmtId="0" fontId="22" fillId="0" borderId="14" applyNumberFormat="0" applyFill="0" applyAlignment="0" applyProtection="0"/>
    <xf numFmtId="0" fontId="22" fillId="0" borderId="0" applyNumberFormat="0" applyFill="0" applyBorder="0" applyAlignment="0" applyProtection="0"/>
    <xf numFmtId="0" fontId="24" fillId="0" borderId="15" applyNumberFormat="0" applyFill="0" applyAlignment="0" applyProtection="0"/>
    <xf numFmtId="0" fontId="17" fillId="24" borderId="8" applyNumberFormat="0" applyAlignment="0" applyProtection="0"/>
    <xf numFmtId="0" fontId="11" fillId="0" borderId="0" applyNumberFormat="0" applyFill="0" applyBorder="0" applyAlignment="0" applyProtection="0"/>
    <xf numFmtId="0" fontId="48" fillId="0" borderId="0"/>
    <xf numFmtId="0" fontId="49" fillId="31" borderId="19" applyNumberFormat="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26" fillId="23" borderId="17" applyNumberFormat="0" applyAlignment="0" applyProtection="0"/>
    <xf numFmtId="0" fontId="16" fillId="23" borderId="7" applyNumberFormat="0" applyAlignment="0" applyProtection="0"/>
    <xf numFmtId="0" fontId="28" fillId="0" borderId="18" applyNumberFormat="0" applyFill="0" applyAlignment="0" applyProtection="0"/>
    <xf numFmtId="0" fontId="18" fillId="0" borderId="0" applyNumberFormat="0" applyFill="0" applyBorder="0" applyAlignment="0" applyProtection="0"/>
    <xf numFmtId="0" fontId="48" fillId="0" borderId="0"/>
    <xf numFmtId="0" fontId="29" fillId="0" borderId="0" applyNumberFormat="0" applyFill="0" applyBorder="0" applyAlignment="0" applyProtection="0"/>
    <xf numFmtId="0" fontId="48" fillId="0" borderId="0"/>
    <xf numFmtId="0" fontId="48" fillId="0" borderId="0"/>
    <xf numFmtId="0" fontId="48" fillId="0" borderId="0"/>
    <xf numFmtId="49" fontId="4" fillId="0" borderId="1" applyNumberFormat="0" applyFont="0" applyFill="0" applyBorder="0" applyProtection="0">
      <alignment horizontal="left" vertical="center" indent="2"/>
    </xf>
    <xf numFmtId="49" fontId="4" fillId="0" borderId="2" applyNumberFormat="0" applyFont="0" applyFill="0" applyBorder="0" applyProtection="0">
      <alignment horizontal="left" vertical="center" indent="5"/>
    </xf>
    <xf numFmtId="0" fontId="6" fillId="21" borderId="1">
      <alignment horizontal="right" vertical="center"/>
    </xf>
    <xf numFmtId="4" fontId="6" fillId="21" borderId="1">
      <alignment horizontal="right" vertical="center"/>
    </xf>
    <xf numFmtId="0" fontId="9" fillId="21" borderId="1">
      <alignment horizontal="right" vertical="center"/>
    </xf>
    <xf numFmtId="4" fontId="9" fillId="21" borderId="1">
      <alignment horizontal="right" vertical="center"/>
    </xf>
    <xf numFmtId="0" fontId="6" fillId="22" borderId="1">
      <alignment horizontal="right" vertical="center"/>
    </xf>
    <xf numFmtId="4" fontId="6" fillId="22" borderId="1">
      <alignment horizontal="right" vertical="center"/>
    </xf>
    <xf numFmtId="0" fontId="6" fillId="22" borderId="1">
      <alignment horizontal="right" vertical="center"/>
    </xf>
    <xf numFmtId="4" fontId="6" fillId="22" borderId="1">
      <alignment horizontal="right" vertical="center"/>
    </xf>
    <xf numFmtId="0" fontId="6" fillId="22" borderId="2">
      <alignment horizontal="right" vertical="center"/>
    </xf>
    <xf numFmtId="4" fontId="6" fillId="22" borderId="2">
      <alignment horizontal="right" vertical="center"/>
    </xf>
    <xf numFmtId="0" fontId="6" fillId="22" borderId="5">
      <alignment horizontal="right" vertical="center"/>
    </xf>
    <xf numFmtId="4" fontId="6" fillId="22" borderId="5">
      <alignment horizontal="right" vertical="center"/>
    </xf>
    <xf numFmtId="179" fontId="12" fillId="0" borderId="0" applyFont="0" applyFill="0" applyBorder="0" applyAlignment="0" applyProtection="0"/>
    <xf numFmtId="0" fontId="4" fillId="22" borderId="9">
      <alignment horizontal="left" vertical="center" wrapText="1" indent="2"/>
    </xf>
    <xf numFmtId="0" fontId="4" fillId="0" borderId="9">
      <alignment horizontal="left" vertical="center" wrapText="1" indent="2"/>
    </xf>
    <xf numFmtId="0" fontId="4" fillId="21" borderId="2">
      <alignment horizontal="left" vertical="center"/>
    </xf>
    <xf numFmtId="0" fontId="23" fillId="7" borderId="7" applyNumberFormat="0" applyAlignment="0" applyProtection="0"/>
    <xf numFmtId="0" fontId="4" fillId="0" borderId="1">
      <alignment horizontal="right" vertical="center"/>
    </xf>
    <xf numFmtId="4" fontId="4" fillId="0" borderId="1">
      <alignment horizontal="right" vertical="center"/>
    </xf>
    <xf numFmtId="0" fontId="12" fillId="0" borderId="0"/>
    <xf numFmtId="0" fontId="72" fillId="0" borderId="0"/>
    <xf numFmtId="0" fontId="72" fillId="0" borderId="0"/>
    <xf numFmtId="0" fontId="48" fillId="0" borderId="0"/>
    <xf numFmtId="0" fontId="48" fillId="0" borderId="0"/>
    <xf numFmtId="0" fontId="48" fillId="0" borderId="0"/>
    <xf numFmtId="0" fontId="48" fillId="0" borderId="0"/>
    <xf numFmtId="0" fontId="72" fillId="0" borderId="0"/>
    <xf numFmtId="0" fontId="7" fillId="0" borderId="0"/>
    <xf numFmtId="4" fontId="4" fillId="0" borderId="1" applyFill="0" applyBorder="0" applyProtection="0">
      <alignment horizontal="right" vertical="center"/>
    </xf>
    <xf numFmtId="49" fontId="8" fillId="0" borderId="1" applyNumberFormat="0" applyFill="0" applyBorder="0" applyProtection="0">
      <alignment horizontal="left" vertical="center"/>
    </xf>
    <xf numFmtId="0" fontId="4" fillId="0" borderId="1" applyNumberFormat="0" applyFill="0" applyAlignment="0" applyProtection="0"/>
    <xf numFmtId="0" fontId="12" fillId="32" borderId="0" applyNumberFormat="0" applyFont="0" applyBorder="0" applyAlignment="0" applyProtection="0"/>
    <xf numFmtId="178" fontId="4" fillId="29" borderId="1" applyNumberFormat="0" applyFont="0" applyBorder="0" applyAlignment="0" applyProtection="0">
      <alignment horizontal="right" vertical="center"/>
    </xf>
    <xf numFmtId="9" fontId="12" fillId="0" borderId="0" applyFont="0" applyFill="0" applyBorder="0" applyAlignment="0" applyProtection="0"/>
    <xf numFmtId="0" fontId="4" fillId="27" borderId="1"/>
    <xf numFmtId="4" fontId="4" fillId="27" borderId="1"/>
    <xf numFmtId="0" fontId="4" fillId="22" borderId="25">
      <alignment horizontal="left" vertical="center" wrapText="1" indent="2"/>
    </xf>
    <xf numFmtId="0" fontId="4" fillId="0" borderId="25">
      <alignment horizontal="left" vertical="center" wrapText="1" indent="2"/>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 fillId="22" borderId="9">
      <alignment horizontal="left" vertical="center" wrapText="1" indent="2"/>
    </xf>
    <xf numFmtId="0" fontId="4" fillId="0" borderId="9">
      <alignment horizontal="left" vertical="center" wrapText="1" indent="2"/>
    </xf>
    <xf numFmtId="0" fontId="7" fillId="0" borderId="0"/>
    <xf numFmtId="4" fontId="6" fillId="22" borderId="22">
      <alignment horizontal="right" vertical="center"/>
    </xf>
    <xf numFmtId="0" fontId="4" fillId="27" borderId="22"/>
    <xf numFmtId="0" fontId="16" fillId="23" borderId="7" applyNumberFormat="0" applyAlignment="0" applyProtection="0"/>
    <xf numFmtId="0" fontId="6" fillId="21" borderId="22">
      <alignment horizontal="right" vertical="center"/>
    </xf>
    <xf numFmtId="0" fontId="4" fillId="0" borderId="22">
      <alignment horizontal="right" vertical="center"/>
    </xf>
    <xf numFmtId="0" fontId="68" fillId="0" borderId="18" applyNumberFormat="0" applyFill="0" applyAlignment="0" applyProtection="0"/>
    <xf numFmtId="0" fontId="4" fillId="21" borderId="23">
      <alignment horizontal="left" vertical="center"/>
    </xf>
    <xf numFmtId="0" fontId="62" fillId="7" borderId="7" applyNumberFormat="0" applyAlignment="0" applyProtection="0"/>
    <xf numFmtId="178" fontId="4" fillId="29" borderId="22" applyNumberFormat="0" applyFont="0" applyBorder="0" applyAlignment="0" applyProtection="0">
      <alignment horizontal="right" vertical="center"/>
    </xf>
    <xf numFmtId="0" fontId="51" fillId="28" borderId="16" applyNumberFormat="0" applyFont="0" applyAlignment="0" applyProtection="0"/>
    <xf numFmtId="0" fontId="4" fillId="0" borderId="25">
      <alignment horizontal="left" vertical="center" wrapText="1" indent="2"/>
    </xf>
    <xf numFmtId="4" fontId="4" fillId="27" borderId="22"/>
    <xf numFmtId="49" fontId="8" fillId="0" borderId="22" applyNumberFormat="0" applyFill="0" applyBorder="0" applyProtection="0">
      <alignment horizontal="left" vertical="center"/>
    </xf>
    <xf numFmtId="0" fontId="4" fillId="0" borderId="22">
      <alignment horizontal="right" vertical="center"/>
    </xf>
    <xf numFmtId="4" fontId="6" fillId="22" borderId="24">
      <alignment horizontal="right" vertical="center"/>
    </xf>
    <xf numFmtId="4" fontId="6" fillId="22" borderId="22">
      <alignment horizontal="right" vertical="center"/>
    </xf>
    <xf numFmtId="4" fontId="6" fillId="22" borderId="22">
      <alignment horizontal="right" vertical="center"/>
    </xf>
    <xf numFmtId="0" fontId="9" fillId="21" borderId="22">
      <alignment horizontal="right" vertical="center"/>
    </xf>
    <xf numFmtId="0" fontId="6" fillId="21" borderId="22">
      <alignment horizontal="right" vertical="center"/>
    </xf>
    <xf numFmtId="49" fontId="4" fillId="0" borderId="22" applyNumberFormat="0" applyFont="0" applyFill="0" applyBorder="0" applyProtection="0">
      <alignment horizontal="left" vertical="center" indent="2"/>
    </xf>
    <xf numFmtId="0" fontId="62" fillId="7" borderId="7" applyNumberFormat="0" applyAlignment="0" applyProtection="0"/>
    <xf numFmtId="0" fontId="26" fillId="23" borderId="17" applyNumberFormat="0" applyAlignment="0" applyProtection="0"/>
    <xf numFmtId="49" fontId="4" fillId="0" borderId="22" applyNumberFormat="0" applyFont="0" applyFill="0" applyBorder="0" applyProtection="0">
      <alignment horizontal="left" vertical="center" indent="2"/>
    </xf>
    <xf numFmtId="0" fontId="23" fillId="7" borderId="7" applyNumberFormat="0" applyAlignment="0" applyProtection="0"/>
    <xf numFmtId="4" fontId="4" fillId="0" borderId="22" applyFill="0" applyBorder="0" applyProtection="0">
      <alignment horizontal="right" vertical="center"/>
    </xf>
    <xf numFmtId="0" fontId="54" fillId="23" borderId="7" applyNumberFormat="0" applyAlignment="0" applyProtection="0"/>
    <xf numFmtId="0" fontId="68" fillId="0" borderId="18" applyNumberFormat="0" applyFill="0" applyAlignment="0" applyProtection="0"/>
    <xf numFmtId="0" fontId="66" fillId="23" borderId="17" applyNumberFormat="0" applyAlignment="0" applyProtection="0"/>
    <xf numFmtId="0" fontId="4" fillId="0" borderId="22" applyNumberFormat="0" applyFill="0" applyAlignment="0" applyProtection="0"/>
    <xf numFmtId="4" fontId="4" fillId="0" borderId="22">
      <alignment horizontal="right" vertical="center"/>
    </xf>
    <xf numFmtId="0" fontId="4" fillId="0" borderId="22">
      <alignment horizontal="right" vertical="center"/>
    </xf>
    <xf numFmtId="0" fontId="62" fillId="7" borderId="7" applyNumberFormat="0" applyAlignment="0" applyProtection="0"/>
    <xf numFmtId="0" fontId="26" fillId="23" borderId="17" applyNumberFormat="0" applyAlignment="0" applyProtection="0"/>
    <xf numFmtId="0" fontId="16" fillId="23" borderId="7" applyNumberFormat="0" applyAlignment="0" applyProtection="0"/>
    <xf numFmtId="0" fontId="4" fillId="22" borderId="25">
      <alignment horizontal="left" vertical="center" wrapText="1" indent="2"/>
    </xf>
    <xf numFmtId="0" fontId="54" fillId="23" borderId="7" applyNumberFormat="0" applyAlignment="0" applyProtection="0"/>
    <xf numFmtId="0" fontId="54" fillId="23" borderId="7" applyNumberFormat="0" applyAlignment="0" applyProtection="0"/>
    <xf numFmtId="4" fontId="6" fillId="22" borderId="23">
      <alignment horizontal="right" vertical="center"/>
    </xf>
    <xf numFmtId="0" fontId="6" fillId="22" borderId="23">
      <alignment horizontal="right" vertical="center"/>
    </xf>
    <xf numFmtId="0" fontId="6" fillId="22" borderId="22">
      <alignment horizontal="right" vertical="center"/>
    </xf>
    <xf numFmtId="4" fontId="9" fillId="21" borderId="22">
      <alignment horizontal="right" vertical="center"/>
    </xf>
    <xf numFmtId="0" fontId="23" fillId="7" borderId="7" applyNumberFormat="0" applyAlignment="0" applyProtection="0"/>
    <xf numFmtId="0" fontId="28" fillId="0" borderId="18" applyNumberFormat="0" applyFill="0" applyAlignment="0" applyProtection="0"/>
    <xf numFmtId="0" fontId="68" fillId="0" borderId="18" applyNumberFormat="0" applyFill="0" applyAlignment="0" applyProtection="0"/>
    <xf numFmtId="0" fontId="51" fillId="28" borderId="16" applyNumberFormat="0" applyFont="0" applyAlignment="0" applyProtection="0"/>
    <xf numFmtId="0" fontId="62" fillId="7" borderId="7" applyNumberFormat="0" applyAlignment="0" applyProtection="0"/>
    <xf numFmtId="49" fontId="8" fillId="0" borderId="22" applyNumberFormat="0" applyFill="0" applyBorder="0" applyProtection="0">
      <alignment horizontal="left" vertical="center"/>
    </xf>
    <xf numFmtId="0" fontId="4" fillId="22" borderId="25">
      <alignment horizontal="left" vertical="center" wrapText="1" indent="2"/>
    </xf>
    <xf numFmtId="0" fontId="54" fillId="23" borderId="7" applyNumberFormat="0" applyAlignment="0" applyProtection="0"/>
    <xf numFmtId="0" fontId="4" fillId="0" borderId="25">
      <alignment horizontal="left" vertical="center" wrapText="1" indent="2"/>
    </xf>
    <xf numFmtId="0" fontId="51" fillId="28" borderId="16" applyNumberFormat="0" applyFont="0" applyAlignment="0" applyProtection="0"/>
    <xf numFmtId="0" fontId="7" fillId="28" borderId="16" applyNumberFormat="0" applyFont="0" applyAlignment="0" applyProtection="0"/>
    <xf numFmtId="0" fontId="66" fillId="23" borderId="17" applyNumberFormat="0" applyAlignment="0" applyProtection="0"/>
    <xf numFmtId="0" fontId="68" fillId="0" borderId="18" applyNumberFormat="0" applyFill="0" applyAlignment="0" applyProtection="0"/>
    <xf numFmtId="4" fontId="4" fillId="27" borderId="22"/>
    <xf numFmtId="0" fontId="6" fillId="22" borderId="22">
      <alignment horizontal="right" vertical="center"/>
    </xf>
    <xf numFmtId="0" fontId="68" fillId="0" borderId="18" applyNumberFormat="0" applyFill="0" applyAlignment="0" applyProtection="0"/>
    <xf numFmtId="4" fontId="6" fillId="22" borderId="24">
      <alignment horizontal="right" vertical="center"/>
    </xf>
    <xf numFmtId="0" fontId="16" fillId="23" borderId="7" applyNumberFormat="0" applyAlignment="0" applyProtection="0"/>
    <xf numFmtId="0" fontId="6" fillId="22" borderId="23">
      <alignment horizontal="right" vertical="center"/>
    </xf>
    <xf numFmtId="0" fontId="54" fillId="23" borderId="7" applyNumberFormat="0" applyAlignment="0" applyProtection="0"/>
    <xf numFmtId="0" fontId="28" fillId="0" borderId="18" applyNumberFormat="0" applyFill="0" applyAlignment="0" applyProtection="0"/>
    <xf numFmtId="0" fontId="51" fillId="28" borderId="16" applyNumberFormat="0" applyFont="0" applyAlignment="0" applyProtection="0"/>
    <xf numFmtId="4" fontId="6" fillId="22" borderId="23">
      <alignment horizontal="right" vertical="center"/>
    </xf>
    <xf numFmtId="0" fontId="4" fillId="22" borderId="25">
      <alignment horizontal="left" vertical="center" wrapText="1" indent="2"/>
    </xf>
    <xf numFmtId="0" fontId="4" fillId="27" borderId="22"/>
    <xf numFmtId="178" fontId="4" fillId="29" borderId="22" applyNumberFormat="0" applyFont="0" applyBorder="0" applyAlignment="0" applyProtection="0">
      <alignment horizontal="right" vertical="center"/>
    </xf>
    <xf numFmtId="0" fontId="4" fillId="0" borderId="22" applyNumberFormat="0" applyFill="0" applyAlignment="0" applyProtection="0"/>
    <xf numFmtId="4" fontId="4" fillId="0" borderId="22" applyFill="0" applyBorder="0" applyProtection="0">
      <alignment horizontal="right" vertical="center"/>
    </xf>
    <xf numFmtId="4" fontId="6" fillId="21" borderId="22">
      <alignment horizontal="right" vertical="center"/>
    </xf>
    <xf numFmtId="0" fontId="28" fillId="0" borderId="18" applyNumberFormat="0" applyFill="0" applyAlignment="0" applyProtection="0"/>
    <xf numFmtId="49" fontId="8" fillId="0" borderId="22" applyNumberFormat="0" applyFill="0" applyBorder="0" applyProtection="0">
      <alignment horizontal="left" vertical="center"/>
    </xf>
    <xf numFmtId="49" fontId="4" fillId="0" borderId="23" applyNumberFormat="0" applyFont="0" applyFill="0" applyBorder="0" applyProtection="0">
      <alignment horizontal="left" vertical="center" indent="5"/>
    </xf>
    <xf numFmtId="0" fontId="4" fillId="21" borderId="23">
      <alignment horizontal="left" vertical="center"/>
    </xf>
    <xf numFmtId="0" fontId="54" fillId="23" borderId="7" applyNumberFormat="0" applyAlignment="0" applyProtection="0"/>
    <xf numFmtId="4" fontId="6" fillId="22" borderId="24">
      <alignment horizontal="right" vertical="center"/>
    </xf>
    <xf numFmtId="0" fontId="62" fillId="7" borderId="7" applyNumberFormat="0" applyAlignment="0" applyProtection="0"/>
    <xf numFmtId="0" fontId="62" fillId="7" borderId="7" applyNumberFormat="0" applyAlignment="0" applyProtection="0"/>
    <xf numFmtId="0" fontId="51" fillId="28" borderId="16" applyNumberFormat="0" applyFont="0" applyAlignment="0" applyProtection="0"/>
    <xf numFmtId="0" fontId="66" fillId="23" borderId="17" applyNumberFormat="0" applyAlignment="0" applyProtection="0"/>
    <xf numFmtId="0" fontId="68" fillId="0" borderId="18" applyNumberFormat="0" applyFill="0" applyAlignment="0" applyProtection="0"/>
    <xf numFmtId="0" fontId="6" fillId="22" borderId="22">
      <alignment horizontal="right" vertical="center"/>
    </xf>
    <xf numFmtId="0" fontId="7" fillId="28" borderId="16" applyNumberFormat="0" applyFont="0" applyAlignment="0" applyProtection="0"/>
    <xf numFmtId="4" fontId="4" fillId="0" borderId="22">
      <alignment horizontal="right" vertical="center"/>
    </xf>
    <xf numFmtId="0" fontId="68" fillId="0" borderId="18" applyNumberFormat="0" applyFill="0" applyAlignment="0" applyProtection="0"/>
    <xf numFmtId="0" fontId="6" fillId="22" borderId="22">
      <alignment horizontal="right" vertical="center"/>
    </xf>
    <xf numFmtId="0" fontId="6" fillId="22" borderId="22">
      <alignment horizontal="right" vertical="center"/>
    </xf>
    <xf numFmtId="4" fontId="9" fillId="21" borderId="22">
      <alignment horizontal="right" vertical="center"/>
    </xf>
    <xf numFmtId="0" fontId="6" fillId="21" borderId="22">
      <alignment horizontal="right" vertical="center"/>
    </xf>
    <xf numFmtId="4" fontId="6" fillId="21" borderId="22">
      <alignment horizontal="right" vertical="center"/>
    </xf>
    <xf numFmtId="0" fontId="9" fillId="21" borderId="22">
      <alignment horizontal="right" vertical="center"/>
    </xf>
    <xf numFmtId="4" fontId="9" fillId="21" borderId="22">
      <alignment horizontal="right" vertical="center"/>
    </xf>
    <xf numFmtId="0" fontId="6" fillId="22" borderId="22">
      <alignment horizontal="right" vertical="center"/>
    </xf>
    <xf numFmtId="4" fontId="6" fillId="22" borderId="22">
      <alignment horizontal="right" vertical="center"/>
    </xf>
    <xf numFmtId="0" fontId="6" fillId="22" borderId="22">
      <alignment horizontal="right" vertical="center"/>
    </xf>
    <xf numFmtId="4" fontId="6" fillId="22" borderId="22">
      <alignment horizontal="right" vertical="center"/>
    </xf>
    <xf numFmtId="0" fontId="6" fillId="22" borderId="23">
      <alignment horizontal="right" vertical="center"/>
    </xf>
    <xf numFmtId="4" fontId="6" fillId="22" borderId="23">
      <alignment horizontal="right" vertical="center"/>
    </xf>
    <xf numFmtId="0" fontId="6" fillId="22" borderId="24">
      <alignment horizontal="right" vertical="center"/>
    </xf>
    <xf numFmtId="4" fontId="6" fillId="22" borderId="24">
      <alignment horizontal="right" vertical="center"/>
    </xf>
    <xf numFmtId="0" fontId="54" fillId="23" borderId="7" applyNumberFormat="0" applyAlignment="0" applyProtection="0"/>
    <xf numFmtId="0" fontId="4" fillId="22" borderId="25">
      <alignment horizontal="left" vertical="center" wrapText="1" indent="2"/>
    </xf>
    <xf numFmtId="0" fontId="4" fillId="0" borderId="25">
      <alignment horizontal="left" vertical="center" wrapText="1" indent="2"/>
    </xf>
    <xf numFmtId="0" fontId="4" fillId="21" borderId="23">
      <alignment horizontal="left" vertical="center"/>
    </xf>
    <xf numFmtId="0" fontId="62" fillId="7" borderId="7" applyNumberFormat="0" applyAlignment="0" applyProtection="0"/>
    <xf numFmtId="0" fontId="4" fillId="0" borderId="22">
      <alignment horizontal="right" vertical="center"/>
    </xf>
    <xf numFmtId="4" fontId="4" fillId="0" borderId="22">
      <alignment horizontal="right" vertical="center"/>
    </xf>
    <xf numFmtId="0" fontId="4" fillId="0" borderId="22" applyNumberFormat="0" applyFill="0" applyAlignment="0" applyProtection="0"/>
    <xf numFmtId="0" fontId="66" fillId="23" borderId="17" applyNumberFormat="0" applyAlignment="0" applyProtection="0"/>
    <xf numFmtId="178" fontId="4" fillId="29" borderId="22" applyNumberFormat="0" applyFont="0" applyBorder="0" applyAlignment="0" applyProtection="0">
      <alignment horizontal="right" vertical="center"/>
    </xf>
    <xf numFmtId="0" fontId="4" fillId="27" borderId="22"/>
    <xf numFmtId="4" fontId="4" fillId="27" borderId="22"/>
    <xf numFmtId="0" fontId="68" fillId="0" borderId="18" applyNumberFormat="0" applyFill="0" applyAlignment="0" applyProtection="0"/>
    <xf numFmtId="0" fontId="7" fillId="28" borderId="16" applyNumberFormat="0" applyFont="0" applyAlignment="0" applyProtection="0"/>
    <xf numFmtId="0" fontId="51" fillId="28" borderId="16" applyNumberFormat="0" applyFont="0" applyAlignment="0" applyProtection="0"/>
    <xf numFmtId="0" fontId="4" fillId="0" borderId="22" applyNumberFormat="0" applyFill="0" applyAlignment="0" applyProtection="0"/>
    <xf numFmtId="0" fontId="28" fillId="0" borderId="18" applyNumberFormat="0" applyFill="0" applyAlignment="0" applyProtection="0"/>
    <xf numFmtId="0" fontId="68" fillId="0" borderId="18" applyNumberFormat="0" applyFill="0" applyAlignment="0" applyProtection="0"/>
    <xf numFmtId="0" fontId="23" fillId="7" borderId="7" applyNumberFormat="0" applyAlignment="0" applyProtection="0"/>
    <xf numFmtId="0" fontId="54" fillId="23" borderId="7" applyNumberFormat="0" applyAlignment="0" applyProtection="0"/>
    <xf numFmtId="4" fontId="9" fillId="21" borderId="22">
      <alignment horizontal="right" vertical="center"/>
    </xf>
    <xf numFmtId="0" fontId="6" fillId="21" borderId="22">
      <alignment horizontal="right" vertical="center"/>
    </xf>
    <xf numFmtId="178" fontId="4" fillId="29" borderId="22" applyNumberFormat="0" applyFont="0" applyBorder="0" applyAlignment="0" applyProtection="0">
      <alignment horizontal="right" vertical="center"/>
    </xf>
    <xf numFmtId="0" fontId="28" fillId="0" borderId="18" applyNumberFormat="0" applyFill="0" applyAlignment="0" applyProtection="0"/>
    <xf numFmtId="49" fontId="4" fillId="0" borderId="22" applyNumberFormat="0" applyFont="0" applyFill="0" applyBorder="0" applyProtection="0">
      <alignment horizontal="left" vertical="center" indent="2"/>
    </xf>
    <xf numFmtId="49" fontId="4" fillId="0" borderId="23" applyNumberFormat="0" applyFont="0" applyFill="0" applyBorder="0" applyProtection="0">
      <alignment horizontal="left" vertical="center" indent="5"/>
    </xf>
    <xf numFmtId="49" fontId="4" fillId="0" borderId="22" applyNumberFormat="0" applyFont="0" applyFill="0" applyBorder="0" applyProtection="0">
      <alignment horizontal="left" vertical="center" indent="2"/>
    </xf>
    <xf numFmtId="4" fontId="4" fillId="0" borderId="22" applyFill="0" applyBorder="0" applyProtection="0">
      <alignment horizontal="right" vertical="center"/>
    </xf>
    <xf numFmtId="49" fontId="8" fillId="0" borderId="22" applyNumberFormat="0" applyFill="0" applyBorder="0" applyProtection="0">
      <alignment horizontal="left" vertical="center"/>
    </xf>
    <xf numFmtId="0" fontId="4" fillId="0" borderId="25">
      <alignment horizontal="left" vertical="center" wrapText="1" indent="2"/>
    </xf>
    <xf numFmtId="0" fontId="66" fillId="23" borderId="17" applyNumberFormat="0" applyAlignment="0" applyProtection="0"/>
    <xf numFmtId="0" fontId="6" fillId="22" borderId="24">
      <alignment horizontal="right" vertical="center"/>
    </xf>
    <xf numFmtId="0" fontId="23" fillId="7" borderId="7" applyNumberFormat="0" applyAlignment="0" applyProtection="0"/>
    <xf numFmtId="0" fontId="6" fillId="22" borderId="24">
      <alignment horizontal="right" vertical="center"/>
    </xf>
    <xf numFmtId="4" fontId="6" fillId="22" borderId="22">
      <alignment horizontal="right" vertical="center"/>
    </xf>
    <xf numFmtId="0" fontId="6" fillId="22" borderId="22">
      <alignment horizontal="right" vertical="center"/>
    </xf>
    <xf numFmtId="0" fontId="26" fillId="23" borderId="17" applyNumberFormat="0" applyAlignment="0" applyProtection="0"/>
    <xf numFmtId="0" fontId="16" fillId="23" borderId="7" applyNumberFormat="0" applyAlignment="0" applyProtection="0"/>
    <xf numFmtId="0" fontId="28" fillId="0" borderId="18" applyNumberFormat="0" applyFill="0" applyAlignment="0" applyProtection="0"/>
    <xf numFmtId="0" fontId="4" fillId="27" borderId="22"/>
    <xf numFmtId="4" fontId="4" fillId="27" borderId="22"/>
    <xf numFmtId="4" fontId="6" fillId="22" borderId="22">
      <alignment horizontal="right" vertical="center"/>
    </xf>
    <xf numFmtId="0" fontId="9" fillId="21" borderId="22">
      <alignment horizontal="right" vertical="center"/>
    </xf>
    <xf numFmtId="0" fontId="23" fillId="7" borderId="7" applyNumberFormat="0" applyAlignment="0" applyProtection="0"/>
    <xf numFmtId="0" fontId="54" fillId="23" borderId="7" applyNumberFormat="0" applyAlignment="0" applyProtection="0"/>
    <xf numFmtId="4" fontId="4" fillId="0" borderId="22">
      <alignment horizontal="right" vertical="center"/>
    </xf>
    <xf numFmtId="0" fontId="4" fillId="22" borderId="25">
      <alignment horizontal="left" vertical="center" wrapText="1" indent="2"/>
    </xf>
    <xf numFmtId="0" fontId="4" fillId="0" borderId="25">
      <alignment horizontal="left" vertical="center" wrapText="1" indent="2"/>
    </xf>
    <xf numFmtId="0" fontId="66" fillId="23" borderId="17" applyNumberFormat="0" applyAlignment="0" applyProtection="0"/>
    <xf numFmtId="0" fontId="62" fillId="7" borderId="7" applyNumberFormat="0" applyAlignment="0" applyProtection="0"/>
    <xf numFmtId="0" fontId="16" fillId="23" borderId="7" applyNumberFormat="0" applyAlignment="0" applyProtection="0"/>
    <xf numFmtId="0" fontId="26" fillId="23" borderId="17" applyNumberFormat="0" applyAlignment="0" applyProtection="0"/>
    <xf numFmtId="0" fontId="6" fillId="22" borderId="24">
      <alignment horizontal="right" vertical="center"/>
    </xf>
    <xf numFmtId="0" fontId="9" fillId="21" borderId="22">
      <alignment horizontal="right" vertical="center"/>
    </xf>
    <xf numFmtId="4" fontId="6" fillId="21" borderId="22">
      <alignment horizontal="right" vertical="center"/>
    </xf>
    <xf numFmtId="4" fontId="6" fillId="22" borderId="22">
      <alignment horizontal="right" vertical="center"/>
    </xf>
    <xf numFmtId="49" fontId="4" fillId="0" borderId="23" applyNumberFormat="0" applyFont="0" applyFill="0" applyBorder="0" applyProtection="0">
      <alignment horizontal="left" vertical="center" indent="5"/>
    </xf>
    <xf numFmtId="4" fontId="4" fillId="0" borderId="22" applyFill="0" applyBorder="0" applyProtection="0">
      <alignment horizontal="right" vertical="center"/>
    </xf>
    <xf numFmtId="4" fontId="6" fillId="21" borderId="22">
      <alignment horizontal="right" vertical="center"/>
    </xf>
    <xf numFmtId="0" fontId="7" fillId="0" borderId="0"/>
    <xf numFmtId="0" fontId="62" fillId="7" borderId="7" applyNumberFormat="0" applyAlignment="0" applyProtection="0"/>
    <xf numFmtId="0" fontId="23" fillId="7" borderId="7" applyNumberFormat="0" applyAlignment="0" applyProtection="0"/>
    <xf numFmtId="0" fontId="16" fillId="23" borderId="7" applyNumberFormat="0" applyAlignment="0" applyProtection="0"/>
    <xf numFmtId="0" fontId="4" fillId="22" borderId="25">
      <alignment horizontal="left" vertical="center" wrapText="1" indent="2"/>
    </xf>
    <xf numFmtId="0" fontId="4" fillId="0" borderId="25">
      <alignment horizontal="left" vertical="center" wrapText="1" indent="2"/>
    </xf>
    <xf numFmtId="0" fontId="4" fillId="22" borderId="25">
      <alignment horizontal="left" vertical="center" wrapText="1" indent="2"/>
    </xf>
    <xf numFmtId="0" fontId="4" fillId="0" borderId="25">
      <alignment horizontal="left" vertical="center" wrapText="1" indent="2"/>
    </xf>
    <xf numFmtId="0" fontId="51" fillId="28" borderId="61" applyNumberFormat="0" applyFont="0" applyAlignment="0" applyProtection="0"/>
    <xf numFmtId="0" fontId="4" fillId="0" borderId="41">
      <alignment horizontal="right" vertical="center"/>
    </xf>
    <xf numFmtId="0" fontId="4" fillId="27" borderId="82"/>
    <xf numFmtId="0" fontId="6" fillId="22" borderId="99">
      <alignment horizontal="right" vertical="center"/>
    </xf>
    <xf numFmtId="0" fontId="16" fillId="23" borderId="38" applyNumberFormat="0" applyAlignment="0" applyProtection="0"/>
    <xf numFmtId="0" fontId="54" fillId="23" borderId="38" applyNumberFormat="0" applyAlignment="0" applyProtection="0"/>
    <xf numFmtId="0" fontId="16" fillId="23" borderId="55" applyNumberFormat="0" applyAlignment="0" applyProtection="0"/>
    <xf numFmtId="0" fontId="16" fillId="23" borderId="79" applyNumberFormat="0" applyAlignment="0" applyProtection="0"/>
    <xf numFmtId="0" fontId="66" fillId="23" borderId="70" applyNumberFormat="0" applyAlignment="0" applyProtection="0"/>
    <xf numFmtId="0" fontId="66" fillId="23" borderId="105" applyNumberFormat="0" applyAlignment="0" applyProtection="0"/>
    <xf numFmtId="0" fontId="54" fillId="23" borderId="79" applyNumberFormat="0" applyAlignment="0" applyProtection="0"/>
    <xf numFmtId="4" fontId="6" fillId="22" borderId="62">
      <alignment horizontal="right" vertical="center"/>
    </xf>
    <xf numFmtId="0" fontId="62" fillId="7" borderId="59" applyNumberFormat="0" applyAlignment="0" applyProtection="0"/>
    <xf numFmtId="4" fontId="4" fillId="27" borderId="62"/>
    <xf numFmtId="0" fontId="28" fillId="0" borderId="39" applyNumberFormat="0" applyFill="0" applyAlignment="0" applyProtection="0"/>
    <xf numFmtId="0" fontId="7" fillId="28" borderId="33" applyNumberFormat="0" applyFont="0" applyAlignment="0" applyProtection="0"/>
    <xf numFmtId="0" fontId="54" fillId="23" borderId="31" applyNumberFormat="0" applyAlignment="0" applyProtection="0"/>
    <xf numFmtId="0" fontId="62" fillId="7" borderId="31" applyNumberFormat="0" applyAlignment="0" applyProtection="0"/>
    <xf numFmtId="0" fontId="28" fillId="0" borderId="32" applyNumberFormat="0" applyFill="0" applyAlignment="0" applyProtection="0"/>
    <xf numFmtId="0" fontId="54" fillId="23" borderId="31" applyNumberFormat="0" applyAlignment="0" applyProtection="0"/>
    <xf numFmtId="0" fontId="66" fillId="23" borderId="46" applyNumberFormat="0" applyAlignment="0" applyProtection="0"/>
    <xf numFmtId="0" fontId="26" fillId="23" borderId="30" applyNumberFormat="0" applyAlignment="0" applyProtection="0"/>
    <xf numFmtId="0" fontId="7" fillId="28" borderId="73" applyNumberFormat="0" applyFont="0" applyAlignment="0" applyProtection="0"/>
    <xf numFmtId="0" fontId="68" fillId="0" borderId="32" applyNumberFormat="0" applyFill="0" applyAlignment="0" applyProtection="0"/>
    <xf numFmtId="0" fontId="23" fillId="7" borderId="31" applyNumberFormat="0" applyAlignment="0" applyProtection="0"/>
    <xf numFmtId="0" fontId="54" fillId="23" borderId="38" applyNumberFormat="0" applyAlignment="0" applyProtection="0"/>
    <xf numFmtId="0" fontId="26" fillId="23" borderId="30" applyNumberFormat="0" applyAlignment="0" applyProtection="0"/>
    <xf numFmtId="4" fontId="6" fillId="22" borderId="62">
      <alignment horizontal="right" vertical="center"/>
    </xf>
    <xf numFmtId="0" fontId="68" fillId="0" borderId="32" applyNumberFormat="0" applyFill="0" applyAlignment="0" applyProtection="0"/>
    <xf numFmtId="0" fontId="16" fillId="23" borderId="31" applyNumberFormat="0" applyAlignment="0" applyProtection="0"/>
    <xf numFmtId="0" fontId="16" fillId="23" borderId="55" applyNumberFormat="0" applyAlignment="0" applyProtection="0"/>
    <xf numFmtId="0" fontId="7" fillId="28" borderId="57" applyNumberFormat="0" applyFont="0" applyAlignment="0" applyProtection="0"/>
    <xf numFmtId="0" fontId="6" fillId="21" borderId="62">
      <alignment horizontal="right" vertical="center"/>
    </xf>
    <xf numFmtId="0" fontId="4" fillId="27" borderId="50"/>
    <xf numFmtId="4" fontId="6" fillId="21" borderId="35">
      <alignment horizontal="right" vertical="center"/>
    </xf>
    <xf numFmtId="4" fontId="6" fillId="22" borderId="34">
      <alignment horizontal="right" vertical="center"/>
    </xf>
    <xf numFmtId="0" fontId="62" fillId="7" borderId="59" applyNumberFormat="0" applyAlignment="0" applyProtection="0"/>
    <xf numFmtId="0" fontId="4" fillId="0" borderId="101">
      <alignment horizontal="left" vertical="center" wrapText="1" indent="2"/>
    </xf>
    <xf numFmtId="0" fontId="68" fillId="0" borderId="80" applyNumberFormat="0" applyFill="0" applyAlignment="0" applyProtection="0"/>
    <xf numFmtId="0" fontId="28" fillId="0" borderId="72" applyNumberFormat="0" applyFill="0" applyAlignment="0" applyProtection="0"/>
    <xf numFmtId="4" fontId="6" fillId="22" borderId="64">
      <alignment horizontal="right" vertical="center"/>
    </xf>
    <xf numFmtId="0" fontId="54" fillId="23" borderId="79" applyNumberFormat="0" applyAlignment="0" applyProtection="0"/>
    <xf numFmtId="0" fontId="62" fillId="7" borderId="59" applyNumberFormat="0" applyAlignment="0" applyProtection="0"/>
    <xf numFmtId="0" fontId="62" fillId="7" borderId="71" applyNumberFormat="0" applyAlignment="0" applyProtection="0"/>
    <xf numFmtId="49" fontId="8" fillId="0" borderId="35" applyNumberFormat="0" applyFill="0" applyBorder="0" applyProtection="0">
      <alignment horizontal="left" vertical="center"/>
    </xf>
    <xf numFmtId="0" fontId="66" fillId="23" borderId="66" applyNumberFormat="0" applyAlignment="0" applyProtection="0"/>
    <xf numFmtId="178" fontId="4" fillId="29" borderId="35" applyNumberFormat="0" applyFont="0" applyBorder="0" applyAlignment="0" applyProtection="0">
      <alignment horizontal="right" vertical="center"/>
    </xf>
    <xf numFmtId="0" fontId="68" fillId="0" borderId="39" applyNumberFormat="0" applyFill="0" applyAlignment="0" applyProtection="0"/>
    <xf numFmtId="0" fontId="68" fillId="0" borderId="60" applyNumberFormat="0" applyFill="0" applyAlignment="0" applyProtection="0"/>
    <xf numFmtId="0" fontId="54" fillId="23" borderId="47" applyNumberFormat="0" applyAlignment="0" applyProtection="0"/>
    <xf numFmtId="0" fontId="28" fillId="0" borderId="72" applyNumberFormat="0" applyFill="0" applyAlignment="0" applyProtection="0"/>
    <xf numFmtId="0" fontId="68" fillId="0" borderId="96" applyNumberFormat="0" applyFill="0" applyAlignment="0" applyProtection="0"/>
    <xf numFmtId="0" fontId="51" fillId="28" borderId="81" applyNumberFormat="0" applyFont="0" applyAlignment="0" applyProtection="0"/>
    <xf numFmtId="4" fontId="9" fillId="21" borderId="50">
      <alignment horizontal="right" vertical="center"/>
    </xf>
    <xf numFmtId="4" fontId="6" fillId="21" borderId="50">
      <alignment horizontal="right" vertical="center"/>
    </xf>
    <xf numFmtId="0" fontId="4" fillId="21" borderId="63">
      <alignment horizontal="left" vertical="center"/>
    </xf>
    <xf numFmtId="0" fontId="54" fillId="23" borderId="38" applyNumberFormat="0" applyAlignment="0" applyProtection="0"/>
    <xf numFmtId="4" fontId="6" fillId="22" borderId="35">
      <alignment horizontal="right" vertical="center"/>
    </xf>
    <xf numFmtId="0" fontId="28" fillId="0" borderId="32" applyNumberFormat="0" applyFill="0" applyAlignment="0" applyProtection="0"/>
    <xf numFmtId="178" fontId="4" fillId="29" borderId="41" applyNumberFormat="0" applyFont="0" applyBorder="0" applyAlignment="0" applyProtection="0">
      <alignment horizontal="right" vertical="center"/>
    </xf>
    <xf numFmtId="0" fontId="68" fillId="0" borderId="88" applyNumberFormat="0" applyFill="0" applyAlignment="0" applyProtection="0"/>
    <xf numFmtId="4" fontId="6" fillId="22" borderId="64">
      <alignment horizontal="right" vertical="center"/>
    </xf>
    <xf numFmtId="4" fontId="6" fillId="22" borderId="35">
      <alignment horizontal="right" vertical="center"/>
    </xf>
    <xf numFmtId="0" fontId="4" fillId="27" borderId="62"/>
    <xf numFmtId="0" fontId="26" fillId="23" borderId="26" applyNumberFormat="0" applyAlignment="0" applyProtection="0"/>
    <xf numFmtId="0" fontId="66" fillId="23" borderId="78" applyNumberFormat="0" applyAlignment="0" applyProtection="0"/>
    <xf numFmtId="0" fontId="16" fillId="23" borderId="27" applyNumberFormat="0" applyAlignment="0" applyProtection="0"/>
    <xf numFmtId="49" fontId="4" fillId="0" borderId="82" applyNumberFormat="0" applyFont="0" applyFill="0" applyBorder="0" applyProtection="0">
      <alignment horizontal="left" vertical="center" indent="2"/>
    </xf>
    <xf numFmtId="0" fontId="54" fillId="23" borderId="27" applyNumberFormat="0" applyAlignment="0" applyProtection="0"/>
    <xf numFmtId="0" fontId="6" fillId="22" borderId="82">
      <alignment horizontal="right" vertical="center"/>
    </xf>
    <xf numFmtId="0" fontId="7" fillId="28" borderId="40" applyNumberFormat="0" applyFont="0" applyAlignment="0" applyProtection="0"/>
    <xf numFmtId="0" fontId="4" fillId="22" borderId="53">
      <alignment horizontal="left" vertical="center" wrapText="1" indent="2"/>
    </xf>
    <xf numFmtId="0" fontId="23" fillId="7" borderId="27" applyNumberFormat="0" applyAlignment="0" applyProtection="0"/>
    <xf numFmtId="0" fontId="28" fillId="0" borderId="28" applyNumberFormat="0" applyFill="0" applyAlignment="0" applyProtection="0"/>
    <xf numFmtId="0" fontId="66" fillId="23" borderId="30" applyNumberFormat="0" applyAlignment="0" applyProtection="0"/>
    <xf numFmtId="0" fontId="51" fillId="28" borderId="61" applyNumberFormat="0" applyFont="0" applyAlignment="0" applyProtection="0"/>
    <xf numFmtId="0" fontId="62" fillId="7" borderId="31" applyNumberFormat="0" applyAlignment="0" applyProtection="0"/>
    <xf numFmtId="0" fontId="4" fillId="0" borderId="62" applyNumberFormat="0" applyFill="0" applyAlignment="0" applyProtection="0"/>
    <xf numFmtId="0" fontId="28" fillId="0" borderId="60" applyNumberFormat="0" applyFill="0" applyAlignment="0" applyProtection="0"/>
    <xf numFmtId="0" fontId="28" fillId="0" borderId="80" applyNumberFormat="0" applyFill="0" applyAlignment="0" applyProtection="0"/>
    <xf numFmtId="0" fontId="62" fillId="7" borderId="27" applyNumberFormat="0" applyAlignment="0" applyProtection="0"/>
    <xf numFmtId="0" fontId="4" fillId="27" borderId="35"/>
    <xf numFmtId="0" fontId="6" fillId="22" borderId="63">
      <alignment horizontal="right" vertical="center"/>
    </xf>
    <xf numFmtId="0" fontId="68" fillId="0" borderId="72" applyNumberFormat="0" applyFill="0" applyAlignment="0" applyProtection="0"/>
    <xf numFmtId="0" fontId="4" fillId="0" borderId="35">
      <alignment horizontal="right" vertical="center"/>
    </xf>
    <xf numFmtId="0" fontId="51" fillId="28" borderId="33" applyNumberFormat="0" applyFont="0" applyAlignment="0" applyProtection="0"/>
    <xf numFmtId="0" fontId="68" fillId="0" borderId="39" applyNumberFormat="0" applyFill="0" applyAlignment="0" applyProtection="0"/>
    <xf numFmtId="0" fontId="54" fillId="23" borderId="111" applyNumberFormat="0" applyAlignment="0" applyProtection="0"/>
    <xf numFmtId="0" fontId="54" fillId="23" borderId="55" applyNumberFormat="0" applyAlignment="0" applyProtection="0"/>
    <xf numFmtId="0" fontId="68" fillId="0" borderId="60" applyNumberFormat="0" applyFill="0" applyAlignment="0" applyProtection="0"/>
    <xf numFmtId="0" fontId="54" fillId="23" borderId="55" applyNumberFormat="0" applyAlignment="0" applyProtection="0"/>
    <xf numFmtId="0" fontId="54" fillId="23" borderId="67" applyNumberFormat="0" applyAlignment="0" applyProtection="0"/>
    <xf numFmtId="0" fontId="6" fillId="22" borderId="36">
      <alignment horizontal="right" vertical="center"/>
    </xf>
    <xf numFmtId="0" fontId="4" fillId="27" borderId="41"/>
    <xf numFmtId="0" fontId="16" fillId="23" borderId="38" applyNumberFormat="0" applyAlignment="0" applyProtection="0"/>
    <xf numFmtId="0" fontId="6" fillId="21" borderId="41">
      <alignment horizontal="right" vertical="center"/>
    </xf>
    <xf numFmtId="49" fontId="4" fillId="0" borderId="41" applyNumberFormat="0" applyFont="0" applyFill="0" applyBorder="0" applyProtection="0">
      <alignment horizontal="left" vertical="center" indent="2"/>
    </xf>
    <xf numFmtId="0" fontId="54" fillId="23" borderId="38" applyNumberFormat="0" applyAlignment="0" applyProtection="0"/>
    <xf numFmtId="0" fontId="4" fillId="22" borderId="44">
      <alignment horizontal="left" vertical="center" wrapText="1" indent="2"/>
    </xf>
    <xf numFmtId="0" fontId="4" fillId="0" borderId="41" applyNumberFormat="0" applyFill="0" applyAlignment="0" applyProtection="0"/>
    <xf numFmtId="0" fontId="28" fillId="0" borderId="39" applyNumberFormat="0" applyFill="0" applyAlignment="0" applyProtection="0"/>
    <xf numFmtId="0" fontId="9" fillId="21" borderId="62">
      <alignment horizontal="right" vertical="center"/>
    </xf>
    <xf numFmtId="0" fontId="51" fillId="28" borderId="29" applyNumberFormat="0" applyFont="0" applyAlignment="0" applyProtection="0"/>
    <xf numFmtId="0" fontId="7" fillId="28" borderId="29" applyNumberFormat="0" applyFont="0" applyAlignment="0" applyProtection="0"/>
    <xf numFmtId="0" fontId="66" fillId="23" borderId="26" applyNumberFormat="0" applyAlignment="0" applyProtection="0"/>
    <xf numFmtId="0" fontId="6" fillId="22" borderId="41">
      <alignment horizontal="right" vertical="center"/>
    </xf>
    <xf numFmtId="0" fontId="4" fillId="21" borderId="91">
      <alignment horizontal="left" vertical="center"/>
    </xf>
    <xf numFmtId="0" fontId="16" fillId="23" borderId="67" applyNumberFormat="0" applyAlignment="0" applyProtection="0"/>
    <xf numFmtId="0" fontId="28" fillId="0" borderId="60" applyNumberFormat="0" applyFill="0" applyAlignment="0" applyProtection="0"/>
    <xf numFmtId="0" fontId="68" fillId="0" borderId="28" applyNumberFormat="0" applyFill="0" applyAlignment="0" applyProtection="0"/>
    <xf numFmtId="49" fontId="8" fillId="0" borderId="41" applyNumberFormat="0" applyFill="0" applyBorder="0" applyProtection="0">
      <alignment horizontal="left" vertical="center"/>
    </xf>
    <xf numFmtId="4" fontId="6" fillId="22" borderId="34">
      <alignment horizontal="right" vertical="center"/>
    </xf>
    <xf numFmtId="0" fontId="62" fillId="7" borderId="87" applyNumberFormat="0" applyAlignment="0" applyProtection="0"/>
    <xf numFmtId="4" fontId="6" fillId="22" borderId="64">
      <alignment horizontal="right" vertical="center"/>
    </xf>
    <xf numFmtId="0" fontId="4" fillId="22" borderId="65">
      <alignment horizontal="left" vertical="center" wrapText="1" indent="2"/>
    </xf>
    <xf numFmtId="0" fontId="4" fillId="0" borderId="53">
      <alignment horizontal="left" vertical="center" wrapText="1" indent="2"/>
    </xf>
    <xf numFmtId="4" fontId="6" fillId="22" borderId="42">
      <alignment horizontal="right" vertical="center"/>
    </xf>
    <xf numFmtId="0" fontId="51" fillId="28" borderId="49" applyNumberFormat="0" applyFont="0" applyAlignment="0" applyProtection="0"/>
    <xf numFmtId="0" fontId="68" fillId="0" borderId="32" applyNumberFormat="0" applyFill="0" applyAlignment="0" applyProtection="0"/>
    <xf numFmtId="49" fontId="8" fillId="0" borderId="82" applyNumberFormat="0" applyFill="0" applyBorder="0" applyProtection="0">
      <alignment horizontal="left" vertical="center"/>
    </xf>
    <xf numFmtId="4" fontId="4" fillId="0" borderId="35" applyFill="0" applyBorder="0" applyProtection="0">
      <alignment horizontal="right" vertical="center"/>
    </xf>
    <xf numFmtId="0" fontId="54" fillId="23" borderId="47" applyNumberFormat="0" applyAlignment="0" applyProtection="0"/>
    <xf numFmtId="0" fontId="26" fillId="23" borderId="77" applyNumberFormat="0" applyAlignment="0" applyProtection="0"/>
    <xf numFmtId="0" fontId="4" fillId="21" borderId="42">
      <alignment horizontal="left" vertical="center"/>
    </xf>
    <xf numFmtId="0" fontId="51" fillId="28" borderId="40" applyNumberFormat="0" applyFont="0" applyAlignment="0" applyProtection="0"/>
    <xf numFmtId="0" fontId="68" fillId="0" borderId="96" applyNumberFormat="0" applyFill="0" applyAlignment="0" applyProtection="0"/>
    <xf numFmtId="0" fontId="23" fillId="7" borderId="47" applyNumberFormat="0" applyAlignment="0" applyProtection="0"/>
    <xf numFmtId="0" fontId="62" fillId="7" borderId="47" applyNumberFormat="0" applyAlignment="0" applyProtection="0"/>
    <xf numFmtId="0" fontId="4" fillId="21" borderId="51">
      <alignment horizontal="left" vertical="center"/>
    </xf>
    <xf numFmtId="0" fontId="54" fillId="23" borderId="31" applyNumberFormat="0" applyAlignment="0" applyProtection="0"/>
    <xf numFmtId="0" fontId="16" fillId="23" borderId="31" applyNumberFormat="0" applyAlignment="0" applyProtection="0"/>
    <xf numFmtId="0" fontId="62" fillId="7" borderId="31" applyNumberFormat="0" applyAlignment="0" applyProtection="0"/>
    <xf numFmtId="0" fontId="66" fillId="23" borderId="30" applyNumberFormat="0" applyAlignment="0" applyProtection="0"/>
    <xf numFmtId="0" fontId="54" fillId="23" borderId="31" applyNumberFormat="0" applyAlignment="0" applyProtection="0"/>
    <xf numFmtId="0" fontId="26" fillId="23" borderId="58" applyNumberFormat="0" applyAlignment="0" applyProtection="0"/>
    <xf numFmtId="4" fontId="4" fillId="0" borderId="98">
      <alignment horizontal="right" vertical="center"/>
    </xf>
    <xf numFmtId="0" fontId="4" fillId="0" borderId="50" applyNumberFormat="0" applyFill="0" applyAlignment="0" applyProtection="0"/>
    <xf numFmtId="4" fontId="6" fillId="22" borderId="35">
      <alignment horizontal="right" vertical="center"/>
    </xf>
    <xf numFmtId="0" fontId="51" fillId="28" borderId="40" applyNumberFormat="0" applyFont="0" applyAlignment="0" applyProtection="0"/>
    <xf numFmtId="0" fontId="4" fillId="0" borderId="101">
      <alignment horizontal="left" vertical="center" wrapText="1" indent="2"/>
    </xf>
    <xf numFmtId="0" fontId="68" fillId="0" borderId="80" applyNumberFormat="0" applyFill="0" applyAlignment="0" applyProtection="0"/>
    <xf numFmtId="0" fontId="4" fillId="21" borderId="51">
      <alignment horizontal="left" vertical="center"/>
    </xf>
    <xf numFmtId="4" fontId="6" fillId="22" borderId="51">
      <alignment horizontal="right" vertical="center"/>
    </xf>
    <xf numFmtId="0" fontId="28" fillId="0" borderId="112" applyNumberFormat="0" applyFill="0" applyAlignment="0" applyProtection="0"/>
    <xf numFmtId="0" fontId="54" fillId="23" borderId="27" applyNumberFormat="0" applyAlignment="0" applyProtection="0"/>
    <xf numFmtId="0" fontId="16" fillId="23" borderId="79" applyNumberFormat="0" applyAlignment="0" applyProtection="0"/>
    <xf numFmtId="0" fontId="54" fillId="23" borderId="31" applyNumberFormat="0" applyAlignment="0" applyProtection="0"/>
    <xf numFmtId="0" fontId="26" fillId="23" borderId="54" applyNumberFormat="0" applyAlignment="0" applyProtection="0"/>
    <xf numFmtId="0" fontId="62" fillId="7" borderId="27" applyNumberFormat="0" applyAlignment="0" applyProtection="0"/>
    <xf numFmtId="0" fontId="66" fillId="23" borderId="30" applyNumberFormat="0" applyAlignment="0" applyProtection="0"/>
    <xf numFmtId="0" fontId="54" fillId="23" borderId="59" applyNumberFormat="0" applyAlignment="0" applyProtection="0"/>
    <xf numFmtId="0" fontId="51" fillId="28" borderId="29" applyNumberFormat="0" applyFont="0" applyAlignment="0" applyProtection="0"/>
    <xf numFmtId="0" fontId="66" fillId="23" borderId="26" applyNumberFormat="0" applyAlignment="0" applyProtection="0"/>
    <xf numFmtId="0" fontId="9" fillId="21" borderId="41">
      <alignment horizontal="right" vertical="center"/>
    </xf>
    <xf numFmtId="0" fontId="68" fillId="0" borderId="28" applyNumberFormat="0" applyFill="0" applyAlignment="0" applyProtection="0"/>
    <xf numFmtId="4" fontId="6" fillId="22" borderId="43">
      <alignment horizontal="right" vertical="center"/>
    </xf>
    <xf numFmtId="0" fontId="7" fillId="28" borderId="61" applyNumberFormat="0" applyFont="0" applyAlignment="0" applyProtection="0"/>
    <xf numFmtId="0" fontId="66" fillId="23" borderId="30" applyNumberFormat="0" applyAlignment="0" applyProtection="0"/>
    <xf numFmtId="0" fontId="7" fillId="28" borderId="76" applyNumberFormat="0" applyFont="0" applyAlignment="0" applyProtection="0"/>
    <xf numFmtId="0" fontId="26" fillId="23" borderId="110" applyNumberFormat="0" applyAlignment="0" applyProtection="0"/>
    <xf numFmtId="0" fontId="68" fillId="0" borderId="32" applyNumberFormat="0" applyFill="0" applyAlignment="0" applyProtection="0"/>
    <xf numFmtId="0" fontId="4" fillId="0" borderId="35">
      <alignment horizontal="right" vertical="center"/>
    </xf>
    <xf numFmtId="4" fontId="4" fillId="0" borderId="50" applyFill="0" applyBorder="0" applyProtection="0">
      <alignment horizontal="right" vertical="center"/>
    </xf>
    <xf numFmtId="0" fontId="51" fillId="28" borderId="33" applyNumberFormat="0" applyFont="0" applyAlignment="0" applyProtection="0"/>
    <xf numFmtId="0" fontId="6" fillId="22" borderId="62">
      <alignment horizontal="right" vertical="center"/>
    </xf>
    <xf numFmtId="4" fontId="9" fillId="21" borderId="35">
      <alignment horizontal="right" vertical="center"/>
    </xf>
    <xf numFmtId="0" fontId="28" fillId="0" borderId="48" applyNumberFormat="0" applyFill="0" applyAlignment="0" applyProtection="0"/>
    <xf numFmtId="0" fontId="28" fillId="0" borderId="39" applyNumberFormat="0" applyFill="0" applyAlignment="0" applyProtection="0"/>
    <xf numFmtId="0" fontId="6" fillId="21" borderId="82">
      <alignment horizontal="right" vertical="center"/>
    </xf>
    <xf numFmtId="0" fontId="51" fillId="28" borderId="97" applyNumberFormat="0" applyFont="0" applyAlignment="0" applyProtection="0"/>
    <xf numFmtId="4" fontId="4" fillId="0" borderId="35" applyFill="0" applyBorder="0" applyProtection="0">
      <alignment horizontal="right" vertical="center"/>
    </xf>
    <xf numFmtId="0" fontId="54" fillId="23" borderId="79" applyNumberFormat="0" applyAlignment="0" applyProtection="0"/>
    <xf numFmtId="0" fontId="23" fillId="7" borderId="31" applyNumberFormat="0" applyAlignment="0" applyProtection="0"/>
    <xf numFmtId="0" fontId="4" fillId="21" borderId="34">
      <alignment horizontal="left" vertical="center"/>
    </xf>
    <xf numFmtId="0" fontId="6" fillId="21" borderId="41">
      <alignment horizontal="right" vertical="center"/>
    </xf>
    <xf numFmtId="0" fontId="68" fillId="0" borderId="75" applyNumberFormat="0" applyFill="0" applyAlignment="0" applyProtection="0"/>
    <xf numFmtId="0" fontId="4" fillId="21" borderId="42">
      <alignment horizontal="left" vertical="center"/>
    </xf>
    <xf numFmtId="4" fontId="4" fillId="27" borderId="41"/>
    <xf numFmtId="0" fontId="54" fillId="23" borderId="59" applyNumberFormat="0" applyAlignment="0" applyProtection="0"/>
    <xf numFmtId="0" fontId="62" fillId="7" borderId="74" applyNumberFormat="0" applyAlignment="0" applyProtection="0"/>
    <xf numFmtId="0" fontId="6" fillId="22" borderId="42">
      <alignment horizontal="right" vertical="center"/>
    </xf>
    <xf numFmtId="0" fontId="54" fillId="23" borderId="27" applyNumberFormat="0" applyAlignment="0" applyProtection="0"/>
    <xf numFmtId="4" fontId="4" fillId="0" borderId="98" applyFill="0" applyBorder="0" applyProtection="0">
      <alignment horizontal="right" vertical="center"/>
    </xf>
    <xf numFmtId="0" fontId="62" fillId="7" borderId="71" applyNumberFormat="0" applyAlignment="0" applyProtection="0"/>
    <xf numFmtId="0" fontId="6" fillId="21" borderId="50">
      <alignment horizontal="right" vertical="center"/>
    </xf>
    <xf numFmtId="0" fontId="62" fillId="7" borderId="27" applyNumberFormat="0" applyAlignment="0" applyProtection="0"/>
    <xf numFmtId="0" fontId="51" fillId="28" borderId="40" applyNumberFormat="0" applyFont="0" applyAlignment="0" applyProtection="0"/>
    <xf numFmtId="0" fontId="23" fillId="7" borderId="38" applyNumberFormat="0" applyAlignment="0" applyProtection="0"/>
    <xf numFmtId="0" fontId="4" fillId="0" borderId="37">
      <alignment horizontal="left" vertical="center" wrapText="1" indent="2"/>
    </xf>
    <xf numFmtId="0" fontId="66" fillId="23" borderId="45" applyNumberFormat="0" applyAlignment="0" applyProtection="0"/>
    <xf numFmtId="0" fontId="66" fillId="23" borderId="26" applyNumberFormat="0" applyAlignment="0" applyProtection="0"/>
    <xf numFmtId="4" fontId="6" fillId="22" borderId="91">
      <alignment horizontal="right" vertical="center"/>
    </xf>
    <xf numFmtId="0" fontId="68" fillId="0" borderId="28" applyNumberFormat="0" applyFill="0" applyAlignment="0" applyProtection="0"/>
    <xf numFmtId="0" fontId="62" fillId="7" borderId="59" applyNumberFormat="0" applyAlignment="0" applyProtection="0"/>
    <xf numFmtId="0" fontId="9" fillId="21" borderId="62">
      <alignment horizontal="right" vertical="center"/>
    </xf>
    <xf numFmtId="0" fontId="68" fillId="0" borderId="39" applyNumberFormat="0" applyFill="0" applyAlignment="0" applyProtection="0"/>
    <xf numFmtId="0" fontId="54" fillId="23" borderId="31" applyNumberFormat="0" applyAlignment="0" applyProtection="0"/>
    <xf numFmtId="49" fontId="4" fillId="0" borderId="34" applyNumberFormat="0" applyFont="0" applyFill="0" applyBorder="0" applyProtection="0">
      <alignment horizontal="left" vertical="center" indent="5"/>
    </xf>
    <xf numFmtId="0" fontId="62" fillId="7" borderId="55" applyNumberFormat="0" applyAlignment="0" applyProtection="0"/>
    <xf numFmtId="0" fontId="26" fillId="23" borderId="46" applyNumberFormat="0" applyAlignment="0" applyProtection="0"/>
    <xf numFmtId="0" fontId="62" fillId="7" borderId="38" applyNumberFormat="0" applyAlignment="0" applyProtection="0"/>
    <xf numFmtId="0" fontId="6" fillId="22" borderId="34">
      <alignment horizontal="right" vertical="center"/>
    </xf>
    <xf numFmtId="0" fontId="54" fillId="23" borderId="67" applyNumberFormat="0" applyAlignment="0" applyProtection="0"/>
    <xf numFmtId="0" fontId="16" fillId="23" borderId="71" applyNumberFormat="0" applyAlignment="0" applyProtection="0"/>
    <xf numFmtId="0" fontId="6" fillId="22" borderId="52">
      <alignment horizontal="right" vertical="center"/>
    </xf>
    <xf numFmtId="0" fontId="7" fillId="28" borderId="40" applyNumberFormat="0" applyFont="0" applyAlignment="0" applyProtection="0"/>
    <xf numFmtId="0" fontId="51" fillId="28" borderId="40" applyNumberFormat="0" applyFont="0" applyAlignment="0" applyProtection="0"/>
    <xf numFmtId="0" fontId="26" fillId="23" borderId="66" applyNumberFormat="0" applyAlignment="0" applyProtection="0"/>
    <xf numFmtId="178" fontId="4" fillId="29" borderId="41" applyNumberFormat="0" applyFont="0" applyBorder="0" applyAlignment="0" applyProtection="0">
      <alignment horizontal="right" vertical="center"/>
    </xf>
    <xf numFmtId="0" fontId="66" fillId="23" borderId="54" applyNumberFormat="0" applyAlignment="0" applyProtection="0"/>
    <xf numFmtId="4" fontId="4" fillId="27" borderId="62"/>
    <xf numFmtId="0" fontId="23" fillId="7" borderId="59" applyNumberFormat="0" applyAlignment="0" applyProtection="0"/>
    <xf numFmtId="4" fontId="6" fillId="21" borderId="41">
      <alignment horizontal="right" vertical="center"/>
    </xf>
    <xf numFmtId="4" fontId="6" fillId="22" borderId="50">
      <alignment horizontal="right" vertical="center"/>
    </xf>
    <xf numFmtId="0" fontId="16" fillId="23" borderId="31" applyNumberFormat="0" applyAlignment="0" applyProtection="0"/>
    <xf numFmtId="0" fontId="51" fillId="28" borderId="113" applyNumberFormat="0" applyFont="0" applyAlignment="0" applyProtection="0"/>
    <xf numFmtId="0" fontId="4" fillId="0" borderId="35" applyNumberFormat="0" applyFill="0" applyAlignment="0" applyProtection="0"/>
    <xf numFmtId="0" fontId="9" fillId="21" borderId="35">
      <alignment horizontal="right" vertical="center"/>
    </xf>
    <xf numFmtId="0" fontId="62" fillId="7" borderId="38" applyNumberFormat="0" applyAlignment="0" applyProtection="0"/>
    <xf numFmtId="4" fontId="4" fillId="27" borderId="41"/>
    <xf numFmtId="0" fontId="68" fillId="0" borderId="39" applyNumberFormat="0" applyFill="0" applyAlignment="0" applyProtection="0"/>
    <xf numFmtId="4" fontId="6" fillId="22" borderId="84">
      <alignment horizontal="right" vertical="center"/>
    </xf>
    <xf numFmtId="4" fontId="6" fillId="22" borderId="41">
      <alignment horizontal="right" vertical="center"/>
    </xf>
    <xf numFmtId="0" fontId="26" fillId="23" borderId="46" applyNumberFormat="0" applyAlignment="0" applyProtection="0"/>
    <xf numFmtId="0" fontId="9" fillId="21" borderId="98">
      <alignment horizontal="right" vertical="center"/>
    </xf>
    <xf numFmtId="0" fontId="7" fillId="28" borderId="33" applyNumberFormat="0" applyFont="0" applyAlignment="0" applyProtection="0"/>
    <xf numFmtId="0" fontId="62" fillId="7" borderId="74" applyNumberFormat="0" applyAlignment="0" applyProtection="0"/>
    <xf numFmtId="0" fontId="68" fillId="0" borderId="48" applyNumberFormat="0" applyFill="0" applyAlignment="0" applyProtection="0"/>
    <xf numFmtId="0" fontId="54" fillId="23" borderId="47" applyNumberFormat="0" applyAlignment="0" applyProtection="0"/>
    <xf numFmtId="0" fontId="4" fillId="0" borderId="44">
      <alignment horizontal="left" vertical="center" wrapText="1" indent="2"/>
    </xf>
    <xf numFmtId="4" fontId="6" fillId="22" borderId="41">
      <alignment horizontal="right" vertical="center"/>
    </xf>
    <xf numFmtId="0" fontId="4" fillId="27" borderId="41"/>
    <xf numFmtId="0" fontId="66" fillId="23" borderId="70" applyNumberFormat="0" applyAlignment="0" applyProtection="0"/>
    <xf numFmtId="49" fontId="4" fillId="0" borderId="51" applyNumberFormat="0" applyFont="0" applyFill="0" applyBorder="0" applyProtection="0">
      <alignment horizontal="left" vertical="center" indent="5"/>
    </xf>
    <xf numFmtId="0" fontId="68" fillId="0" borderId="56" applyNumberFormat="0" applyFill="0" applyAlignment="0" applyProtection="0"/>
    <xf numFmtId="0" fontId="54" fillId="23" borderId="59" applyNumberFormat="0" applyAlignment="0" applyProtection="0"/>
    <xf numFmtId="0" fontId="4" fillId="22" borderId="65">
      <alignment horizontal="left" vertical="center" wrapText="1" indent="2"/>
    </xf>
    <xf numFmtId="49" fontId="4" fillId="0" borderId="91" applyNumberFormat="0" applyFont="0" applyFill="0" applyBorder="0" applyProtection="0">
      <alignment horizontal="left" vertical="center" indent="5"/>
    </xf>
    <xf numFmtId="0" fontId="54" fillId="23" borderId="59" applyNumberFormat="0" applyAlignment="0" applyProtection="0"/>
    <xf numFmtId="49" fontId="8" fillId="0" borderId="35" applyNumberFormat="0" applyFill="0" applyBorder="0" applyProtection="0">
      <alignment horizontal="left" vertical="center"/>
    </xf>
    <xf numFmtId="0" fontId="68" fillId="0" borderId="60" applyNumberFormat="0" applyFill="0" applyAlignment="0" applyProtection="0"/>
    <xf numFmtId="0" fontId="6" fillId="22" borderId="51">
      <alignment horizontal="right" vertical="center"/>
    </xf>
    <xf numFmtId="0" fontId="66" fillId="23" borderId="58" applyNumberFormat="0" applyAlignment="0" applyProtection="0"/>
    <xf numFmtId="0" fontId="51" fillId="28" borderId="108" applyNumberFormat="0" applyFont="0" applyAlignment="0" applyProtection="0"/>
    <xf numFmtId="49" fontId="4" fillId="0" borderId="83" applyNumberFormat="0" applyFont="0" applyFill="0" applyBorder="0" applyProtection="0">
      <alignment horizontal="left" vertical="center" indent="5"/>
    </xf>
    <xf numFmtId="0" fontId="51" fillId="28" borderId="108" applyNumberFormat="0" applyFont="0" applyAlignment="0" applyProtection="0"/>
    <xf numFmtId="0" fontId="26" fillId="23" borderId="58" applyNumberFormat="0" applyAlignment="0" applyProtection="0"/>
    <xf numFmtId="49" fontId="4" fillId="0" borderId="51" applyNumberFormat="0" applyFont="0" applyFill="0" applyBorder="0" applyProtection="0">
      <alignment horizontal="left" vertical="center" indent="5"/>
    </xf>
    <xf numFmtId="0" fontId="6" fillId="22" borderId="35">
      <alignment horizontal="right" vertical="center"/>
    </xf>
    <xf numFmtId="0" fontId="23" fillId="7" borderId="31" applyNumberFormat="0" applyAlignment="0" applyProtection="0"/>
    <xf numFmtId="0" fontId="4" fillId="0" borderId="44">
      <alignment horizontal="left" vertical="center" wrapText="1" indent="2"/>
    </xf>
    <xf numFmtId="0" fontId="4" fillId="22" borderId="44">
      <alignment horizontal="left" vertical="center" wrapText="1" indent="2"/>
    </xf>
    <xf numFmtId="0" fontId="28" fillId="0" borderId="96" applyNumberFormat="0" applyFill="0" applyAlignment="0" applyProtection="0"/>
    <xf numFmtId="0" fontId="62" fillId="7" borderId="71" applyNumberFormat="0" applyAlignment="0" applyProtection="0"/>
    <xf numFmtId="0" fontId="62" fillId="7" borderId="59" applyNumberFormat="0" applyAlignment="0" applyProtection="0"/>
    <xf numFmtId="4" fontId="6" fillId="22" borderId="35">
      <alignment horizontal="right" vertical="center"/>
    </xf>
    <xf numFmtId="0" fontId="68" fillId="0" borderId="32" applyNumberFormat="0" applyFill="0" applyAlignment="0" applyProtection="0"/>
    <xf numFmtId="0" fontId="16" fillId="23" borderId="74" applyNumberFormat="0" applyAlignment="0" applyProtection="0"/>
    <xf numFmtId="0" fontId="66" fillId="23" borderId="58" applyNumberFormat="0" applyAlignment="0" applyProtection="0"/>
    <xf numFmtId="0" fontId="68" fillId="0" borderId="32" applyNumberFormat="0" applyFill="0" applyAlignment="0" applyProtection="0"/>
    <xf numFmtId="0" fontId="51" fillId="28" borderId="33" applyNumberFormat="0" applyFont="0" applyAlignment="0" applyProtection="0"/>
    <xf numFmtId="0" fontId="9" fillId="21" borderId="90">
      <alignment horizontal="right" vertical="center"/>
    </xf>
    <xf numFmtId="0" fontId="51" fillId="28" borderId="33" applyNumberFormat="0" applyFont="0" applyAlignment="0" applyProtection="0"/>
    <xf numFmtId="0" fontId="23" fillId="7" borderId="31" applyNumberFormat="0" applyAlignment="0" applyProtection="0"/>
    <xf numFmtId="0" fontId="26" fillId="23" borderId="86" applyNumberFormat="0" applyAlignment="0" applyProtection="0"/>
    <xf numFmtId="0" fontId="23" fillId="7" borderId="106" applyNumberFormat="0" applyAlignment="0" applyProtection="0"/>
    <xf numFmtId="0" fontId="54" fillId="23" borderId="106" applyNumberFormat="0" applyAlignment="0" applyProtection="0"/>
    <xf numFmtId="0" fontId="62" fillId="7" borderId="31" applyNumberFormat="0" applyAlignment="0" applyProtection="0"/>
    <xf numFmtId="0" fontId="51" fillId="28" borderId="61" applyNumberFormat="0" applyFont="0" applyAlignment="0" applyProtection="0"/>
    <xf numFmtId="4" fontId="6" fillId="22" borderId="62">
      <alignment horizontal="right" vertical="center"/>
    </xf>
    <xf numFmtId="0" fontId="4" fillId="21" borderId="34">
      <alignment horizontal="left" vertical="center"/>
    </xf>
    <xf numFmtId="0" fontId="62" fillId="7" borderId="38" applyNumberFormat="0" applyAlignment="0" applyProtection="0"/>
    <xf numFmtId="0" fontId="54" fillId="23" borderId="95" applyNumberFormat="0" applyAlignment="0" applyProtection="0"/>
    <xf numFmtId="0" fontId="54" fillId="23" borderId="71" applyNumberFormat="0" applyAlignment="0" applyProtection="0"/>
    <xf numFmtId="0" fontId="26" fillId="23" borderId="26" applyNumberFormat="0" applyAlignment="0" applyProtection="0"/>
    <xf numFmtId="0" fontId="16" fillId="23" borderId="27" applyNumberFormat="0" applyAlignment="0" applyProtection="0"/>
    <xf numFmtId="0" fontId="28" fillId="0" borderId="28" applyNumberFormat="0" applyFill="0" applyAlignment="0" applyProtection="0"/>
    <xf numFmtId="0" fontId="6" fillId="21" borderId="35">
      <alignment horizontal="right" vertical="center"/>
    </xf>
    <xf numFmtId="4" fontId="4" fillId="0" borderId="82" applyFill="0" applyBorder="0" applyProtection="0">
      <alignment horizontal="right" vertical="center"/>
    </xf>
    <xf numFmtId="0" fontId="4" fillId="0" borderId="41">
      <alignment horizontal="right" vertical="center"/>
    </xf>
    <xf numFmtId="0" fontId="4" fillId="27" borderId="35"/>
    <xf numFmtId="0" fontId="62" fillId="7" borderId="31" applyNumberFormat="0" applyAlignment="0" applyProtection="0"/>
    <xf numFmtId="0" fontId="62" fillId="7" borderId="31" applyNumberFormat="0" applyAlignment="0" applyProtection="0"/>
    <xf numFmtId="49" fontId="4" fillId="0" borderId="23" applyNumberFormat="0" applyFont="0" applyFill="0" applyBorder="0" applyProtection="0">
      <alignment horizontal="left" vertical="center" indent="5"/>
    </xf>
    <xf numFmtId="0" fontId="66" fillId="23" borderId="58" applyNumberFormat="0" applyAlignment="0" applyProtection="0"/>
    <xf numFmtId="0" fontId="6" fillId="21" borderId="41">
      <alignment horizontal="right" vertical="center"/>
    </xf>
    <xf numFmtId="4" fontId="9" fillId="21" borderId="41">
      <alignment horizontal="right" vertical="center"/>
    </xf>
    <xf numFmtId="4" fontId="6" fillId="21" borderId="35">
      <alignment horizontal="right" vertical="center"/>
    </xf>
    <xf numFmtId="0" fontId="23" fillId="7" borderId="55" applyNumberFormat="0" applyAlignment="0" applyProtection="0"/>
    <xf numFmtId="0" fontId="16" fillId="23" borderId="31" applyNumberFormat="0" applyAlignment="0" applyProtection="0"/>
    <xf numFmtId="0" fontId="68" fillId="0" borderId="39" applyNumberFormat="0" applyFill="0" applyAlignment="0" applyProtection="0"/>
    <xf numFmtId="4" fontId="6" fillId="21" borderId="41">
      <alignment horizontal="right" vertical="center"/>
    </xf>
    <xf numFmtId="0" fontId="6" fillId="22" borderId="23">
      <alignment horizontal="right" vertical="center"/>
    </xf>
    <xf numFmtId="4" fontId="6" fillId="22" borderId="23">
      <alignment horizontal="right" vertical="center"/>
    </xf>
    <xf numFmtId="0" fontId="7" fillId="28" borderId="49" applyNumberFormat="0" applyFont="0" applyAlignment="0" applyProtection="0"/>
    <xf numFmtId="0" fontId="4" fillId="21" borderId="23">
      <alignment horizontal="left" vertical="center"/>
    </xf>
    <xf numFmtId="0" fontId="23" fillId="7" borderId="27" applyNumberFormat="0" applyAlignment="0" applyProtection="0"/>
    <xf numFmtId="4" fontId="6" fillId="22" borderId="43">
      <alignment horizontal="right" vertical="center"/>
    </xf>
    <xf numFmtId="0" fontId="9" fillId="21" borderId="41">
      <alignment horizontal="right" vertical="center"/>
    </xf>
    <xf numFmtId="0" fontId="54" fillId="23" borderId="31" applyNumberFormat="0" applyAlignment="0" applyProtection="0"/>
    <xf numFmtId="0" fontId="68" fillId="0" borderId="80" applyNumberFormat="0" applyFill="0" applyAlignment="0" applyProtection="0"/>
    <xf numFmtId="0" fontId="4" fillId="0" borderId="65">
      <alignment horizontal="left" vertical="center" wrapText="1" indent="2"/>
    </xf>
    <xf numFmtId="0" fontId="4" fillId="21" borderId="42">
      <alignment horizontal="left" vertical="center"/>
    </xf>
    <xf numFmtId="0" fontId="4" fillId="0" borderId="41" applyNumberFormat="0" applyFill="0" applyAlignment="0" applyProtection="0"/>
    <xf numFmtId="0" fontId="54" fillId="23" borderId="38" applyNumberFormat="0" applyAlignment="0" applyProtection="0"/>
    <xf numFmtId="0" fontId="66" fillId="23" borderId="46" applyNumberFormat="0" applyAlignment="0" applyProtection="0"/>
    <xf numFmtId="0" fontId="4" fillId="0" borderId="62" applyNumberFormat="0" applyFill="0" applyAlignment="0" applyProtection="0"/>
    <xf numFmtId="0" fontId="16" fillId="23" borderId="38" applyNumberFormat="0" applyAlignment="0" applyProtection="0"/>
    <xf numFmtId="4" fontId="4" fillId="0" borderId="62">
      <alignment horizontal="right" vertical="center"/>
    </xf>
    <xf numFmtId="0" fontId="4" fillId="22" borderId="44">
      <alignment horizontal="left" vertical="center" wrapText="1" indent="2"/>
    </xf>
    <xf numFmtId="0" fontId="6" fillId="22" borderId="35">
      <alignment horizontal="right" vertical="center"/>
    </xf>
    <xf numFmtId="0" fontId="6" fillId="22" borderId="62">
      <alignment horizontal="right" vertical="center"/>
    </xf>
    <xf numFmtId="0" fontId="4" fillId="0" borderId="44">
      <alignment horizontal="left" vertical="center" wrapText="1" indent="2"/>
    </xf>
    <xf numFmtId="4" fontId="6" fillId="22" borderId="41">
      <alignment horizontal="right" vertical="center"/>
    </xf>
    <xf numFmtId="0" fontId="4" fillId="0" borderId="41">
      <alignment horizontal="right" vertical="center"/>
    </xf>
    <xf numFmtId="0" fontId="4" fillId="22" borderId="44">
      <alignment horizontal="left" vertical="center" wrapText="1" indent="2"/>
    </xf>
    <xf numFmtId="0" fontId="6" fillId="22" borderId="41">
      <alignment horizontal="right" vertical="center"/>
    </xf>
    <xf numFmtId="0" fontId="68" fillId="0" borderId="107" applyNumberFormat="0" applyFill="0" applyAlignment="0" applyProtection="0"/>
    <xf numFmtId="4" fontId="6" fillId="22" borderId="43">
      <alignment horizontal="right" vertical="center"/>
    </xf>
    <xf numFmtId="0" fontId="54" fillId="23" borderId="38" applyNumberFormat="0" applyAlignment="0" applyProtection="0"/>
    <xf numFmtId="0" fontId="68" fillId="0" borderId="32" applyNumberFormat="0" applyFill="0" applyAlignment="0" applyProtection="0"/>
    <xf numFmtId="0" fontId="62" fillId="7" borderId="47" applyNumberFormat="0" applyAlignment="0" applyProtection="0"/>
    <xf numFmtId="0" fontId="66" fillId="23" borderId="30" applyNumberFormat="0" applyAlignment="0" applyProtection="0"/>
    <xf numFmtId="0" fontId="51" fillId="28" borderId="33" applyNumberFormat="0" applyFont="0" applyAlignment="0" applyProtection="0"/>
    <xf numFmtId="0" fontId="28" fillId="0" borderId="48" applyNumberFormat="0" applyFill="0" applyAlignment="0" applyProtection="0"/>
    <xf numFmtId="0" fontId="54" fillId="23" borderId="79" applyNumberFormat="0" applyAlignment="0" applyProtection="0"/>
    <xf numFmtId="178" fontId="4" fillId="29" borderId="50" applyNumberFormat="0" applyFont="0" applyBorder="0" applyAlignment="0" applyProtection="0">
      <alignment horizontal="right" vertical="center"/>
    </xf>
    <xf numFmtId="0" fontId="51" fillId="28" borderId="40" applyNumberFormat="0" applyFont="0" applyAlignment="0" applyProtection="0"/>
    <xf numFmtId="0" fontId="51" fillId="28" borderId="73" applyNumberFormat="0" applyFont="0" applyAlignment="0" applyProtection="0"/>
    <xf numFmtId="0" fontId="62" fillId="7" borderId="31" applyNumberFormat="0" applyAlignment="0" applyProtection="0"/>
    <xf numFmtId="0" fontId="6" fillId="22" borderId="42">
      <alignment horizontal="right" vertical="center"/>
    </xf>
    <xf numFmtId="0" fontId="62" fillId="7" borderId="38" applyNumberFormat="0" applyAlignment="0" applyProtection="0"/>
    <xf numFmtId="49" fontId="4" fillId="0" borderId="63" applyNumberFormat="0" applyFont="0" applyFill="0" applyBorder="0" applyProtection="0">
      <alignment horizontal="left" vertical="center" indent="5"/>
    </xf>
    <xf numFmtId="0" fontId="28" fillId="0" borderId="32" applyNumberFormat="0" applyFill="0" applyAlignment="0" applyProtection="0"/>
    <xf numFmtId="0" fontId="26" fillId="23" borderId="66" applyNumberFormat="0" applyAlignment="0" applyProtection="0"/>
    <xf numFmtId="4" fontId="6" fillId="21" borderId="82">
      <alignment horizontal="right" vertical="center"/>
    </xf>
    <xf numFmtId="4" fontId="6" fillId="22" borderId="52">
      <alignment horizontal="right" vertical="center"/>
    </xf>
    <xf numFmtId="0" fontId="26" fillId="23" borderId="30" applyNumberFormat="0" applyAlignment="0" applyProtection="0"/>
    <xf numFmtId="0" fontId="66" fillId="23" borderId="78" applyNumberFormat="0" applyAlignment="0" applyProtection="0"/>
    <xf numFmtId="0" fontId="6" fillId="22" borderId="63">
      <alignment horizontal="right" vertical="center"/>
    </xf>
    <xf numFmtId="4" fontId="4" fillId="0" borderId="41" applyFill="0" applyBorder="0" applyProtection="0">
      <alignment horizontal="right" vertical="center"/>
    </xf>
    <xf numFmtId="0" fontId="6" fillId="22" borderId="34">
      <alignment horizontal="right" vertical="center"/>
    </xf>
    <xf numFmtId="0" fontId="4" fillId="0" borderId="44">
      <alignment horizontal="left" vertical="center" wrapText="1" indent="2"/>
    </xf>
    <xf numFmtId="0" fontId="16" fillId="23" borderId="47" applyNumberFormat="0" applyAlignment="0" applyProtection="0"/>
    <xf numFmtId="0" fontId="7" fillId="28" borderId="69" applyNumberFormat="0" applyFont="0" applyAlignment="0" applyProtection="0"/>
    <xf numFmtId="4" fontId="9" fillId="21" borderId="62">
      <alignment horizontal="right" vertical="center"/>
    </xf>
    <xf numFmtId="4" fontId="6" fillId="22" borderId="82">
      <alignment horizontal="right" vertical="center"/>
    </xf>
    <xf numFmtId="0" fontId="68" fillId="0" borderId="68" applyNumberFormat="0" applyFill="0" applyAlignment="0" applyProtection="0"/>
    <xf numFmtId="0" fontId="62" fillId="7" borderId="67" applyNumberFormat="0" applyAlignment="0" applyProtection="0"/>
    <xf numFmtId="0" fontId="16" fillId="23" borderId="67" applyNumberFormat="0" applyAlignment="0" applyProtection="0"/>
    <xf numFmtId="0" fontId="4" fillId="0" borderId="65">
      <alignment horizontal="left" vertical="center" wrapText="1" indent="2"/>
    </xf>
    <xf numFmtId="0" fontId="54" fillId="23" borderId="74" applyNumberFormat="0" applyAlignment="0" applyProtection="0"/>
    <xf numFmtId="0" fontId="16" fillId="23" borderId="27" applyNumberFormat="0" applyAlignment="0" applyProtection="0"/>
    <xf numFmtId="0" fontId="16" fillId="23" borderId="59" applyNumberFormat="0" applyAlignment="0" applyProtection="0"/>
    <xf numFmtId="49" fontId="8" fillId="0" borderId="41" applyNumberFormat="0" applyFill="0" applyBorder="0" applyProtection="0">
      <alignment horizontal="left" vertical="center"/>
    </xf>
    <xf numFmtId="0" fontId="68" fillId="0" borderId="28" applyNumberFormat="0" applyFill="0" applyAlignment="0" applyProtection="0"/>
    <xf numFmtId="0" fontId="54" fillId="23" borderId="38" applyNumberFormat="0" applyAlignment="0" applyProtection="0"/>
    <xf numFmtId="0" fontId="62" fillId="7" borderId="27" applyNumberFormat="0" applyAlignment="0" applyProtection="0"/>
    <xf numFmtId="4" fontId="4" fillId="0" borderId="50">
      <alignment horizontal="right" vertical="center"/>
    </xf>
    <xf numFmtId="0" fontId="51" fillId="28" borderId="29" applyNumberFormat="0" applyFont="0" applyAlignment="0" applyProtection="0"/>
    <xf numFmtId="0" fontId="62" fillId="7" borderId="74" applyNumberFormat="0" applyAlignment="0" applyProtection="0"/>
    <xf numFmtId="0" fontId="16" fillId="23" borderId="47" applyNumberFormat="0" applyAlignment="0" applyProtection="0"/>
    <xf numFmtId="0" fontId="62" fillId="7" borderId="38" applyNumberFormat="0" applyAlignment="0" applyProtection="0"/>
    <xf numFmtId="0" fontId="6" fillId="22" borderId="42">
      <alignment horizontal="right" vertical="center"/>
    </xf>
    <xf numFmtId="0" fontId="54" fillId="23" borderId="95" applyNumberFormat="0" applyAlignment="0" applyProtection="0"/>
    <xf numFmtId="0" fontId="62" fillId="7" borderId="74" applyNumberFormat="0" applyAlignment="0" applyProtection="0"/>
    <xf numFmtId="0" fontId="26" fillId="23" borderId="30" applyNumberFormat="0" applyAlignment="0" applyProtection="0"/>
    <xf numFmtId="0" fontId="62" fillId="7" borderId="38" applyNumberFormat="0" applyAlignment="0" applyProtection="0"/>
    <xf numFmtId="0" fontId="6" fillId="22" borderId="41">
      <alignment horizontal="right" vertical="center"/>
    </xf>
    <xf numFmtId="0" fontId="62" fillId="7" borderId="27" applyNumberFormat="0" applyAlignment="0" applyProtection="0"/>
    <xf numFmtId="0" fontId="26" fillId="23" borderId="26" applyNumberFormat="0" applyAlignment="0" applyProtection="0"/>
    <xf numFmtId="0" fontId="9" fillId="21" borderId="35">
      <alignment horizontal="right" vertical="center"/>
    </xf>
    <xf numFmtId="0" fontId="23" fillId="7" borderId="27" applyNumberFormat="0" applyAlignment="0" applyProtection="0"/>
    <xf numFmtId="4" fontId="6" fillId="22" borderId="43">
      <alignment horizontal="right" vertical="center"/>
    </xf>
    <xf numFmtId="0" fontId="54" fillId="23" borderId="27" applyNumberFormat="0" applyAlignment="0" applyProtection="0"/>
    <xf numFmtId="0" fontId="68" fillId="0" borderId="28" applyNumberFormat="0" applyFill="0" applyAlignment="0" applyProtection="0"/>
    <xf numFmtId="0" fontId="66" fillId="23" borderId="26" applyNumberFormat="0" applyAlignment="0" applyProtection="0"/>
    <xf numFmtId="0" fontId="68" fillId="0" borderId="39" applyNumberFormat="0" applyFill="0" applyAlignment="0" applyProtection="0"/>
    <xf numFmtId="4" fontId="4" fillId="0" borderId="41">
      <alignment horizontal="right" vertical="center"/>
    </xf>
    <xf numFmtId="4" fontId="4" fillId="0" borderId="41" applyFill="0" applyBorder="0" applyProtection="0">
      <alignment horizontal="right" vertical="center"/>
    </xf>
    <xf numFmtId="0" fontId="62" fillId="7" borderId="27" applyNumberFormat="0" applyAlignment="0" applyProtection="0"/>
    <xf numFmtId="0" fontId="26" fillId="23" borderId="26" applyNumberFormat="0" applyAlignment="0" applyProtection="0"/>
    <xf numFmtId="0" fontId="16" fillId="23" borderId="27" applyNumberFormat="0" applyAlignment="0" applyProtection="0"/>
    <xf numFmtId="4" fontId="4" fillId="0" borderId="35">
      <alignment horizontal="right" vertical="center"/>
    </xf>
    <xf numFmtId="0" fontId="54" fillId="23" borderId="27" applyNumberFormat="0" applyAlignment="0" applyProtection="0"/>
    <xf numFmtId="0" fontId="54" fillId="23" borderId="27" applyNumberFormat="0" applyAlignment="0" applyProtection="0"/>
    <xf numFmtId="0" fontId="6" fillId="22" borderId="82">
      <alignment horizontal="right" vertical="center"/>
    </xf>
    <xf numFmtId="0" fontId="4" fillId="0" borderId="41" applyNumberFormat="0" applyFill="0" applyAlignment="0" applyProtection="0"/>
    <xf numFmtId="0" fontId="4" fillId="0" borderId="35" applyNumberFormat="0" applyFill="0" applyAlignment="0" applyProtection="0"/>
    <xf numFmtId="0" fontId="23" fillId="7" borderId="27" applyNumberFormat="0" applyAlignment="0" applyProtection="0"/>
    <xf numFmtId="0" fontId="28" fillId="0" borderId="28" applyNumberFormat="0" applyFill="0" applyAlignment="0" applyProtection="0"/>
    <xf numFmtId="0" fontId="68" fillId="0" borderId="28" applyNumberFormat="0" applyFill="0" applyAlignment="0" applyProtection="0"/>
    <xf numFmtId="0" fontId="51" fillId="28" borderId="29" applyNumberFormat="0" applyFont="0" applyAlignment="0" applyProtection="0"/>
    <xf numFmtId="0" fontId="62" fillId="7" borderId="27" applyNumberFormat="0" applyAlignment="0" applyProtection="0"/>
    <xf numFmtId="0" fontId="68" fillId="0" borderId="39" applyNumberFormat="0" applyFill="0" applyAlignment="0" applyProtection="0"/>
    <xf numFmtId="0" fontId="26" fillId="23" borderId="105" applyNumberFormat="0" applyAlignment="0" applyProtection="0"/>
    <xf numFmtId="0" fontId="54" fillId="23" borderId="27" applyNumberFormat="0" applyAlignment="0" applyProtection="0"/>
    <xf numFmtId="0" fontId="26" fillId="23" borderId="70" applyNumberFormat="0" applyAlignment="0" applyProtection="0"/>
    <xf numFmtId="0" fontId="51" fillId="28" borderId="29" applyNumberFormat="0" applyFont="0" applyAlignment="0" applyProtection="0"/>
    <xf numFmtId="0" fontId="7" fillId="28" borderId="29" applyNumberFormat="0" applyFont="0" applyAlignment="0" applyProtection="0"/>
    <xf numFmtId="0" fontId="66" fillId="23" borderId="26" applyNumberFormat="0" applyAlignment="0" applyProtection="0"/>
    <xf numFmtId="0" fontId="68" fillId="0" borderId="28" applyNumberFormat="0" applyFill="0" applyAlignment="0" applyProtection="0"/>
    <xf numFmtId="0" fontId="66" fillId="23" borderId="45" applyNumberFormat="0" applyAlignment="0" applyProtection="0"/>
    <xf numFmtId="0" fontId="68" fillId="0" borderId="28" applyNumberFormat="0" applyFill="0" applyAlignment="0" applyProtection="0"/>
    <xf numFmtId="0" fontId="66" fillId="23" borderId="54" applyNumberFormat="0" applyAlignment="0" applyProtection="0"/>
    <xf numFmtId="0" fontId="16" fillId="23" borderId="27" applyNumberFormat="0" applyAlignment="0" applyProtection="0"/>
    <xf numFmtId="0" fontId="51" fillId="28" borderId="57" applyNumberFormat="0" applyFont="0" applyAlignment="0" applyProtection="0"/>
    <xf numFmtId="0" fontId="54" fillId="23" borderId="27" applyNumberFormat="0" applyAlignment="0" applyProtection="0"/>
    <xf numFmtId="0" fontId="28" fillId="0" borderId="28" applyNumberFormat="0" applyFill="0" applyAlignment="0" applyProtection="0"/>
    <xf numFmtId="0" fontId="51" fillId="28" borderId="29" applyNumberFormat="0" applyFont="0" applyAlignment="0" applyProtection="0"/>
    <xf numFmtId="0" fontId="26" fillId="23" borderId="58" applyNumberFormat="0" applyAlignment="0" applyProtection="0"/>
    <xf numFmtId="0" fontId="4" fillId="0" borderId="50">
      <alignment horizontal="right" vertical="center"/>
    </xf>
    <xf numFmtId="0" fontId="62" fillId="7" borderId="74" applyNumberFormat="0" applyAlignment="0" applyProtection="0"/>
    <xf numFmtId="0" fontId="51" fillId="28" borderId="40" applyNumberFormat="0" applyFont="0" applyAlignment="0" applyProtection="0"/>
    <xf numFmtId="178" fontId="4" fillId="29" borderId="41" applyNumberFormat="0" applyFont="0" applyBorder="0" applyAlignment="0" applyProtection="0">
      <alignment horizontal="right" vertical="center"/>
    </xf>
    <xf numFmtId="0" fontId="28" fillId="0" borderId="75" applyNumberFormat="0" applyFill="0" applyAlignment="0" applyProtection="0"/>
    <xf numFmtId="0" fontId="28" fillId="0" borderId="28" applyNumberFormat="0" applyFill="0" applyAlignment="0" applyProtection="0"/>
    <xf numFmtId="0" fontId="28" fillId="0" borderId="39" applyNumberFormat="0" applyFill="0" applyAlignment="0" applyProtection="0"/>
    <xf numFmtId="4" fontId="6" fillId="22" borderId="51">
      <alignment horizontal="right" vertical="center"/>
    </xf>
    <xf numFmtId="0" fontId="54" fillId="23" borderId="27" applyNumberFormat="0" applyAlignment="0" applyProtection="0"/>
    <xf numFmtId="0" fontId="6" fillId="22" borderId="41">
      <alignment horizontal="right" vertical="center"/>
    </xf>
    <xf numFmtId="0" fontId="62" fillId="7" borderId="27" applyNumberFormat="0" applyAlignment="0" applyProtection="0"/>
    <xf numFmtId="0" fontId="62" fillId="7" borderId="27" applyNumberFormat="0" applyAlignment="0" applyProtection="0"/>
    <xf numFmtId="0" fontId="51" fillId="28" borderId="29" applyNumberFormat="0" applyFont="0" applyAlignment="0" applyProtection="0"/>
    <xf numFmtId="0" fontId="66" fillId="23" borderId="26" applyNumberFormat="0" applyAlignment="0" applyProtection="0"/>
    <xf numFmtId="0" fontId="68" fillId="0" borderId="28" applyNumberFormat="0" applyFill="0" applyAlignment="0" applyProtection="0"/>
    <xf numFmtId="4" fontId="4" fillId="0" borderId="41" applyFill="0" applyBorder="0" applyProtection="0">
      <alignment horizontal="right" vertical="center"/>
    </xf>
    <xf numFmtId="0" fontId="7" fillId="28" borderId="29" applyNumberFormat="0" applyFont="0" applyAlignment="0" applyProtection="0"/>
    <xf numFmtId="0" fontId="62" fillId="7" borderId="38" applyNumberFormat="0" applyAlignment="0" applyProtection="0"/>
    <xf numFmtId="0" fontId="68" fillId="0" borderId="28" applyNumberFormat="0" applyFill="0" applyAlignment="0" applyProtection="0"/>
    <xf numFmtId="0" fontId="54" fillId="23" borderId="38" applyNumberFormat="0" applyAlignment="0" applyProtection="0"/>
    <xf numFmtId="0" fontId="51" fillId="28" borderId="76" applyNumberFormat="0" applyFont="0" applyAlignment="0" applyProtection="0"/>
    <xf numFmtId="0" fontId="54" fillId="23" borderId="71" applyNumberFormat="0" applyAlignment="0" applyProtection="0"/>
    <xf numFmtId="0" fontId="4" fillId="22" borderId="44">
      <alignment horizontal="left" vertical="center" wrapText="1" indent="2"/>
    </xf>
    <xf numFmtId="0" fontId="26" fillId="23" borderId="45" applyNumberFormat="0" applyAlignment="0" applyProtection="0"/>
    <xf numFmtId="0" fontId="62" fillId="7" borderId="71" applyNumberFormat="0" applyAlignment="0" applyProtection="0"/>
    <xf numFmtId="0" fontId="4" fillId="0" borderId="41">
      <alignment horizontal="right" vertical="center"/>
    </xf>
    <xf numFmtId="0" fontId="23" fillId="7" borderId="38" applyNumberFormat="0" applyAlignment="0" applyProtection="0"/>
    <xf numFmtId="0" fontId="54" fillId="23" borderId="55" applyNumberFormat="0" applyAlignment="0" applyProtection="0"/>
    <xf numFmtId="0" fontId="7" fillId="28" borderId="73" applyNumberFormat="0" applyFont="0" applyAlignment="0" applyProtection="0"/>
    <xf numFmtId="0" fontId="54" fillId="23" borderId="27" applyNumberFormat="0" applyAlignment="0" applyProtection="0"/>
    <xf numFmtId="0" fontId="68" fillId="0" borderId="56" applyNumberFormat="0" applyFill="0" applyAlignment="0" applyProtection="0"/>
    <xf numFmtId="0" fontId="62" fillId="7" borderId="71" applyNumberFormat="0" applyAlignment="0" applyProtection="0"/>
    <xf numFmtId="0" fontId="62" fillId="7" borderId="27" applyNumberFormat="0" applyAlignment="0" applyProtection="0"/>
    <xf numFmtId="0" fontId="4" fillId="27" borderId="41"/>
    <xf numFmtId="0" fontId="68" fillId="0" borderId="39" applyNumberFormat="0" applyFill="0" applyAlignment="0" applyProtection="0"/>
    <xf numFmtId="4" fontId="4" fillId="27" borderId="41"/>
    <xf numFmtId="0" fontId="66" fillId="23" borderId="26" applyNumberFormat="0" applyAlignment="0" applyProtection="0"/>
    <xf numFmtId="0" fontId="4" fillId="22" borderId="65">
      <alignment horizontal="left" vertical="center" wrapText="1" indent="2"/>
    </xf>
    <xf numFmtId="0" fontId="51" fillId="28" borderId="49" applyNumberFormat="0" applyFont="0" applyAlignment="0" applyProtection="0"/>
    <xf numFmtId="0" fontId="68" fillId="0" borderId="28" applyNumberFormat="0" applyFill="0" applyAlignment="0" applyProtection="0"/>
    <xf numFmtId="0" fontId="7" fillId="28" borderId="29" applyNumberFormat="0" applyFont="0" applyAlignment="0" applyProtection="0"/>
    <xf numFmtId="0" fontId="51" fillId="28" borderId="29" applyNumberFormat="0" applyFont="0" applyAlignment="0" applyProtection="0"/>
    <xf numFmtId="0" fontId="16" fillId="23" borderId="38" applyNumberFormat="0" applyAlignment="0" applyProtection="0"/>
    <xf numFmtId="0" fontId="28" fillId="0" borderId="28" applyNumberFormat="0" applyFill="0" applyAlignment="0" applyProtection="0"/>
    <xf numFmtId="0" fontId="68" fillId="0" borderId="28" applyNumberFormat="0" applyFill="0" applyAlignment="0" applyProtection="0"/>
    <xf numFmtId="0" fontId="23" fillId="7" borderId="27" applyNumberFormat="0" applyAlignment="0" applyProtection="0"/>
    <xf numFmtId="0" fontId="54" fillId="23" borderId="27" applyNumberFormat="0" applyAlignment="0" applyProtection="0"/>
    <xf numFmtId="4" fontId="6" fillId="22" borderId="41">
      <alignment horizontal="right" vertical="center"/>
    </xf>
    <xf numFmtId="4" fontId="6" fillId="22" borderId="63">
      <alignment horizontal="right" vertical="center"/>
    </xf>
    <xf numFmtId="178" fontId="4" fillId="29" borderId="62" applyNumberFormat="0" applyFont="0" applyBorder="0" applyAlignment="0" applyProtection="0">
      <alignment horizontal="right" vertical="center"/>
    </xf>
    <xf numFmtId="0" fontId="28" fillId="0" borderId="28" applyNumberFormat="0" applyFill="0" applyAlignment="0" applyProtection="0"/>
    <xf numFmtId="0" fontId="4" fillId="0" borderId="37">
      <alignment horizontal="left" vertical="center" wrapText="1" indent="2"/>
    </xf>
    <xf numFmtId="0" fontId="6" fillId="22" borderId="35">
      <alignment horizontal="right" vertical="center"/>
    </xf>
    <xf numFmtId="49" fontId="8" fillId="0" borderId="41" applyNumberFormat="0" applyFill="0" applyBorder="0" applyProtection="0">
      <alignment horizontal="left" vertical="center"/>
    </xf>
    <xf numFmtId="0" fontId="23" fillId="7" borderId="38" applyNumberFormat="0" applyAlignment="0" applyProtection="0"/>
    <xf numFmtId="0" fontId="23" fillId="7" borderId="79" applyNumberFormat="0" applyAlignment="0" applyProtection="0"/>
    <xf numFmtId="4" fontId="4" fillId="27" borderId="35"/>
    <xf numFmtId="0" fontId="66" fillId="23" borderId="26" applyNumberFormat="0" applyAlignment="0" applyProtection="0"/>
    <xf numFmtId="0" fontId="68" fillId="0" borderId="60" applyNumberFormat="0" applyFill="0" applyAlignment="0" applyProtection="0"/>
    <xf numFmtId="0" fontId="23" fillId="7" borderId="27" applyNumberFormat="0" applyAlignment="0" applyProtection="0"/>
    <xf numFmtId="0" fontId="6" fillId="22" borderId="43">
      <alignment horizontal="right" vertical="center"/>
    </xf>
    <xf numFmtId="49" fontId="4" fillId="0" borderId="42" applyNumberFormat="0" applyFont="0" applyFill="0" applyBorder="0" applyProtection="0">
      <alignment horizontal="left" vertical="center" indent="5"/>
    </xf>
    <xf numFmtId="0" fontId="26" fillId="23" borderId="26" applyNumberFormat="0" applyAlignment="0" applyProtection="0"/>
    <xf numFmtId="0" fontId="16" fillId="23" borderId="27" applyNumberFormat="0" applyAlignment="0" applyProtection="0"/>
    <xf numFmtId="0" fontId="28" fillId="0" borderId="28" applyNumberFormat="0" applyFill="0" applyAlignment="0" applyProtection="0"/>
    <xf numFmtId="0" fontId="62" fillId="7" borderId="47" applyNumberFormat="0" applyAlignment="0" applyProtection="0"/>
    <xf numFmtId="0" fontId="23" fillId="7" borderId="27" applyNumberFormat="0" applyAlignment="0" applyProtection="0"/>
    <xf numFmtId="0" fontId="54" fillId="23" borderId="27" applyNumberFormat="0" applyAlignment="0" applyProtection="0"/>
    <xf numFmtId="0" fontId="26" fillId="23" borderId="45" applyNumberFormat="0" applyAlignment="0" applyProtection="0"/>
    <xf numFmtId="0" fontId="54" fillId="23" borderId="71" applyNumberFormat="0" applyAlignment="0" applyProtection="0"/>
    <xf numFmtId="0" fontId="66" fillId="23" borderId="26" applyNumberFormat="0" applyAlignment="0" applyProtection="0"/>
    <xf numFmtId="0" fontId="62" fillId="7" borderId="27" applyNumberFormat="0" applyAlignment="0" applyProtection="0"/>
    <xf numFmtId="0" fontId="16" fillId="23" borderId="27" applyNumberFormat="0" applyAlignment="0" applyProtection="0"/>
    <xf numFmtId="0" fontId="26" fillId="23" borderId="26" applyNumberFormat="0" applyAlignment="0" applyProtection="0"/>
    <xf numFmtId="0" fontId="4" fillId="22" borderId="37">
      <alignment horizontal="left" vertical="center" wrapText="1" indent="2"/>
    </xf>
    <xf numFmtId="0" fontId="4" fillId="0" borderId="62">
      <alignment horizontal="right" vertical="center"/>
    </xf>
    <xf numFmtId="0" fontId="4" fillId="21" borderId="91">
      <alignment horizontal="left" vertical="center"/>
    </xf>
    <xf numFmtId="0" fontId="23" fillId="7" borderId="71" applyNumberFormat="0" applyAlignment="0" applyProtection="0"/>
    <xf numFmtId="4" fontId="6" fillId="22" borderId="41">
      <alignment horizontal="right" vertical="center"/>
    </xf>
    <xf numFmtId="0" fontId="16" fillId="23" borderId="59" applyNumberFormat="0" applyAlignment="0" applyProtection="0"/>
    <xf numFmtId="4" fontId="4" fillId="0" borderId="41">
      <alignment horizontal="right" vertical="center"/>
    </xf>
    <xf numFmtId="0" fontId="62" fillId="7" borderId="27" applyNumberFormat="0" applyAlignment="0" applyProtection="0"/>
    <xf numFmtId="0" fontId="23" fillId="7" borderId="27" applyNumberFormat="0" applyAlignment="0" applyProtection="0"/>
    <xf numFmtId="0" fontId="16" fillId="23" borderId="27" applyNumberFormat="0" applyAlignment="0" applyProtection="0"/>
    <xf numFmtId="0" fontId="16" fillId="23" borderId="38" applyNumberFormat="0" applyAlignment="0" applyProtection="0"/>
    <xf numFmtId="0" fontId="28" fillId="0" borderId="75" applyNumberFormat="0" applyFill="0" applyAlignment="0" applyProtection="0"/>
    <xf numFmtId="4" fontId="4" fillId="27" borderId="50"/>
    <xf numFmtId="0" fontId="68" fillId="0" borderId="80" applyNumberFormat="0" applyFill="0" applyAlignment="0" applyProtection="0"/>
    <xf numFmtId="0" fontId="16" fillId="23" borderId="31" applyNumberFormat="0" applyAlignment="0" applyProtection="0"/>
    <xf numFmtId="0" fontId="54" fillId="23" borderId="31" applyNumberFormat="0" applyAlignment="0" applyProtection="0"/>
    <xf numFmtId="0" fontId="28" fillId="0" borderId="32" applyNumberFormat="0" applyFill="0" applyAlignment="0" applyProtection="0"/>
    <xf numFmtId="0" fontId="51" fillId="28" borderId="33" applyNumberFormat="0" applyFont="0" applyAlignment="0" applyProtection="0"/>
    <xf numFmtId="0" fontId="6" fillId="22" borderId="64">
      <alignment horizontal="right" vertical="center"/>
    </xf>
    <xf numFmtId="0" fontId="28" fillId="0" borderId="60" applyNumberFormat="0" applyFill="0" applyAlignment="0" applyProtection="0"/>
    <xf numFmtId="4" fontId="6" fillId="22" borderId="50">
      <alignment horizontal="right" vertical="center"/>
    </xf>
    <xf numFmtId="4" fontId="6" fillId="21" borderId="62">
      <alignment horizontal="right" vertical="center"/>
    </xf>
    <xf numFmtId="0" fontId="16" fillId="23" borderId="59" applyNumberFormat="0" applyAlignment="0" applyProtection="0"/>
    <xf numFmtId="4" fontId="4" fillId="27" borderId="35"/>
    <xf numFmtId="0" fontId="28" fillId="0" borderId="32" applyNumberFormat="0" applyFill="0" applyAlignment="0" applyProtection="0"/>
    <xf numFmtId="0" fontId="62" fillId="7" borderId="59" applyNumberFormat="0" applyAlignment="0" applyProtection="0"/>
    <xf numFmtId="0" fontId="4" fillId="22" borderId="37">
      <alignment horizontal="left" vertical="center" wrapText="1" indent="2"/>
    </xf>
    <xf numFmtId="0" fontId="68" fillId="0" borderId="72" applyNumberFormat="0" applyFill="0" applyAlignment="0" applyProtection="0"/>
    <xf numFmtId="0" fontId="54" fillId="23" borderId="31" applyNumberFormat="0" applyAlignment="0" applyProtection="0"/>
    <xf numFmtId="0" fontId="66" fillId="23" borderId="46" applyNumberFormat="0" applyAlignment="0" applyProtection="0"/>
    <xf numFmtId="0" fontId="62" fillId="7" borderId="31" applyNumberFormat="0" applyAlignment="0" applyProtection="0"/>
    <xf numFmtId="0" fontId="62" fillId="7" borderId="31" applyNumberFormat="0" applyAlignment="0" applyProtection="0"/>
    <xf numFmtId="0" fontId="51" fillId="28" borderId="33" applyNumberFormat="0" applyFont="0" applyAlignment="0" applyProtection="0"/>
    <xf numFmtId="0" fontId="66" fillId="23" borderId="30" applyNumberFormat="0" applyAlignment="0" applyProtection="0"/>
    <xf numFmtId="0" fontId="68" fillId="0" borderId="32" applyNumberFormat="0" applyFill="0" applyAlignment="0" applyProtection="0"/>
    <xf numFmtId="0" fontId="54" fillId="23" borderId="74" applyNumberFormat="0" applyAlignment="0" applyProtection="0"/>
    <xf numFmtId="0" fontId="7" fillId="28" borderId="33" applyNumberFormat="0" applyFont="0" applyAlignment="0" applyProtection="0"/>
    <xf numFmtId="0" fontId="4" fillId="21" borderId="99">
      <alignment horizontal="left" vertical="center"/>
    </xf>
    <xf numFmtId="0" fontId="68" fillId="0" borderId="32" applyNumberFormat="0" applyFill="0" applyAlignment="0" applyProtection="0"/>
    <xf numFmtId="0" fontId="23" fillId="7" borderId="71" applyNumberFormat="0" applyAlignment="0" applyProtection="0"/>
    <xf numFmtId="0" fontId="68" fillId="0" borderId="48" applyNumberFormat="0" applyFill="0" applyAlignment="0" applyProtection="0"/>
    <xf numFmtId="0" fontId="68" fillId="0" borderId="48" applyNumberFormat="0" applyFill="0" applyAlignment="0" applyProtection="0"/>
    <xf numFmtId="4" fontId="4" fillId="0" borderId="35">
      <alignment horizontal="right" vertical="center"/>
    </xf>
    <xf numFmtId="49" fontId="4" fillId="0" borderId="35" applyNumberFormat="0" applyFont="0" applyFill="0" applyBorder="0" applyProtection="0">
      <alignment horizontal="left" vertical="center" indent="2"/>
    </xf>
    <xf numFmtId="0" fontId="6" fillId="22" borderId="35">
      <alignment horizontal="right" vertical="center"/>
    </xf>
    <xf numFmtId="4" fontId="4" fillId="27" borderId="62"/>
    <xf numFmtId="0" fontId="66" fillId="23" borderId="77" applyNumberFormat="0" applyAlignment="0" applyProtection="0"/>
    <xf numFmtId="0" fontId="4" fillId="0" borderId="65">
      <alignment horizontal="left" vertical="center" wrapText="1" indent="2"/>
    </xf>
    <xf numFmtId="4" fontId="9" fillId="21" borderId="62">
      <alignment horizontal="right" vertical="center"/>
    </xf>
    <xf numFmtId="0" fontId="54" fillId="23" borderId="31" applyNumberFormat="0" applyAlignment="0" applyProtection="0"/>
    <xf numFmtId="0" fontId="6" fillId="22" borderId="63">
      <alignment horizontal="right" vertical="center"/>
    </xf>
    <xf numFmtId="0" fontId="23" fillId="7" borderId="95" applyNumberFormat="0" applyAlignment="0" applyProtection="0"/>
    <xf numFmtId="0" fontId="62" fillId="7" borderId="31" applyNumberFormat="0" applyAlignment="0" applyProtection="0"/>
    <xf numFmtId="0" fontId="6" fillId="22" borderId="99">
      <alignment horizontal="right" vertical="center"/>
    </xf>
    <xf numFmtId="0" fontId="51" fillId="28" borderId="57" applyNumberFormat="0" applyFont="0" applyAlignment="0" applyProtection="0"/>
    <xf numFmtId="0" fontId="51" fillId="28" borderId="73" applyNumberFormat="0" applyFont="0" applyAlignment="0" applyProtection="0"/>
    <xf numFmtId="0" fontId="66" fillId="23" borderId="30" applyNumberFormat="0" applyAlignment="0" applyProtection="0"/>
    <xf numFmtId="0" fontId="9" fillId="21" borderId="50">
      <alignment horizontal="right" vertical="center"/>
    </xf>
    <xf numFmtId="0" fontId="68" fillId="0" borderId="32" applyNumberFormat="0" applyFill="0" applyAlignment="0" applyProtection="0"/>
    <xf numFmtId="0" fontId="7" fillId="28" borderId="33" applyNumberFormat="0" applyFont="0" applyAlignment="0" applyProtection="0"/>
    <xf numFmtId="0" fontId="51" fillId="28" borderId="33" applyNumberFormat="0" applyFont="0" applyAlignment="0" applyProtection="0"/>
    <xf numFmtId="0" fontId="28" fillId="0" borderId="32" applyNumberFormat="0" applyFill="0" applyAlignment="0" applyProtection="0"/>
    <xf numFmtId="0" fontId="68" fillId="0" borderId="32" applyNumberFormat="0" applyFill="0" applyAlignment="0" applyProtection="0"/>
    <xf numFmtId="0" fontId="23" fillId="7" borderId="31" applyNumberFormat="0" applyAlignment="0" applyProtection="0"/>
    <xf numFmtId="0" fontId="54" fillId="23" borderId="31" applyNumberFormat="0" applyAlignment="0" applyProtection="0"/>
    <xf numFmtId="0" fontId="23" fillId="7" borderId="38" applyNumberFormat="0" applyAlignment="0" applyProtection="0"/>
    <xf numFmtId="178" fontId="4" fillId="29" borderId="82" applyNumberFormat="0" applyFont="0" applyBorder="0" applyAlignment="0" applyProtection="0">
      <alignment horizontal="right" vertical="center"/>
    </xf>
    <xf numFmtId="0" fontId="28" fillId="0" borderId="32" applyNumberFormat="0" applyFill="0" applyAlignment="0" applyProtection="0"/>
    <xf numFmtId="4" fontId="6" fillId="22" borderId="42">
      <alignment horizontal="right" vertical="center"/>
    </xf>
    <xf numFmtId="0" fontId="4" fillId="0" borderId="37">
      <alignment horizontal="left" vertical="center" wrapText="1" indent="2"/>
    </xf>
    <xf numFmtId="0" fontId="54" fillId="23" borderId="38" applyNumberFormat="0" applyAlignment="0" applyProtection="0"/>
    <xf numFmtId="0" fontId="68" fillId="0" borderId="60" applyNumberFormat="0" applyFill="0" applyAlignment="0" applyProtection="0"/>
    <xf numFmtId="49" fontId="4" fillId="0" borderId="35" applyNumberFormat="0" applyFont="0" applyFill="0" applyBorder="0" applyProtection="0">
      <alignment horizontal="left" vertical="center" indent="2"/>
    </xf>
    <xf numFmtId="4" fontId="9" fillId="21" borderId="41">
      <alignment horizontal="right" vertical="center"/>
    </xf>
    <xf numFmtId="0" fontId="4" fillId="0" borderId="62">
      <alignment horizontal="right" vertical="center"/>
    </xf>
    <xf numFmtId="0" fontId="66" fillId="23" borderId="30" applyNumberFormat="0" applyAlignment="0" applyProtection="0"/>
    <xf numFmtId="49" fontId="4" fillId="0" borderId="42" applyNumberFormat="0" applyFont="0" applyFill="0" applyBorder="0" applyProtection="0">
      <alignment horizontal="left" vertical="center" indent="5"/>
    </xf>
    <xf numFmtId="0" fontId="23" fillId="7" borderId="31" applyNumberFormat="0" applyAlignment="0" applyProtection="0"/>
    <xf numFmtId="0" fontId="26" fillId="23" borderId="78" applyNumberFormat="0" applyAlignment="0" applyProtection="0"/>
    <xf numFmtId="0" fontId="6" fillId="21" borderId="35">
      <alignment horizontal="right" vertical="center"/>
    </xf>
    <xf numFmtId="0" fontId="26" fillId="23" borderId="30" applyNumberFormat="0" applyAlignment="0" applyProtection="0"/>
    <xf numFmtId="0" fontId="16" fillId="23" borderId="31" applyNumberFormat="0" applyAlignment="0" applyProtection="0"/>
    <xf numFmtId="0" fontId="28" fillId="0" borderId="32" applyNumberFormat="0" applyFill="0" applyAlignment="0" applyProtection="0"/>
    <xf numFmtId="0" fontId="6" fillId="22" borderId="50">
      <alignment horizontal="right" vertical="center"/>
    </xf>
    <xf numFmtId="0" fontId="54" fillId="23" borderId="111" applyNumberFormat="0" applyAlignment="0" applyProtection="0"/>
    <xf numFmtId="0" fontId="6" fillId="21" borderId="98">
      <alignment horizontal="right" vertical="center"/>
    </xf>
    <xf numFmtId="4" fontId="6" fillId="22" borderId="36">
      <alignment horizontal="right" vertical="center"/>
    </xf>
    <xf numFmtId="0" fontId="23" fillId="7" borderId="31" applyNumberFormat="0" applyAlignment="0" applyProtection="0"/>
    <xf numFmtId="0" fontId="54" fillId="23" borderId="31" applyNumberFormat="0" applyAlignment="0" applyProtection="0"/>
    <xf numFmtId="0" fontId="4" fillId="0" borderId="62">
      <alignment horizontal="right" vertical="center"/>
    </xf>
    <xf numFmtId="0" fontId="4" fillId="22" borderId="85">
      <alignment horizontal="left" vertical="center" wrapText="1" indent="2"/>
    </xf>
    <xf numFmtId="4" fontId="6" fillId="22" borderId="92">
      <alignment horizontal="right" vertical="center"/>
    </xf>
    <xf numFmtId="0" fontId="66" fillId="23" borderId="30" applyNumberFormat="0" applyAlignment="0" applyProtection="0"/>
    <xf numFmtId="0" fontId="62" fillId="7" borderId="31" applyNumberFormat="0" applyAlignment="0" applyProtection="0"/>
    <xf numFmtId="0" fontId="16" fillId="23" borderId="31" applyNumberFormat="0" applyAlignment="0" applyProtection="0"/>
    <xf numFmtId="0" fontId="26" fillId="23" borderId="30" applyNumberFormat="0" applyAlignment="0" applyProtection="0"/>
    <xf numFmtId="49" fontId="4" fillId="0" borderId="41" applyNumberFormat="0" applyFont="0" applyFill="0" applyBorder="0" applyProtection="0">
      <alignment horizontal="left" vertical="center" indent="2"/>
    </xf>
    <xf numFmtId="0" fontId="6" fillId="22" borderId="36">
      <alignment horizontal="right" vertical="center"/>
    </xf>
    <xf numFmtId="0" fontId="62" fillId="7" borderId="55" applyNumberFormat="0" applyAlignment="0" applyProtection="0"/>
    <xf numFmtId="0" fontId="54" fillId="23" borderId="59" applyNumberFormat="0" applyAlignment="0" applyProtection="0"/>
    <xf numFmtId="178" fontId="4" fillId="29" borderId="35" applyNumberFormat="0" applyFont="0" applyBorder="0" applyAlignment="0" applyProtection="0">
      <alignment horizontal="right" vertical="center"/>
    </xf>
    <xf numFmtId="0" fontId="62" fillId="7" borderId="31" applyNumberFormat="0" applyAlignment="0" applyProtection="0"/>
    <xf numFmtId="0" fontId="23" fillId="7" borderId="31" applyNumberFormat="0" applyAlignment="0" applyProtection="0"/>
    <xf numFmtId="0" fontId="16" fillId="23" borderId="31" applyNumberFormat="0" applyAlignment="0" applyProtection="0"/>
    <xf numFmtId="178" fontId="4" fillId="29" borderId="62" applyNumberFormat="0" applyFont="0" applyBorder="0" applyAlignment="0" applyProtection="0">
      <alignment horizontal="right" vertical="center"/>
    </xf>
    <xf numFmtId="0" fontId="62" fillId="7" borderId="38" applyNumberFormat="0" applyAlignment="0" applyProtection="0"/>
    <xf numFmtId="0" fontId="62" fillId="7" borderId="38" applyNumberFormat="0" applyAlignment="0" applyProtection="0"/>
    <xf numFmtId="0" fontId="51" fillId="28" borderId="40" applyNumberFormat="0" applyFont="0" applyAlignment="0" applyProtection="0"/>
    <xf numFmtId="0" fontId="66" fillId="23" borderId="45" applyNumberFormat="0" applyAlignment="0" applyProtection="0"/>
    <xf numFmtId="0" fontId="68" fillId="0" borderId="39" applyNumberFormat="0" applyFill="0" applyAlignment="0" applyProtection="0"/>
    <xf numFmtId="0" fontId="6" fillId="22" borderId="41">
      <alignment horizontal="right" vertical="center"/>
    </xf>
    <xf numFmtId="0" fontId="7" fillId="28" borderId="40" applyNumberFormat="0" applyFont="0" applyAlignment="0" applyProtection="0"/>
    <xf numFmtId="4" fontId="4" fillId="0" borderId="41">
      <alignment horizontal="right" vertical="center"/>
    </xf>
    <xf numFmtId="0" fontId="68" fillId="0" borderId="39" applyNumberFormat="0" applyFill="0" applyAlignment="0" applyProtection="0"/>
    <xf numFmtId="0" fontId="6" fillId="22" borderId="41">
      <alignment horizontal="right" vertical="center"/>
    </xf>
    <xf numFmtId="0" fontId="6" fillId="22" borderId="41">
      <alignment horizontal="right" vertical="center"/>
    </xf>
    <xf numFmtId="4" fontId="9" fillId="21" borderId="41">
      <alignment horizontal="right" vertical="center"/>
    </xf>
    <xf numFmtId="0" fontId="6" fillId="21" borderId="41">
      <alignment horizontal="right" vertical="center"/>
    </xf>
    <xf numFmtId="4" fontId="6" fillId="21" borderId="41">
      <alignment horizontal="right" vertical="center"/>
    </xf>
    <xf numFmtId="0" fontId="9" fillId="21" borderId="41">
      <alignment horizontal="right" vertical="center"/>
    </xf>
    <xf numFmtId="4" fontId="9" fillId="21" borderId="41">
      <alignment horizontal="right" vertical="center"/>
    </xf>
    <xf numFmtId="0" fontId="6" fillId="22" borderId="41">
      <alignment horizontal="right" vertical="center"/>
    </xf>
    <xf numFmtId="4" fontId="6" fillId="22" borderId="41">
      <alignment horizontal="right" vertical="center"/>
    </xf>
    <xf numFmtId="0" fontId="6" fillId="22" borderId="41">
      <alignment horizontal="right" vertical="center"/>
    </xf>
    <xf numFmtId="4" fontId="6" fillId="22" borderId="41">
      <alignment horizontal="right" vertical="center"/>
    </xf>
    <xf numFmtId="0" fontId="6" fillId="22" borderId="42">
      <alignment horizontal="right" vertical="center"/>
    </xf>
    <xf numFmtId="4" fontId="6" fillId="22" borderId="42">
      <alignment horizontal="right" vertical="center"/>
    </xf>
    <xf numFmtId="0" fontId="6" fillId="22" borderId="43">
      <alignment horizontal="right" vertical="center"/>
    </xf>
    <xf numFmtId="4" fontId="6" fillId="22" borderId="43">
      <alignment horizontal="right" vertical="center"/>
    </xf>
    <xf numFmtId="0" fontId="54" fillId="23" borderId="38" applyNumberFormat="0" applyAlignment="0" applyProtection="0"/>
    <xf numFmtId="0" fontId="4" fillId="22" borderId="44">
      <alignment horizontal="left" vertical="center" wrapText="1" indent="2"/>
    </xf>
    <xf numFmtId="0" fontId="4" fillId="0" borderId="44">
      <alignment horizontal="left" vertical="center" wrapText="1" indent="2"/>
    </xf>
    <xf numFmtId="0" fontId="4" fillId="21" borderId="42">
      <alignment horizontal="left" vertical="center"/>
    </xf>
    <xf numFmtId="0" fontId="62" fillId="7" borderId="38" applyNumberFormat="0" applyAlignment="0" applyProtection="0"/>
    <xf numFmtId="0" fontId="4" fillId="0" borderId="41">
      <alignment horizontal="right" vertical="center"/>
    </xf>
    <xf numFmtId="4" fontId="4" fillId="0" borderId="41">
      <alignment horizontal="right" vertical="center"/>
    </xf>
    <xf numFmtId="0" fontId="4" fillId="0" borderId="41" applyNumberFormat="0" applyFill="0" applyAlignment="0" applyProtection="0"/>
    <xf numFmtId="0" fontId="66" fillId="23" borderId="45" applyNumberFormat="0" applyAlignment="0" applyProtection="0"/>
    <xf numFmtId="178" fontId="4" fillId="29" borderId="41" applyNumberFormat="0" applyFont="0" applyBorder="0" applyAlignment="0" applyProtection="0">
      <alignment horizontal="right" vertical="center"/>
    </xf>
    <xf numFmtId="0" fontId="4" fillId="27" borderId="41"/>
    <xf numFmtId="4" fontId="4" fillId="27" borderId="41"/>
    <xf numFmtId="0" fontId="68" fillId="0" borderId="39" applyNumberFormat="0" applyFill="0" applyAlignment="0" applyProtection="0"/>
    <xf numFmtId="0" fontId="7" fillId="28" borderId="40" applyNumberFormat="0" applyFont="0" applyAlignment="0" applyProtection="0"/>
    <xf numFmtId="0" fontId="51" fillId="28" borderId="40" applyNumberFormat="0" applyFont="0" applyAlignment="0" applyProtection="0"/>
    <xf numFmtId="0" fontId="4" fillId="0" borderId="41" applyNumberFormat="0" applyFill="0" applyAlignment="0" applyProtection="0"/>
    <xf numFmtId="0" fontId="28" fillId="0" borderId="39" applyNumberFormat="0" applyFill="0" applyAlignment="0" applyProtection="0"/>
    <xf numFmtId="0" fontId="68" fillId="0" borderId="39" applyNumberFormat="0" applyFill="0" applyAlignment="0" applyProtection="0"/>
    <xf numFmtId="0" fontId="23" fillId="7" borderId="38" applyNumberFormat="0" applyAlignment="0" applyProtection="0"/>
    <xf numFmtId="0" fontId="54" fillId="23" borderId="38" applyNumberFormat="0" applyAlignment="0" applyProtection="0"/>
    <xf numFmtId="4" fontId="9" fillId="21" borderId="41">
      <alignment horizontal="right" vertical="center"/>
    </xf>
    <xf numFmtId="0" fontId="6" fillId="21" borderId="41">
      <alignment horizontal="right" vertical="center"/>
    </xf>
    <xf numFmtId="178" fontId="4" fillId="29" borderId="41" applyNumberFormat="0" applyFont="0" applyBorder="0" applyAlignment="0" applyProtection="0">
      <alignment horizontal="right" vertical="center"/>
    </xf>
    <xf numFmtId="0" fontId="28" fillId="0" borderId="39" applyNumberFormat="0" applyFill="0" applyAlignment="0" applyProtection="0"/>
    <xf numFmtId="49" fontId="4" fillId="0" borderId="41" applyNumberFormat="0" applyFont="0" applyFill="0" applyBorder="0" applyProtection="0">
      <alignment horizontal="left" vertical="center" indent="2"/>
    </xf>
    <xf numFmtId="49" fontId="4" fillId="0" borderId="42" applyNumberFormat="0" applyFont="0" applyFill="0" applyBorder="0" applyProtection="0">
      <alignment horizontal="left" vertical="center" indent="5"/>
    </xf>
    <xf numFmtId="49" fontId="4" fillId="0" borderId="41" applyNumberFormat="0" applyFont="0" applyFill="0" applyBorder="0" applyProtection="0">
      <alignment horizontal="left" vertical="center" indent="2"/>
    </xf>
    <xf numFmtId="4" fontId="4" fillId="0" borderId="41" applyFill="0" applyBorder="0" applyProtection="0">
      <alignment horizontal="right" vertical="center"/>
    </xf>
    <xf numFmtId="49" fontId="8" fillId="0" borderId="41" applyNumberFormat="0" applyFill="0" applyBorder="0" applyProtection="0">
      <alignment horizontal="left" vertical="center"/>
    </xf>
    <xf numFmtId="0" fontId="4" fillId="0" borderId="44">
      <alignment horizontal="left" vertical="center" wrapText="1" indent="2"/>
    </xf>
    <xf numFmtId="0" fontId="66" fillId="23" borderId="45" applyNumberFormat="0" applyAlignment="0" applyProtection="0"/>
    <xf numFmtId="0" fontId="6" fillId="22" borderId="43">
      <alignment horizontal="right" vertical="center"/>
    </xf>
    <xf numFmtId="0" fontId="23" fillId="7" borderId="38" applyNumberFormat="0" applyAlignment="0" applyProtection="0"/>
    <xf numFmtId="0" fontId="6" fillId="22" borderId="43">
      <alignment horizontal="right" vertical="center"/>
    </xf>
    <xf numFmtId="4" fontId="6" fillId="22" borderId="41">
      <alignment horizontal="right" vertical="center"/>
    </xf>
    <xf numFmtId="0" fontId="6" fillId="22" borderId="41">
      <alignment horizontal="right" vertical="center"/>
    </xf>
    <xf numFmtId="0" fontId="26" fillId="23" borderId="45" applyNumberFormat="0" applyAlignment="0" applyProtection="0"/>
    <xf numFmtId="0" fontId="16" fillId="23" borderId="38" applyNumberFormat="0" applyAlignment="0" applyProtection="0"/>
    <xf numFmtId="0" fontId="28" fillId="0" borderId="39" applyNumberFormat="0" applyFill="0" applyAlignment="0" applyProtection="0"/>
    <xf numFmtId="0" fontId="4" fillId="27" borderId="41"/>
    <xf numFmtId="4" fontId="4" fillId="27" borderId="41"/>
    <xf numFmtId="4" fontId="6" fillId="22" borderId="41">
      <alignment horizontal="right" vertical="center"/>
    </xf>
    <xf numFmtId="0" fontId="9" fillId="21" borderId="41">
      <alignment horizontal="right" vertical="center"/>
    </xf>
    <xf numFmtId="0" fontId="23" fillId="7" borderId="38" applyNumberFormat="0" applyAlignment="0" applyProtection="0"/>
    <xf numFmtId="0" fontId="54" fillId="23" borderId="38" applyNumberFormat="0" applyAlignment="0" applyProtection="0"/>
    <xf numFmtId="4" fontId="4" fillId="0" borderId="41">
      <alignment horizontal="right" vertical="center"/>
    </xf>
    <xf numFmtId="0" fontId="4" fillId="22" borderId="44">
      <alignment horizontal="left" vertical="center" wrapText="1" indent="2"/>
    </xf>
    <xf numFmtId="0" fontId="4" fillId="0" borderId="44">
      <alignment horizontal="left" vertical="center" wrapText="1" indent="2"/>
    </xf>
    <xf numFmtId="0" fontId="66" fillId="23" borderId="45" applyNumberFormat="0" applyAlignment="0" applyProtection="0"/>
    <xf numFmtId="0" fontId="62" fillId="7" borderId="38" applyNumberFormat="0" applyAlignment="0" applyProtection="0"/>
    <xf numFmtId="0" fontId="16" fillId="23" borderId="38" applyNumberFormat="0" applyAlignment="0" applyProtection="0"/>
    <xf numFmtId="0" fontId="26" fillId="23" borderId="45" applyNumberFormat="0" applyAlignment="0" applyProtection="0"/>
    <xf numFmtId="0" fontId="6" fillId="22" borderId="43">
      <alignment horizontal="right" vertical="center"/>
    </xf>
    <xf numFmtId="0" fontId="9" fillId="21" borderId="41">
      <alignment horizontal="right" vertical="center"/>
    </xf>
    <xf numFmtId="4" fontId="6" fillId="21" borderId="41">
      <alignment horizontal="right" vertical="center"/>
    </xf>
    <xf numFmtId="4" fontId="6" fillId="22" borderId="41">
      <alignment horizontal="right" vertical="center"/>
    </xf>
    <xf numFmtId="49" fontId="4" fillId="0" borderId="42" applyNumberFormat="0" applyFont="0" applyFill="0" applyBorder="0" applyProtection="0">
      <alignment horizontal="left" vertical="center" indent="5"/>
    </xf>
    <xf numFmtId="4" fontId="4" fillId="0" borderId="41" applyFill="0" applyBorder="0" applyProtection="0">
      <alignment horizontal="right" vertical="center"/>
    </xf>
    <xf numFmtId="4" fontId="6" fillId="21" borderId="41">
      <alignment horizontal="right" vertical="center"/>
    </xf>
    <xf numFmtId="0" fontId="62" fillId="7" borderId="38" applyNumberFormat="0" applyAlignment="0" applyProtection="0"/>
    <xf numFmtId="0" fontId="23" fillId="7" borderId="38" applyNumberFormat="0" applyAlignment="0" applyProtection="0"/>
    <xf numFmtId="0" fontId="16" fillId="23" borderId="38" applyNumberFormat="0" applyAlignment="0" applyProtection="0"/>
    <xf numFmtId="0" fontId="4" fillId="22" borderId="44">
      <alignment horizontal="left" vertical="center" wrapText="1" indent="2"/>
    </xf>
    <xf numFmtId="0" fontId="4" fillId="0" borderId="44">
      <alignment horizontal="left" vertical="center" wrapText="1" indent="2"/>
    </xf>
    <xf numFmtId="0" fontId="4" fillId="22" borderId="44">
      <alignment horizontal="left" vertical="center" wrapText="1" indent="2"/>
    </xf>
    <xf numFmtId="0" fontId="4" fillId="0" borderId="44">
      <alignment horizontal="left" vertical="center" wrapText="1" indent="2"/>
    </xf>
    <xf numFmtId="49" fontId="4" fillId="0" borderId="42" applyNumberFormat="0" applyFont="0" applyFill="0" applyBorder="0" applyProtection="0">
      <alignment horizontal="left" vertical="center" indent="5"/>
    </xf>
    <xf numFmtId="0" fontId="16" fillId="23" borderId="74" applyNumberFormat="0" applyAlignment="0" applyProtection="0"/>
    <xf numFmtId="4" fontId="6" fillId="22" borderId="82">
      <alignment horizontal="right" vertical="center"/>
    </xf>
    <xf numFmtId="0" fontId="16" fillId="23" borderId="95" applyNumberFormat="0" applyAlignment="0" applyProtection="0"/>
    <xf numFmtId="0" fontId="68" fillId="0" borderId="56" applyNumberFormat="0" applyFill="0" applyAlignment="0" applyProtection="0"/>
    <xf numFmtId="0" fontId="62" fillId="7" borderId="55" applyNumberFormat="0" applyAlignment="0" applyProtection="0"/>
    <xf numFmtId="0" fontId="6" fillId="22" borderId="42">
      <alignment horizontal="right" vertical="center"/>
    </xf>
    <xf numFmtId="4" fontId="6" fillId="22" borderId="42">
      <alignment horizontal="right" vertical="center"/>
    </xf>
    <xf numFmtId="49" fontId="4" fillId="0" borderId="82" applyNumberFormat="0" applyFont="0" applyFill="0" applyBorder="0" applyProtection="0">
      <alignment horizontal="left" vertical="center" indent="2"/>
    </xf>
    <xf numFmtId="4" fontId="6" fillId="22" borderId="62">
      <alignment horizontal="right" vertical="center"/>
    </xf>
    <xf numFmtId="0" fontId="4" fillId="22" borderId="65">
      <alignment horizontal="left" vertical="center" wrapText="1" indent="2"/>
    </xf>
    <xf numFmtId="0" fontId="4" fillId="21" borderId="42">
      <alignment horizontal="left" vertical="center"/>
    </xf>
    <xf numFmtId="0" fontId="23" fillId="7" borderId="47" applyNumberFormat="0" applyAlignment="0" applyProtection="0"/>
    <xf numFmtId="0" fontId="51" fillId="28" borderId="81" applyNumberFormat="0" applyFont="0" applyAlignment="0" applyProtection="0"/>
    <xf numFmtId="49" fontId="8" fillId="0" borderId="62" applyNumberFormat="0" applyFill="0" applyBorder="0" applyProtection="0">
      <alignment horizontal="left" vertical="center"/>
    </xf>
    <xf numFmtId="0" fontId="16" fillId="23" borderId="71" applyNumberFormat="0" applyAlignment="0" applyProtection="0"/>
    <xf numFmtId="178" fontId="4" fillId="29" borderId="82" applyNumberFormat="0" applyFont="0" applyBorder="0" applyAlignment="0" applyProtection="0">
      <alignment horizontal="right" vertical="center"/>
    </xf>
    <xf numFmtId="0" fontId="6" fillId="22" borderId="63">
      <alignment horizontal="right" vertical="center"/>
    </xf>
    <xf numFmtId="0" fontId="16" fillId="23" borderId="71" applyNumberFormat="0" applyAlignment="0" applyProtection="0"/>
    <xf numFmtId="0" fontId="4" fillId="22" borderId="53">
      <alignment horizontal="left" vertical="center" wrapText="1" indent="2"/>
    </xf>
    <xf numFmtId="0" fontId="4" fillId="0" borderId="53">
      <alignment horizontal="left" vertical="center" wrapText="1" indent="2"/>
    </xf>
    <xf numFmtId="0" fontId="54" fillId="23" borderId="59" applyNumberFormat="0" applyAlignment="0" applyProtection="0"/>
    <xf numFmtId="0" fontId="66" fillId="23" borderId="58" applyNumberFormat="0" applyAlignment="0" applyProtection="0"/>
    <xf numFmtId="0" fontId="66" fillId="23" borderId="54" applyNumberFormat="0" applyAlignment="0" applyProtection="0"/>
    <xf numFmtId="4" fontId="6" fillId="22" borderId="83">
      <alignment horizontal="right" vertical="center"/>
    </xf>
    <xf numFmtId="4" fontId="6" fillId="22" borderId="82">
      <alignment horizontal="right" vertical="center"/>
    </xf>
    <xf numFmtId="0" fontId="26" fillId="23" borderId="78" applyNumberFormat="0" applyAlignment="0" applyProtection="0"/>
    <xf numFmtId="0" fontId="51" fillId="28" borderId="97" applyNumberFormat="0" applyFont="0" applyAlignment="0" applyProtection="0"/>
    <xf numFmtId="0" fontId="54" fillId="23" borderId="74" applyNumberFormat="0" applyAlignment="0" applyProtection="0"/>
    <xf numFmtId="0" fontId="62" fillId="7" borderId="71" applyNumberFormat="0" applyAlignment="0" applyProtection="0"/>
    <xf numFmtId="0" fontId="51" fillId="28" borderId="81" applyNumberFormat="0" applyFont="0" applyAlignment="0" applyProtection="0"/>
    <xf numFmtId="0" fontId="68" fillId="0" borderId="72" applyNumberFormat="0" applyFill="0" applyAlignment="0" applyProtection="0"/>
    <xf numFmtId="49" fontId="8" fillId="0" borderId="82" applyNumberFormat="0" applyFill="0" applyBorder="0" applyProtection="0">
      <alignment horizontal="left" vertical="center"/>
    </xf>
    <xf numFmtId="0" fontId="66" fillId="23" borderId="58" applyNumberFormat="0" applyAlignment="0" applyProtection="0"/>
    <xf numFmtId="0" fontId="4" fillId="21" borderId="63">
      <alignment horizontal="left" vertical="center"/>
    </xf>
    <xf numFmtId="0" fontId="54" fillId="23" borderId="59" applyNumberFormat="0" applyAlignment="0" applyProtection="0"/>
    <xf numFmtId="4" fontId="4" fillId="0" borderId="62">
      <alignment horizontal="right" vertical="center"/>
    </xf>
    <xf numFmtId="0" fontId="23" fillId="7" borderId="55" applyNumberFormat="0" applyAlignment="0" applyProtection="0"/>
    <xf numFmtId="0" fontId="28" fillId="0" borderId="56" applyNumberFormat="0" applyFill="0" applyAlignment="0" applyProtection="0"/>
    <xf numFmtId="0" fontId="26" fillId="23" borderId="54" applyNumberFormat="0" applyAlignment="0" applyProtection="0"/>
    <xf numFmtId="0" fontId="26" fillId="23" borderId="70" applyNumberFormat="0" applyAlignment="0" applyProtection="0"/>
    <xf numFmtId="0" fontId="68" fillId="0" borderId="72" applyNumberFormat="0" applyFill="0" applyAlignment="0" applyProtection="0"/>
    <xf numFmtId="4" fontId="4" fillId="0" borderId="82">
      <alignment horizontal="right" vertical="center"/>
    </xf>
    <xf numFmtId="0" fontId="4" fillId="27" borderId="82"/>
    <xf numFmtId="0" fontId="62" fillId="7" borderId="67" applyNumberFormat="0" applyAlignment="0" applyProtection="0"/>
    <xf numFmtId="0" fontId="28" fillId="0" borderId="68" applyNumberFormat="0" applyFill="0" applyAlignment="0" applyProtection="0"/>
    <xf numFmtId="0" fontId="66" fillId="23" borderId="110" applyNumberFormat="0" applyAlignment="0" applyProtection="0"/>
    <xf numFmtId="0" fontId="54" fillId="23" borderId="59" applyNumberFormat="0" applyAlignment="0" applyProtection="0"/>
    <xf numFmtId="0" fontId="6" fillId="21" borderId="62">
      <alignment horizontal="right" vertical="center"/>
    </xf>
    <xf numFmtId="4" fontId="6" fillId="22" borderId="83">
      <alignment horizontal="right" vertical="center"/>
    </xf>
    <xf numFmtId="4" fontId="6" fillId="21" borderId="98">
      <alignment horizontal="right" vertical="center"/>
    </xf>
    <xf numFmtId="0" fontId="23" fillId="7" borderId="111" applyNumberFormat="0" applyAlignment="0" applyProtection="0"/>
    <xf numFmtId="49" fontId="8" fillId="0" borderId="90" applyNumberFormat="0" applyFill="0" applyBorder="0" applyProtection="0">
      <alignment horizontal="left" vertical="center"/>
    </xf>
    <xf numFmtId="0" fontId="6" fillId="21" borderId="62">
      <alignment horizontal="right" vertical="center"/>
    </xf>
    <xf numFmtId="0" fontId="4" fillId="27" borderId="62"/>
    <xf numFmtId="0" fontId="51" fillId="28" borderId="61" applyNumberFormat="0" applyFont="0" applyAlignment="0" applyProtection="0"/>
    <xf numFmtId="4" fontId="6" fillId="22" borderId="62">
      <alignment horizontal="right" vertical="center"/>
    </xf>
    <xf numFmtId="0" fontId="6" fillId="22" borderId="62">
      <alignment horizontal="right" vertical="center"/>
    </xf>
    <xf numFmtId="0" fontId="16" fillId="23" borderId="59" applyNumberFormat="0" applyAlignment="0" applyProtection="0"/>
    <xf numFmtId="0" fontId="4" fillId="0" borderId="62">
      <alignment horizontal="right" vertical="center"/>
    </xf>
    <xf numFmtId="4" fontId="6" fillId="22" borderId="63">
      <alignment horizontal="right" vertical="center"/>
    </xf>
    <xf numFmtId="0" fontId="4" fillId="0" borderId="65">
      <alignment horizontal="left" vertical="center" wrapText="1" indent="2"/>
    </xf>
    <xf numFmtId="49" fontId="8" fillId="0" borderId="62" applyNumberFormat="0" applyFill="0" applyBorder="0" applyProtection="0">
      <alignment horizontal="left" vertical="center"/>
    </xf>
    <xf numFmtId="0" fontId="6" fillId="22" borderId="62">
      <alignment horizontal="right" vertical="center"/>
    </xf>
    <xf numFmtId="0" fontId="6" fillId="22" borderId="82">
      <alignment horizontal="right" vertical="center"/>
    </xf>
    <xf numFmtId="0" fontId="4" fillId="0" borderId="90">
      <alignment horizontal="right" vertical="center"/>
    </xf>
    <xf numFmtId="49" fontId="4" fillId="0" borderId="62" applyNumberFormat="0" applyFont="0" applyFill="0" applyBorder="0" applyProtection="0">
      <alignment horizontal="left" vertical="center" indent="2"/>
    </xf>
    <xf numFmtId="0" fontId="51" fillId="28" borderId="61" applyNumberFormat="0" applyFont="0" applyAlignment="0" applyProtection="0"/>
    <xf numFmtId="4" fontId="6" fillId="22" borderId="50">
      <alignment horizontal="right" vertical="center"/>
    </xf>
    <xf numFmtId="0" fontId="4" fillId="27" borderId="50"/>
    <xf numFmtId="0" fontId="16" fillId="23" borderId="47" applyNumberFormat="0" applyAlignment="0" applyProtection="0"/>
    <xf numFmtId="0" fontId="6" fillId="21" borderId="50">
      <alignment horizontal="right" vertical="center"/>
    </xf>
    <xf numFmtId="0" fontId="4" fillId="0" borderId="50">
      <alignment horizontal="right" vertical="center"/>
    </xf>
    <xf numFmtId="0" fontId="68" fillId="0" borderId="48" applyNumberFormat="0" applyFill="0" applyAlignment="0" applyProtection="0"/>
    <xf numFmtId="0" fontId="4" fillId="21" borderId="51">
      <alignment horizontal="left" vertical="center"/>
    </xf>
    <xf numFmtId="0" fontId="62" fillId="7" borderId="47" applyNumberFormat="0" applyAlignment="0" applyProtection="0"/>
    <xf numFmtId="178" fontId="4" fillId="29" borderId="50" applyNumberFormat="0" applyFont="0" applyBorder="0" applyAlignment="0" applyProtection="0">
      <alignment horizontal="right" vertical="center"/>
    </xf>
    <xf numFmtId="0" fontId="51" fillId="28" borderId="49" applyNumberFormat="0" applyFont="0" applyAlignment="0" applyProtection="0"/>
    <xf numFmtId="0" fontId="4" fillId="0" borderId="53">
      <alignment horizontal="left" vertical="center" wrapText="1" indent="2"/>
    </xf>
    <xf numFmtId="4" fontId="4" fillId="27" borderId="50"/>
    <xf numFmtId="49" fontId="8" fillId="0" borderId="50" applyNumberFormat="0" applyFill="0" applyBorder="0" applyProtection="0">
      <alignment horizontal="left" vertical="center"/>
    </xf>
    <xf numFmtId="0" fontId="4" fillId="0" borderId="50">
      <alignment horizontal="right" vertical="center"/>
    </xf>
    <xf numFmtId="4" fontId="6" fillId="22" borderId="52">
      <alignment horizontal="right" vertical="center"/>
    </xf>
    <xf numFmtId="4" fontId="6" fillId="22" borderId="50">
      <alignment horizontal="right" vertical="center"/>
    </xf>
    <xf numFmtId="4" fontId="6" fillId="22" borderId="50">
      <alignment horizontal="right" vertical="center"/>
    </xf>
    <xf numFmtId="0" fontId="9" fillId="21" borderId="50">
      <alignment horizontal="right" vertical="center"/>
    </xf>
    <xf numFmtId="0" fontId="6" fillId="21" borderId="50">
      <alignment horizontal="right" vertical="center"/>
    </xf>
    <xf numFmtId="49" fontId="4" fillId="0" borderId="50" applyNumberFormat="0" applyFont="0" applyFill="0" applyBorder="0" applyProtection="0">
      <alignment horizontal="left" vertical="center" indent="2"/>
    </xf>
    <xf numFmtId="0" fontId="62" fillId="7" borderId="47" applyNumberFormat="0" applyAlignment="0" applyProtection="0"/>
    <xf numFmtId="0" fontId="26" fillId="23" borderId="46" applyNumberFormat="0" applyAlignment="0" applyProtection="0"/>
    <xf numFmtId="49" fontId="4" fillId="0" borderId="50" applyNumberFormat="0" applyFont="0" applyFill="0" applyBorder="0" applyProtection="0">
      <alignment horizontal="left" vertical="center" indent="2"/>
    </xf>
    <xf numFmtId="0" fontId="23" fillId="7" borderId="47" applyNumberFormat="0" applyAlignment="0" applyProtection="0"/>
    <xf numFmtId="4" fontId="4" fillId="0" borderId="50" applyFill="0" applyBorder="0" applyProtection="0">
      <alignment horizontal="right" vertical="center"/>
    </xf>
    <xf numFmtId="0" fontId="54" fillId="23" borderId="47" applyNumberFormat="0" applyAlignment="0" applyProtection="0"/>
    <xf numFmtId="0" fontId="68" fillId="0" borderId="48" applyNumberFormat="0" applyFill="0" applyAlignment="0" applyProtection="0"/>
    <xf numFmtId="0" fontId="66" fillId="23" borderId="46" applyNumberFormat="0" applyAlignment="0" applyProtection="0"/>
    <xf numFmtId="0" fontId="4" fillId="0" borderId="50" applyNumberFormat="0" applyFill="0" applyAlignment="0" applyProtection="0"/>
    <xf numFmtId="4" fontId="4" fillId="0" borderId="50">
      <alignment horizontal="right" vertical="center"/>
    </xf>
    <xf numFmtId="0" fontId="4" fillId="0" borderId="50">
      <alignment horizontal="right" vertical="center"/>
    </xf>
    <xf numFmtId="0" fontId="62" fillId="7" borderId="47" applyNumberFormat="0" applyAlignment="0" applyProtection="0"/>
    <xf numFmtId="0" fontId="26" fillId="23" borderId="46" applyNumberFormat="0" applyAlignment="0" applyProtection="0"/>
    <xf numFmtId="0" fontId="16" fillId="23" borderId="47" applyNumberFormat="0" applyAlignment="0" applyProtection="0"/>
    <xf numFmtId="0" fontId="4" fillId="22" borderId="53">
      <alignment horizontal="left" vertical="center" wrapText="1" indent="2"/>
    </xf>
    <xf numFmtId="0" fontId="54" fillId="23" borderId="47" applyNumberFormat="0" applyAlignment="0" applyProtection="0"/>
    <xf numFmtId="0" fontId="54" fillId="23" borderId="47" applyNumberFormat="0" applyAlignment="0" applyProtection="0"/>
    <xf numFmtId="4" fontId="6" fillId="22" borderId="51">
      <alignment horizontal="right" vertical="center"/>
    </xf>
    <xf numFmtId="0" fontId="6" fillId="22" borderId="51">
      <alignment horizontal="right" vertical="center"/>
    </xf>
    <xf numFmtId="0" fontId="6" fillId="22" borderId="50">
      <alignment horizontal="right" vertical="center"/>
    </xf>
    <xf numFmtId="4" fontId="9" fillId="21" borderId="50">
      <alignment horizontal="right" vertical="center"/>
    </xf>
    <xf numFmtId="0" fontId="23" fillId="7" borderId="47" applyNumberFormat="0" applyAlignment="0" applyProtection="0"/>
    <xf numFmtId="0" fontId="28" fillId="0" borderId="48" applyNumberFormat="0" applyFill="0" applyAlignment="0" applyProtection="0"/>
    <xf numFmtId="0" fontId="68" fillId="0" borderId="48" applyNumberFormat="0" applyFill="0" applyAlignment="0" applyProtection="0"/>
    <xf numFmtId="0" fontId="51" fillId="28" borderId="49" applyNumberFormat="0" applyFont="0" applyAlignment="0" applyProtection="0"/>
    <xf numFmtId="0" fontId="62" fillId="7" borderId="47" applyNumberFormat="0" applyAlignment="0" applyProtection="0"/>
    <xf numFmtId="49" fontId="8" fillId="0" borderId="50" applyNumberFormat="0" applyFill="0" applyBorder="0" applyProtection="0">
      <alignment horizontal="left" vertical="center"/>
    </xf>
    <xf numFmtId="0" fontId="4" fillId="22" borderId="53">
      <alignment horizontal="left" vertical="center" wrapText="1" indent="2"/>
    </xf>
    <xf numFmtId="0" fontId="54" fillId="23" borderId="47" applyNumberFormat="0" applyAlignment="0" applyProtection="0"/>
    <xf numFmtId="0" fontId="4" fillId="0" borderId="53">
      <alignment horizontal="left" vertical="center" wrapText="1" indent="2"/>
    </xf>
    <xf numFmtId="0" fontId="51" fillId="28" borderId="49" applyNumberFormat="0" applyFont="0" applyAlignment="0" applyProtection="0"/>
    <xf numFmtId="0" fontId="7" fillId="28" borderId="49" applyNumberFormat="0" applyFont="0" applyAlignment="0" applyProtection="0"/>
    <xf numFmtId="0" fontId="66" fillId="23" borderId="46" applyNumberFormat="0" applyAlignment="0" applyProtection="0"/>
    <xf numFmtId="0" fontId="68" fillId="0" borderId="48" applyNumberFormat="0" applyFill="0" applyAlignment="0" applyProtection="0"/>
    <xf numFmtId="4" fontId="4" fillId="27" borderId="50"/>
    <xf numFmtId="0" fontId="6" fillId="22" borderId="50">
      <alignment horizontal="right" vertical="center"/>
    </xf>
    <xf numFmtId="0" fontId="68" fillId="0" borderId="48" applyNumberFormat="0" applyFill="0" applyAlignment="0" applyProtection="0"/>
    <xf numFmtId="4" fontId="6" fillId="22" borderId="52">
      <alignment horizontal="right" vertical="center"/>
    </xf>
    <xf numFmtId="0" fontId="16" fillId="23" borderId="47" applyNumberFormat="0" applyAlignment="0" applyProtection="0"/>
    <xf numFmtId="0" fontId="6" fillId="22" borderId="51">
      <alignment horizontal="right" vertical="center"/>
    </xf>
    <xf numFmtId="0" fontId="54" fillId="23" borderId="47" applyNumberFormat="0" applyAlignment="0" applyProtection="0"/>
    <xf numFmtId="0" fontId="28" fillId="0" borderId="48" applyNumberFormat="0" applyFill="0" applyAlignment="0" applyProtection="0"/>
    <xf numFmtId="0" fontId="51" fillId="28" borderId="49" applyNumberFormat="0" applyFont="0" applyAlignment="0" applyProtection="0"/>
    <xf numFmtId="4" fontId="6" fillId="22" borderId="51">
      <alignment horizontal="right" vertical="center"/>
    </xf>
    <xf numFmtId="0" fontId="4" fillId="22" borderId="53">
      <alignment horizontal="left" vertical="center" wrapText="1" indent="2"/>
    </xf>
    <xf numFmtId="0" fontId="4" fillId="27" borderId="50"/>
    <xf numFmtId="178" fontId="4" fillId="29" borderId="50" applyNumberFormat="0" applyFont="0" applyBorder="0" applyAlignment="0" applyProtection="0">
      <alignment horizontal="right" vertical="center"/>
    </xf>
    <xf numFmtId="0" fontId="4" fillId="0" borderId="50" applyNumberFormat="0" applyFill="0" applyAlignment="0" applyProtection="0"/>
    <xf numFmtId="4" fontId="4" fillId="0" borderId="50" applyFill="0" applyBorder="0" applyProtection="0">
      <alignment horizontal="right" vertical="center"/>
    </xf>
    <xf numFmtId="4" fontId="6" fillId="21" borderId="50">
      <alignment horizontal="right" vertical="center"/>
    </xf>
    <xf numFmtId="0" fontId="28" fillId="0" borderId="48" applyNumberFormat="0" applyFill="0" applyAlignment="0" applyProtection="0"/>
    <xf numFmtId="49" fontId="8" fillId="0" borderId="50" applyNumberFormat="0" applyFill="0" applyBorder="0" applyProtection="0">
      <alignment horizontal="left" vertical="center"/>
    </xf>
    <xf numFmtId="49" fontId="4" fillId="0" borderId="51" applyNumberFormat="0" applyFont="0" applyFill="0" applyBorder="0" applyProtection="0">
      <alignment horizontal="left" vertical="center" indent="5"/>
    </xf>
    <xf numFmtId="0" fontId="4" fillId="21" borderId="51">
      <alignment horizontal="left" vertical="center"/>
    </xf>
    <xf numFmtId="0" fontId="54" fillId="23" borderId="47" applyNumberFormat="0" applyAlignment="0" applyProtection="0"/>
    <xf numFmtId="4" fontId="6" fillId="22" borderId="52">
      <alignment horizontal="right" vertical="center"/>
    </xf>
    <xf numFmtId="0" fontId="62" fillId="7" borderId="47" applyNumberFormat="0" applyAlignment="0" applyProtection="0"/>
    <xf numFmtId="0" fontId="62" fillId="7" borderId="47" applyNumberFormat="0" applyAlignment="0" applyProtection="0"/>
    <xf numFmtId="0" fontId="51" fillId="28" borderId="49" applyNumberFormat="0" applyFont="0" applyAlignment="0" applyProtection="0"/>
    <xf numFmtId="0" fontId="66" fillId="23" borderId="46" applyNumberFormat="0" applyAlignment="0" applyProtection="0"/>
    <xf numFmtId="0" fontId="68" fillId="0" borderId="48" applyNumberFormat="0" applyFill="0" applyAlignment="0" applyProtection="0"/>
    <xf numFmtId="0" fontId="6" fillId="22" borderId="50">
      <alignment horizontal="right" vertical="center"/>
    </xf>
    <xf numFmtId="0" fontId="7" fillId="28" borderId="49" applyNumberFormat="0" applyFont="0" applyAlignment="0" applyProtection="0"/>
    <xf numFmtId="4" fontId="4" fillId="0" borderId="50">
      <alignment horizontal="right" vertical="center"/>
    </xf>
    <xf numFmtId="0" fontId="68" fillId="0" borderId="48" applyNumberFormat="0" applyFill="0" applyAlignment="0" applyProtection="0"/>
    <xf numFmtId="0" fontId="6" fillId="22" borderId="50">
      <alignment horizontal="right" vertical="center"/>
    </xf>
    <xf numFmtId="0" fontId="6" fillId="22" borderId="50">
      <alignment horizontal="right" vertical="center"/>
    </xf>
    <xf numFmtId="4" fontId="9" fillId="21" borderId="50">
      <alignment horizontal="right" vertical="center"/>
    </xf>
    <xf numFmtId="0" fontId="6" fillId="21" borderId="50">
      <alignment horizontal="right" vertical="center"/>
    </xf>
    <xf numFmtId="4" fontId="6" fillId="21" borderId="50">
      <alignment horizontal="right" vertical="center"/>
    </xf>
    <xf numFmtId="0" fontId="9" fillId="21" borderId="50">
      <alignment horizontal="right" vertical="center"/>
    </xf>
    <xf numFmtId="4" fontId="9" fillId="21" borderId="50">
      <alignment horizontal="right" vertical="center"/>
    </xf>
    <xf numFmtId="0" fontId="6" fillId="22" borderId="50">
      <alignment horizontal="right" vertical="center"/>
    </xf>
    <xf numFmtId="4" fontId="6" fillId="22" borderId="50">
      <alignment horizontal="right" vertical="center"/>
    </xf>
    <xf numFmtId="0" fontId="6" fillId="22" borderId="50">
      <alignment horizontal="right" vertical="center"/>
    </xf>
    <xf numFmtId="4" fontId="6" fillId="22" borderId="50">
      <alignment horizontal="right" vertical="center"/>
    </xf>
    <xf numFmtId="0" fontId="6" fillId="22" borderId="51">
      <alignment horizontal="right" vertical="center"/>
    </xf>
    <xf numFmtId="4" fontId="6" fillId="22" borderId="51">
      <alignment horizontal="right" vertical="center"/>
    </xf>
    <xf numFmtId="0" fontId="6" fillId="22" borderId="52">
      <alignment horizontal="right" vertical="center"/>
    </xf>
    <xf numFmtId="4" fontId="6" fillId="22" borderId="52">
      <alignment horizontal="right" vertical="center"/>
    </xf>
    <xf numFmtId="0" fontId="54" fillId="23" borderId="47" applyNumberFormat="0" applyAlignment="0" applyProtection="0"/>
    <xf numFmtId="0" fontId="4" fillId="22" borderId="53">
      <alignment horizontal="left" vertical="center" wrapText="1" indent="2"/>
    </xf>
    <xf numFmtId="0" fontId="4" fillId="0" borderId="53">
      <alignment horizontal="left" vertical="center" wrapText="1" indent="2"/>
    </xf>
    <xf numFmtId="0" fontId="4" fillId="21" borderId="51">
      <alignment horizontal="left" vertical="center"/>
    </xf>
    <xf numFmtId="0" fontId="62" fillId="7" borderId="47" applyNumberFormat="0" applyAlignment="0" applyProtection="0"/>
    <xf numFmtId="0" fontId="4" fillId="0" borderId="50">
      <alignment horizontal="right" vertical="center"/>
    </xf>
    <xf numFmtId="4" fontId="4" fillId="0" borderId="50">
      <alignment horizontal="right" vertical="center"/>
    </xf>
    <xf numFmtId="0" fontId="4" fillId="0" borderId="50" applyNumberFormat="0" applyFill="0" applyAlignment="0" applyProtection="0"/>
    <xf numFmtId="0" fontId="66" fillId="23" borderId="46" applyNumberFormat="0" applyAlignment="0" applyProtection="0"/>
    <xf numFmtId="178" fontId="4" fillId="29" borderId="50" applyNumberFormat="0" applyFont="0" applyBorder="0" applyAlignment="0" applyProtection="0">
      <alignment horizontal="right" vertical="center"/>
    </xf>
    <xf numFmtId="0" fontId="4" fillId="27" borderId="50"/>
    <xf numFmtId="4" fontId="4" fillId="27" borderId="50"/>
    <xf numFmtId="0" fontId="68" fillId="0" borderId="48" applyNumberFormat="0" applyFill="0" applyAlignment="0" applyProtection="0"/>
    <xf numFmtId="0" fontId="7" fillId="28" borderId="49" applyNumberFormat="0" applyFont="0" applyAlignment="0" applyProtection="0"/>
    <xf numFmtId="0" fontId="51" fillId="28" borderId="49" applyNumberFormat="0" applyFont="0" applyAlignment="0" applyProtection="0"/>
    <xf numFmtId="0" fontId="4" fillId="0" borderId="50" applyNumberFormat="0" applyFill="0" applyAlignment="0" applyProtection="0"/>
    <xf numFmtId="0" fontId="28" fillId="0" borderId="48" applyNumberFormat="0" applyFill="0" applyAlignment="0" applyProtection="0"/>
    <xf numFmtId="0" fontId="68" fillId="0" borderId="48" applyNumberFormat="0" applyFill="0" applyAlignment="0" applyProtection="0"/>
    <xf numFmtId="0" fontId="23" fillId="7" borderId="47" applyNumberFormat="0" applyAlignment="0" applyProtection="0"/>
    <xf numFmtId="0" fontId="54" fillId="23" borderId="47" applyNumberFormat="0" applyAlignment="0" applyProtection="0"/>
    <xf numFmtId="4" fontId="9" fillId="21" borderId="50">
      <alignment horizontal="right" vertical="center"/>
    </xf>
    <xf numFmtId="0" fontId="6" fillId="21" borderId="50">
      <alignment horizontal="right" vertical="center"/>
    </xf>
    <xf numFmtId="178" fontId="4" fillId="29" borderId="50" applyNumberFormat="0" applyFont="0" applyBorder="0" applyAlignment="0" applyProtection="0">
      <alignment horizontal="right" vertical="center"/>
    </xf>
    <xf numFmtId="0" fontId="28" fillId="0" borderId="48" applyNumberFormat="0" applyFill="0" applyAlignment="0" applyProtection="0"/>
    <xf numFmtId="49" fontId="4" fillId="0" borderId="50" applyNumberFormat="0" applyFont="0" applyFill="0" applyBorder="0" applyProtection="0">
      <alignment horizontal="left" vertical="center" indent="2"/>
    </xf>
    <xf numFmtId="49" fontId="4" fillId="0" borderId="51" applyNumberFormat="0" applyFont="0" applyFill="0" applyBorder="0" applyProtection="0">
      <alignment horizontal="left" vertical="center" indent="5"/>
    </xf>
    <xf numFmtId="49" fontId="4" fillId="0" borderId="50" applyNumberFormat="0" applyFont="0" applyFill="0" applyBorder="0" applyProtection="0">
      <alignment horizontal="left" vertical="center" indent="2"/>
    </xf>
    <xf numFmtId="4" fontId="4" fillId="0" borderId="50" applyFill="0" applyBorder="0" applyProtection="0">
      <alignment horizontal="right" vertical="center"/>
    </xf>
    <xf numFmtId="49" fontId="8" fillId="0" borderId="50" applyNumberFormat="0" applyFill="0" applyBorder="0" applyProtection="0">
      <alignment horizontal="left" vertical="center"/>
    </xf>
    <xf numFmtId="0" fontId="4" fillId="0" borderId="53">
      <alignment horizontal="left" vertical="center" wrapText="1" indent="2"/>
    </xf>
    <xf numFmtId="0" fontId="66" fillId="23" borderId="46" applyNumberFormat="0" applyAlignment="0" applyProtection="0"/>
    <xf numFmtId="0" fontId="6" fillId="22" borderId="52">
      <alignment horizontal="right" vertical="center"/>
    </xf>
    <xf numFmtId="0" fontId="23" fillId="7" borderId="47" applyNumberFormat="0" applyAlignment="0" applyProtection="0"/>
    <xf numFmtId="0" fontId="6" fillId="22" borderId="52">
      <alignment horizontal="right" vertical="center"/>
    </xf>
    <xf numFmtId="4" fontId="6" fillId="22" borderId="50">
      <alignment horizontal="right" vertical="center"/>
    </xf>
    <xf numFmtId="0" fontId="6" fillId="22" borderId="50">
      <alignment horizontal="right" vertical="center"/>
    </xf>
    <xf numFmtId="0" fontId="26" fillId="23" borderId="46" applyNumberFormat="0" applyAlignment="0" applyProtection="0"/>
    <xf numFmtId="0" fontId="16" fillId="23" borderId="47" applyNumberFormat="0" applyAlignment="0" applyProtection="0"/>
    <xf numFmtId="0" fontId="28" fillId="0" borderId="48" applyNumberFormat="0" applyFill="0" applyAlignment="0" applyProtection="0"/>
    <xf numFmtId="0" fontId="4" fillId="27" borderId="50"/>
    <xf numFmtId="4" fontId="4" fillId="27" borderId="50"/>
    <xf numFmtId="4" fontId="6" fillId="22" borderId="50">
      <alignment horizontal="right" vertical="center"/>
    </xf>
    <xf numFmtId="0" fontId="9" fillId="21" borderId="50">
      <alignment horizontal="right" vertical="center"/>
    </xf>
    <xf numFmtId="0" fontId="23" fillId="7" borderId="47" applyNumberFormat="0" applyAlignment="0" applyProtection="0"/>
    <xf numFmtId="0" fontId="54" fillId="23" borderId="47" applyNumberFormat="0" applyAlignment="0" applyProtection="0"/>
    <xf numFmtId="4" fontId="4" fillId="0" borderId="50">
      <alignment horizontal="right" vertical="center"/>
    </xf>
    <xf numFmtId="0" fontId="4" fillId="22" borderId="53">
      <alignment horizontal="left" vertical="center" wrapText="1" indent="2"/>
    </xf>
    <xf numFmtId="0" fontId="4" fillId="0" borderId="53">
      <alignment horizontal="left" vertical="center" wrapText="1" indent="2"/>
    </xf>
    <xf numFmtId="0" fontId="66" fillId="23" borderId="46" applyNumberFormat="0" applyAlignment="0" applyProtection="0"/>
    <xf numFmtId="0" fontId="62" fillId="7" borderId="47" applyNumberFormat="0" applyAlignment="0" applyProtection="0"/>
    <xf numFmtId="0" fontId="16" fillId="23" borderId="47" applyNumberFormat="0" applyAlignment="0" applyProtection="0"/>
    <xf numFmtId="0" fontId="26" fillId="23" borderId="46" applyNumberFormat="0" applyAlignment="0" applyProtection="0"/>
    <xf numFmtId="0" fontId="6" fillId="22" borderId="52">
      <alignment horizontal="right" vertical="center"/>
    </xf>
    <xf numFmtId="0" fontId="9" fillId="21" borderId="50">
      <alignment horizontal="right" vertical="center"/>
    </xf>
    <xf numFmtId="4" fontId="6" fillId="21" borderId="50">
      <alignment horizontal="right" vertical="center"/>
    </xf>
    <xf numFmtId="4" fontId="6" fillId="22" borderId="50">
      <alignment horizontal="right" vertical="center"/>
    </xf>
    <xf numFmtId="49" fontId="4" fillId="0" borderId="51" applyNumberFormat="0" applyFont="0" applyFill="0" applyBorder="0" applyProtection="0">
      <alignment horizontal="left" vertical="center" indent="5"/>
    </xf>
    <xf numFmtId="4" fontId="4" fillId="0" borderId="50" applyFill="0" applyBorder="0" applyProtection="0">
      <alignment horizontal="right" vertical="center"/>
    </xf>
    <xf numFmtId="4" fontId="6" fillId="21" borderId="50">
      <alignment horizontal="right" vertical="center"/>
    </xf>
    <xf numFmtId="0" fontId="28" fillId="0" borderId="88" applyNumberFormat="0" applyFill="0" applyAlignment="0" applyProtection="0"/>
    <xf numFmtId="0" fontId="62" fillId="7" borderId="47" applyNumberFormat="0" applyAlignment="0" applyProtection="0"/>
    <xf numFmtId="0" fontId="23" fillId="7" borderId="47" applyNumberFormat="0" applyAlignment="0" applyProtection="0"/>
    <xf numFmtId="0" fontId="16" fillId="23" borderId="47" applyNumberFormat="0" applyAlignment="0" applyProtection="0"/>
    <xf numFmtId="0" fontId="4" fillId="22" borderId="53">
      <alignment horizontal="left" vertical="center" wrapText="1" indent="2"/>
    </xf>
    <xf numFmtId="0" fontId="4" fillId="0" borderId="53">
      <alignment horizontal="left" vertical="center" wrapText="1" indent="2"/>
    </xf>
    <xf numFmtId="0" fontId="4" fillId="22" borderId="53">
      <alignment horizontal="left" vertical="center" wrapText="1" indent="2"/>
    </xf>
    <xf numFmtId="0" fontId="4" fillId="0" borderId="53">
      <alignment horizontal="left" vertical="center" wrapText="1" indent="2"/>
    </xf>
    <xf numFmtId="0" fontId="23" fillId="7" borderId="87" applyNumberFormat="0" applyAlignment="0" applyProtection="0"/>
    <xf numFmtId="0" fontId="54" fillId="23" borderId="71" applyNumberFormat="0" applyAlignment="0" applyProtection="0"/>
    <xf numFmtId="49" fontId="4" fillId="0" borderId="99" applyNumberFormat="0" applyFont="0" applyFill="0" applyBorder="0" applyProtection="0">
      <alignment horizontal="left" vertical="center" indent="5"/>
    </xf>
    <xf numFmtId="0" fontId="62" fillId="7" borderId="59" applyNumberFormat="0" applyAlignment="0" applyProtection="0"/>
    <xf numFmtId="0" fontId="16" fillId="23" borderId="74" applyNumberFormat="0" applyAlignment="0" applyProtection="0"/>
    <xf numFmtId="0" fontId="62" fillId="7" borderId="87" applyNumberFormat="0" applyAlignment="0" applyProtection="0"/>
    <xf numFmtId="0" fontId="26" fillId="23" borderId="110" applyNumberFormat="0" applyAlignment="0" applyProtection="0"/>
    <xf numFmtId="0" fontId="54" fillId="23" borderId="87" applyNumberFormat="0" applyAlignment="0" applyProtection="0"/>
    <xf numFmtId="0" fontId="28" fillId="0" borderId="88" applyNumberFormat="0" applyFill="0" applyAlignment="0" applyProtection="0"/>
    <xf numFmtId="0" fontId="23" fillId="7" borderId="74" applyNumberFormat="0" applyAlignment="0" applyProtection="0"/>
    <xf numFmtId="0" fontId="4" fillId="0" borderId="82" applyNumberFormat="0" applyFill="0" applyAlignment="0" applyProtection="0"/>
    <xf numFmtId="0" fontId="4" fillId="27" borderId="90"/>
    <xf numFmtId="0" fontId="68" fillId="0" borderId="60" applyNumberFormat="0" applyFill="0" applyAlignment="0" applyProtection="0"/>
    <xf numFmtId="0" fontId="51" fillId="28" borderId="61" applyNumberFormat="0" applyFont="0" applyAlignment="0" applyProtection="0"/>
    <xf numFmtId="0" fontId="7" fillId="28" borderId="61" applyNumberFormat="0" applyFont="0" applyAlignment="0" applyProtection="0"/>
    <xf numFmtId="0" fontId="6" fillId="22" borderId="91">
      <alignment horizontal="right" vertical="center"/>
    </xf>
    <xf numFmtId="0" fontId="4" fillId="0" borderId="82">
      <alignment horizontal="right" vertical="center"/>
    </xf>
    <xf numFmtId="0" fontId="68" fillId="0" borderId="72" applyNumberFormat="0" applyFill="0" applyAlignment="0" applyProtection="0"/>
    <xf numFmtId="0" fontId="26" fillId="23" borderId="94" applyNumberFormat="0" applyAlignment="0" applyProtection="0"/>
    <xf numFmtId="0" fontId="54" fillId="23" borderId="71" applyNumberFormat="0" applyAlignment="0" applyProtection="0"/>
    <xf numFmtId="0" fontId="4" fillId="22" borderId="101">
      <alignment horizontal="left" vertical="center" wrapText="1" indent="2"/>
    </xf>
    <xf numFmtId="0" fontId="68" fillId="0" borderId="80" applyNumberFormat="0" applyFill="0" applyAlignment="0" applyProtection="0"/>
    <xf numFmtId="0" fontId="51" fillId="28" borderId="69" applyNumberFormat="0" applyFont="0" applyAlignment="0" applyProtection="0"/>
    <xf numFmtId="0" fontId="62" fillId="7" borderId="79" applyNumberFormat="0" applyAlignment="0" applyProtection="0"/>
    <xf numFmtId="0" fontId="54" fillId="23" borderId="67" applyNumberFormat="0" applyAlignment="0" applyProtection="0"/>
    <xf numFmtId="0" fontId="68" fillId="0" borderId="72" applyNumberFormat="0" applyFill="0" applyAlignment="0" applyProtection="0"/>
    <xf numFmtId="0" fontId="66" fillId="23" borderId="70" applyNumberFormat="0" applyAlignment="0" applyProtection="0"/>
    <xf numFmtId="4" fontId="6" fillId="22" borderId="99">
      <alignment horizontal="right" vertical="center"/>
    </xf>
    <xf numFmtId="0" fontId="23" fillId="7" borderId="59" applyNumberFormat="0" applyAlignment="0" applyProtection="0"/>
    <xf numFmtId="4" fontId="6" fillId="22" borderId="82">
      <alignment horizontal="right" vertical="center"/>
    </xf>
    <xf numFmtId="0" fontId="4" fillId="22" borderId="85">
      <alignment horizontal="left" vertical="center" wrapText="1" indent="2"/>
    </xf>
    <xf numFmtId="0" fontId="26" fillId="23" borderId="58" applyNumberFormat="0" applyAlignment="0" applyProtection="0"/>
    <xf numFmtId="0" fontId="26" fillId="23" borderId="77" applyNumberFormat="0" applyAlignment="0" applyProtection="0"/>
    <xf numFmtId="0" fontId="68" fillId="0" borderId="68" applyNumberFormat="0" applyFill="0" applyAlignment="0" applyProtection="0"/>
    <xf numFmtId="0" fontId="66" fillId="23" borderId="66" applyNumberFormat="0" applyAlignment="0" applyProtection="0"/>
    <xf numFmtId="178" fontId="4" fillId="29" borderId="90" applyNumberFormat="0" applyFont="0" applyBorder="0" applyAlignment="0" applyProtection="0">
      <alignment horizontal="right" vertical="center"/>
    </xf>
    <xf numFmtId="0" fontId="51" fillId="28" borderId="81" applyNumberFormat="0" applyFont="0" applyAlignment="0" applyProtection="0"/>
    <xf numFmtId="0" fontId="62" fillId="7" borderId="67" applyNumberFormat="0" applyAlignment="0" applyProtection="0"/>
    <xf numFmtId="0" fontId="28" fillId="0" borderId="60" applyNumberFormat="0" applyFill="0" applyAlignment="0" applyProtection="0"/>
    <xf numFmtId="0" fontId="16" fillId="23" borderId="55" applyNumberFormat="0" applyAlignment="0" applyProtection="0"/>
    <xf numFmtId="0" fontId="23" fillId="7" borderId="79" applyNumberFormat="0" applyAlignment="0" applyProtection="0"/>
    <xf numFmtId="0" fontId="68" fillId="0" borderId="56" applyNumberFormat="0" applyFill="0" applyAlignment="0" applyProtection="0"/>
    <xf numFmtId="0" fontId="62" fillId="7" borderId="55" applyNumberFormat="0" applyAlignment="0" applyProtection="0"/>
    <xf numFmtId="0" fontId="51" fillId="28" borderId="57" applyNumberFormat="0" applyFont="0" applyAlignment="0" applyProtection="0"/>
    <xf numFmtId="4" fontId="6" fillId="22" borderId="63">
      <alignment horizontal="right" vertical="center"/>
    </xf>
    <xf numFmtId="0" fontId="16" fillId="23" borderId="59" applyNumberFormat="0" applyAlignment="0" applyProtection="0"/>
    <xf numFmtId="0" fontId="4" fillId="0" borderId="82">
      <alignment horizontal="right" vertical="center"/>
    </xf>
    <xf numFmtId="0" fontId="68" fillId="0" borderId="96" applyNumberFormat="0" applyFill="0" applyAlignment="0" applyProtection="0"/>
    <xf numFmtId="0" fontId="68" fillId="0" borderId="60" applyNumberFormat="0" applyFill="0" applyAlignment="0" applyProtection="0"/>
    <xf numFmtId="0" fontId="62" fillId="7" borderId="55" applyNumberFormat="0" applyAlignment="0" applyProtection="0"/>
    <xf numFmtId="0" fontId="26" fillId="23" borderId="54" applyNumberFormat="0" applyAlignment="0" applyProtection="0"/>
    <xf numFmtId="49" fontId="4" fillId="0" borderId="62" applyNumberFormat="0" applyFont="0" applyFill="0" applyBorder="0" applyProtection="0">
      <alignment horizontal="left" vertical="center" indent="2"/>
    </xf>
    <xf numFmtId="0" fontId="23" fillId="7" borderId="55" applyNumberFormat="0" applyAlignment="0" applyProtection="0"/>
    <xf numFmtId="4" fontId="6" fillId="22" borderId="91">
      <alignment horizontal="right" vertical="center"/>
    </xf>
    <xf numFmtId="0" fontId="54" fillId="23" borderId="55" applyNumberFormat="0" applyAlignment="0" applyProtection="0"/>
    <xf numFmtId="0" fontId="68" fillId="0" borderId="56" applyNumberFormat="0" applyFill="0" applyAlignment="0" applyProtection="0"/>
    <xf numFmtId="0" fontId="66" fillId="23" borderId="54" applyNumberFormat="0" applyAlignment="0" applyProtection="0"/>
    <xf numFmtId="0" fontId="51" fillId="28" borderId="89" applyNumberFormat="0" applyFont="0" applyAlignment="0" applyProtection="0"/>
    <xf numFmtId="49" fontId="4" fillId="0" borderId="83" applyNumberFormat="0" applyFont="0" applyFill="0" applyBorder="0" applyProtection="0">
      <alignment horizontal="left" vertical="center" indent="5"/>
    </xf>
    <xf numFmtId="0" fontId="62" fillId="7" borderId="55" applyNumberFormat="0" applyAlignment="0" applyProtection="0"/>
    <xf numFmtId="0" fontId="26" fillId="23" borderId="54" applyNumberFormat="0" applyAlignment="0" applyProtection="0"/>
    <xf numFmtId="0" fontId="16" fillId="23" borderId="55" applyNumberFormat="0" applyAlignment="0" applyProtection="0"/>
    <xf numFmtId="0" fontId="54" fillId="23" borderId="55" applyNumberFormat="0" applyAlignment="0" applyProtection="0"/>
    <xf numFmtId="0" fontId="54" fillId="23" borderId="55" applyNumberFormat="0" applyAlignment="0" applyProtection="0"/>
    <xf numFmtId="4" fontId="4" fillId="0" borderId="62" applyFill="0" applyBorder="0" applyProtection="0">
      <alignment horizontal="right" vertical="center"/>
    </xf>
    <xf numFmtId="0" fontId="54" fillId="23" borderId="79" applyNumberFormat="0" applyAlignment="0" applyProtection="0"/>
    <xf numFmtId="0" fontId="23" fillId="7" borderId="55" applyNumberFormat="0" applyAlignment="0" applyProtection="0"/>
    <xf numFmtId="0" fontId="28" fillId="0" borderId="56" applyNumberFormat="0" applyFill="0" applyAlignment="0" applyProtection="0"/>
    <xf numFmtId="0" fontId="68" fillId="0" borderId="56" applyNumberFormat="0" applyFill="0" applyAlignment="0" applyProtection="0"/>
    <xf numFmtId="0" fontId="51" fillId="28" borderId="57" applyNumberFormat="0" applyFont="0" applyAlignment="0" applyProtection="0"/>
    <xf numFmtId="0" fontId="62" fillId="7" borderId="55" applyNumberFormat="0" applyAlignment="0" applyProtection="0"/>
    <xf numFmtId="0" fontId="23" fillId="7" borderId="71" applyNumberFormat="0" applyAlignment="0" applyProtection="0"/>
    <xf numFmtId="0" fontId="54" fillId="23" borderId="55" applyNumberFormat="0" applyAlignment="0" applyProtection="0"/>
    <xf numFmtId="0" fontId="4" fillId="0" borderId="82" applyNumberFormat="0" applyFill="0" applyAlignment="0" applyProtection="0"/>
    <xf numFmtId="0" fontId="51" fillId="28" borderId="57" applyNumberFormat="0" applyFont="0" applyAlignment="0" applyProtection="0"/>
    <xf numFmtId="0" fontId="7" fillId="28" borderId="57" applyNumberFormat="0" applyFont="0" applyAlignment="0" applyProtection="0"/>
    <xf numFmtId="0" fontId="66" fillId="23" borderId="54" applyNumberFormat="0" applyAlignment="0" applyProtection="0"/>
    <xf numFmtId="0" fontId="68" fillId="0" borderId="56" applyNumberFormat="0" applyFill="0" applyAlignment="0" applyProtection="0"/>
    <xf numFmtId="0" fontId="23" fillId="7" borderId="71" applyNumberFormat="0" applyAlignment="0" applyProtection="0"/>
    <xf numFmtId="0" fontId="68" fillId="0" borderId="56" applyNumberFormat="0" applyFill="0" applyAlignment="0" applyProtection="0"/>
    <xf numFmtId="0" fontId="54" fillId="23" borderId="71" applyNumberFormat="0" applyAlignment="0" applyProtection="0"/>
    <xf numFmtId="0" fontId="62" fillId="7" borderId="106" applyNumberFormat="0" applyAlignment="0" applyProtection="0"/>
    <xf numFmtId="0" fontId="16" fillId="23" borderId="55" applyNumberFormat="0" applyAlignment="0" applyProtection="0"/>
    <xf numFmtId="0" fontId="54" fillId="23" borderId="55" applyNumberFormat="0" applyAlignment="0" applyProtection="0"/>
    <xf numFmtId="0" fontId="28" fillId="0" borderId="56" applyNumberFormat="0" applyFill="0" applyAlignment="0" applyProtection="0"/>
    <xf numFmtId="0" fontId="51" fillId="28" borderId="57" applyNumberFormat="0" applyFont="0" applyAlignment="0" applyProtection="0"/>
    <xf numFmtId="0" fontId="66" fillId="23" borderId="66" applyNumberFormat="0" applyAlignment="0" applyProtection="0"/>
    <xf numFmtId="49" fontId="4" fillId="0" borderId="98" applyNumberFormat="0" applyFont="0" applyFill="0" applyBorder="0" applyProtection="0">
      <alignment horizontal="left" vertical="center" indent="2"/>
    </xf>
    <xf numFmtId="4" fontId="6" fillId="22" borderId="84">
      <alignment horizontal="right" vertical="center"/>
    </xf>
    <xf numFmtId="0" fontId="28" fillId="0" borderId="56" applyNumberFormat="0" applyFill="0" applyAlignment="0" applyProtection="0"/>
    <xf numFmtId="0" fontId="68" fillId="0" borderId="75" applyNumberFormat="0" applyFill="0" applyAlignment="0" applyProtection="0"/>
    <xf numFmtId="0" fontId="6" fillId="22" borderId="83">
      <alignment horizontal="right" vertical="center"/>
    </xf>
    <xf numFmtId="0" fontId="4" fillId="27" borderId="82"/>
    <xf numFmtId="0" fontId="54" fillId="23" borderId="55" applyNumberFormat="0" applyAlignment="0" applyProtection="0"/>
    <xf numFmtId="49" fontId="4" fillId="0" borderId="62" applyNumberFormat="0" applyFont="0" applyFill="0" applyBorder="0" applyProtection="0">
      <alignment horizontal="left" vertical="center" indent="2"/>
    </xf>
    <xf numFmtId="0" fontId="62" fillId="7" borderId="55" applyNumberFormat="0" applyAlignment="0" applyProtection="0"/>
    <xf numFmtId="0" fontId="62" fillId="7" borderId="55" applyNumberFormat="0" applyAlignment="0" applyProtection="0"/>
    <xf numFmtId="0" fontId="51" fillId="28" borderId="57" applyNumberFormat="0" applyFont="0" applyAlignment="0" applyProtection="0"/>
    <xf numFmtId="0" fontId="66" fillId="23" borderId="54" applyNumberFormat="0" applyAlignment="0" applyProtection="0"/>
    <xf numFmtId="0" fontId="68" fillId="0" borderId="56" applyNumberFormat="0" applyFill="0" applyAlignment="0" applyProtection="0"/>
    <xf numFmtId="0" fontId="51" fillId="28" borderId="73" applyNumberFormat="0" applyFont="0" applyAlignment="0" applyProtection="0"/>
    <xf numFmtId="0" fontId="7" fillId="28" borderId="57" applyNumberFormat="0" applyFont="0" applyAlignment="0" applyProtection="0"/>
    <xf numFmtId="0" fontId="23" fillId="7" borderId="111" applyNumberFormat="0" applyAlignment="0" applyProtection="0"/>
    <xf numFmtId="0" fontId="68" fillId="0" borderId="56" applyNumberFormat="0" applyFill="0" applyAlignment="0" applyProtection="0"/>
    <xf numFmtId="0" fontId="66" fillId="23" borderId="70" applyNumberFormat="0" applyAlignment="0" applyProtection="0"/>
    <xf numFmtId="4" fontId="4" fillId="27" borderId="98"/>
    <xf numFmtId="0" fontId="23" fillId="7" borderId="59" applyNumberFormat="0" applyAlignment="0" applyProtection="0"/>
    <xf numFmtId="0" fontId="51" fillId="28" borderId="69" applyNumberFormat="0" applyFont="0" applyAlignment="0" applyProtection="0"/>
    <xf numFmtId="0" fontId="68" fillId="0" borderId="80" applyNumberFormat="0" applyFill="0" applyAlignment="0" applyProtection="0"/>
    <xf numFmtId="0" fontId="9" fillId="21" borderId="82">
      <alignment horizontal="right" vertical="center"/>
    </xf>
    <xf numFmtId="0" fontId="51" fillId="28" borderId="73" applyNumberFormat="0" applyFont="0" applyAlignment="0" applyProtection="0"/>
    <xf numFmtId="4" fontId="4" fillId="0" borderId="82">
      <alignment horizontal="right" vertical="center"/>
    </xf>
    <xf numFmtId="49" fontId="8" fillId="0" borderId="62" applyNumberFormat="0" applyFill="0" applyBorder="0" applyProtection="0">
      <alignment horizontal="left" vertical="center"/>
    </xf>
    <xf numFmtId="0" fontId="54" fillId="23" borderId="71" applyNumberFormat="0" applyAlignment="0" applyProtection="0"/>
    <xf numFmtId="49" fontId="4" fillId="0" borderId="63" applyNumberFormat="0" applyFont="0" applyFill="0" applyBorder="0" applyProtection="0">
      <alignment horizontal="left" vertical="center" indent="5"/>
    </xf>
    <xf numFmtId="0" fontId="54" fillId="23" borderId="55" applyNumberFormat="0" applyAlignment="0" applyProtection="0"/>
    <xf numFmtId="0" fontId="16" fillId="23" borderId="79" applyNumberFormat="0" applyAlignment="0" applyProtection="0"/>
    <xf numFmtId="0" fontId="62" fillId="7" borderId="55" applyNumberFormat="0" applyAlignment="0" applyProtection="0"/>
    <xf numFmtId="0" fontId="23" fillId="7" borderId="79" applyNumberFormat="0" applyAlignment="0" applyProtection="0"/>
    <xf numFmtId="0" fontId="66" fillId="23" borderId="54" applyNumberFormat="0" applyAlignment="0" applyProtection="0"/>
    <xf numFmtId="0" fontId="54" fillId="23" borderId="106" applyNumberFormat="0" applyAlignment="0" applyProtection="0"/>
    <xf numFmtId="0" fontId="66" fillId="23" borderId="86" applyNumberFormat="0" applyAlignment="0" applyProtection="0"/>
    <xf numFmtId="0" fontId="6" fillId="22" borderId="100">
      <alignment horizontal="right" vertical="center"/>
    </xf>
    <xf numFmtId="0" fontId="68" fillId="0" borderId="56" applyNumberFormat="0" applyFill="0" applyAlignment="0" applyProtection="0"/>
    <xf numFmtId="0" fontId="7" fillId="28" borderId="57" applyNumberFormat="0" applyFont="0" applyAlignment="0" applyProtection="0"/>
    <xf numFmtId="0" fontId="51" fillId="28" borderId="57" applyNumberFormat="0" applyFont="0" applyAlignment="0" applyProtection="0"/>
    <xf numFmtId="0" fontId="68" fillId="0" borderId="112" applyNumberFormat="0" applyFill="0" applyAlignment="0" applyProtection="0"/>
    <xf numFmtId="0" fontId="28" fillId="0" borderId="56" applyNumberFormat="0" applyFill="0" applyAlignment="0" applyProtection="0"/>
    <xf numFmtId="0" fontId="68" fillId="0" borderId="56" applyNumberFormat="0" applyFill="0" applyAlignment="0" applyProtection="0"/>
    <xf numFmtId="0" fontId="23" fillId="7" borderId="55" applyNumberFormat="0" applyAlignment="0" applyProtection="0"/>
    <xf numFmtId="0" fontId="54" fillId="23" borderId="55" applyNumberFormat="0" applyAlignment="0" applyProtection="0"/>
    <xf numFmtId="0" fontId="28" fillId="0" borderId="56" applyNumberFormat="0" applyFill="0" applyAlignment="0" applyProtection="0"/>
    <xf numFmtId="4" fontId="4" fillId="0" borderId="62" applyFill="0" applyBorder="0" applyProtection="0">
      <alignment horizontal="right" vertical="center"/>
    </xf>
    <xf numFmtId="0" fontId="62" fillId="7" borderId="79" applyNumberFormat="0" applyAlignment="0" applyProtection="0"/>
    <xf numFmtId="0" fontId="23" fillId="7" borderId="59" applyNumberFormat="0" applyAlignment="0" applyProtection="0"/>
    <xf numFmtId="0" fontId="28" fillId="0" borderId="68" applyNumberFormat="0" applyFill="0" applyAlignment="0" applyProtection="0"/>
    <xf numFmtId="0" fontId="4" fillId="21" borderId="63">
      <alignment horizontal="left" vertical="center"/>
    </xf>
    <xf numFmtId="0" fontId="4" fillId="21" borderId="83">
      <alignment horizontal="left" vertical="center"/>
    </xf>
    <xf numFmtId="0" fontId="4" fillId="0" borderId="93">
      <alignment horizontal="left" vertical="center" wrapText="1" indent="2"/>
    </xf>
    <xf numFmtId="0" fontId="66" fillId="23" borderId="54" applyNumberFormat="0" applyAlignment="0" applyProtection="0"/>
    <xf numFmtId="0" fontId="23" fillId="7" borderId="55" applyNumberFormat="0" applyAlignment="0" applyProtection="0"/>
    <xf numFmtId="0" fontId="62" fillId="7" borderId="79" applyNumberFormat="0" applyAlignment="0" applyProtection="0"/>
    <xf numFmtId="0" fontId="26" fillId="23" borderId="54" applyNumberFormat="0" applyAlignment="0" applyProtection="0"/>
    <xf numFmtId="0" fontId="16" fillId="23" borderId="55" applyNumberFormat="0" applyAlignment="0" applyProtection="0"/>
    <xf numFmtId="0" fontId="28" fillId="0" borderId="56" applyNumberFormat="0" applyFill="0" applyAlignment="0" applyProtection="0"/>
    <xf numFmtId="0" fontId="16" fillId="23" borderId="71" applyNumberFormat="0" applyAlignment="0" applyProtection="0"/>
    <xf numFmtId="0" fontId="4" fillId="0" borderId="82">
      <alignment horizontal="right" vertical="center"/>
    </xf>
    <xf numFmtId="0" fontId="23" fillId="7" borderId="55" applyNumberFormat="0" applyAlignment="0" applyProtection="0"/>
    <xf numFmtId="0" fontId="54" fillId="23" borderId="55" applyNumberFormat="0" applyAlignment="0" applyProtection="0"/>
    <xf numFmtId="0" fontId="68" fillId="0" borderId="68" applyNumberFormat="0" applyFill="0" applyAlignment="0" applyProtection="0"/>
    <xf numFmtId="0" fontId="6" fillId="22" borderId="90">
      <alignment horizontal="right" vertical="center"/>
    </xf>
    <xf numFmtId="0" fontId="66" fillId="23" borderId="54" applyNumberFormat="0" applyAlignment="0" applyProtection="0"/>
    <xf numFmtId="0" fontId="62" fillId="7" borderId="55" applyNumberFormat="0" applyAlignment="0" applyProtection="0"/>
    <xf numFmtId="0" fontId="16" fillId="23" borderId="55" applyNumberFormat="0" applyAlignment="0" applyProtection="0"/>
    <xf numFmtId="0" fontId="26" fillId="23" borderId="54" applyNumberFormat="0" applyAlignment="0" applyProtection="0"/>
    <xf numFmtId="0" fontId="68" fillId="0" borderId="72" applyNumberFormat="0" applyFill="0" applyAlignment="0" applyProtection="0"/>
    <xf numFmtId="0" fontId="23" fillId="7" borderId="67" applyNumberFormat="0" applyAlignment="0" applyProtection="0"/>
    <xf numFmtId="0" fontId="23" fillId="7" borderId="111" applyNumberFormat="0" applyAlignment="0" applyProtection="0"/>
    <xf numFmtId="4" fontId="4" fillId="27" borderId="82"/>
    <xf numFmtId="0" fontId="4" fillId="21" borderId="83">
      <alignment horizontal="left" vertical="center"/>
    </xf>
    <xf numFmtId="0" fontId="66" fillId="23" borderId="78" applyNumberFormat="0" applyAlignment="0" applyProtection="0"/>
    <xf numFmtId="0" fontId="62" fillId="7" borderId="55" applyNumberFormat="0" applyAlignment="0" applyProtection="0"/>
    <xf numFmtId="0" fontId="23" fillId="7" borderId="55" applyNumberFormat="0" applyAlignment="0" applyProtection="0"/>
    <xf numFmtId="0" fontId="16" fillId="23" borderId="55" applyNumberFormat="0" applyAlignment="0" applyProtection="0"/>
    <xf numFmtId="0" fontId="68" fillId="0" borderId="75" applyNumberFormat="0" applyFill="0" applyAlignment="0" applyProtection="0"/>
    <xf numFmtId="0" fontId="7" fillId="28" borderId="108" applyNumberFormat="0" applyFont="0" applyAlignment="0" applyProtection="0"/>
    <xf numFmtId="0" fontId="4" fillId="21" borderId="99">
      <alignment horizontal="left" vertical="center"/>
    </xf>
    <xf numFmtId="4" fontId="9" fillId="21" borderId="82">
      <alignment horizontal="right" vertical="center"/>
    </xf>
    <xf numFmtId="4" fontId="6" fillId="22" borderId="63">
      <alignment horizontal="right" vertical="center"/>
    </xf>
    <xf numFmtId="0" fontId="4" fillId="22" borderId="65">
      <alignment horizontal="left" vertical="center" wrapText="1" indent="2"/>
    </xf>
    <xf numFmtId="0" fontId="4" fillId="27" borderId="62"/>
    <xf numFmtId="178" fontId="4" fillId="29" borderId="62" applyNumberFormat="0" applyFont="0" applyBorder="0" applyAlignment="0" applyProtection="0">
      <alignment horizontal="right" vertical="center"/>
    </xf>
    <xf numFmtId="0" fontId="4" fillId="0" borderId="62" applyNumberFormat="0" applyFill="0" applyAlignment="0" applyProtection="0"/>
    <xf numFmtId="4" fontId="4" fillId="0" borderId="62" applyFill="0" applyBorder="0" applyProtection="0">
      <alignment horizontal="right" vertical="center"/>
    </xf>
    <xf numFmtId="4" fontId="6" fillId="21" borderId="62">
      <alignment horizontal="right" vertical="center"/>
    </xf>
    <xf numFmtId="0" fontId="28" fillId="0" borderId="60" applyNumberFormat="0" applyFill="0" applyAlignment="0" applyProtection="0"/>
    <xf numFmtId="49" fontId="8" fillId="0" borderId="62" applyNumberFormat="0" applyFill="0" applyBorder="0" applyProtection="0">
      <alignment horizontal="left" vertical="center"/>
    </xf>
    <xf numFmtId="49" fontId="4" fillId="0" borderId="63" applyNumberFormat="0" applyFont="0" applyFill="0" applyBorder="0" applyProtection="0">
      <alignment horizontal="left" vertical="center" indent="5"/>
    </xf>
    <xf numFmtId="0" fontId="4" fillId="21" borderId="63">
      <alignment horizontal="left" vertical="center"/>
    </xf>
    <xf numFmtId="0" fontId="54" fillId="23" borderId="59" applyNumberFormat="0" applyAlignment="0" applyProtection="0"/>
    <xf numFmtId="4" fontId="6" fillId="22" borderId="64">
      <alignment horizontal="right" vertical="center"/>
    </xf>
    <xf numFmtId="0" fontId="62" fillId="7" borderId="59" applyNumberFormat="0" applyAlignment="0" applyProtection="0"/>
    <xf numFmtId="0" fontId="62" fillId="7" borderId="59" applyNumberFormat="0" applyAlignment="0" applyProtection="0"/>
    <xf numFmtId="0" fontId="51" fillId="28" borderId="61" applyNumberFormat="0" applyFont="0" applyAlignment="0" applyProtection="0"/>
    <xf numFmtId="0" fontId="66" fillId="23" borderId="58" applyNumberFormat="0" applyAlignment="0" applyProtection="0"/>
    <xf numFmtId="0" fontId="68" fillId="0" borderId="60" applyNumberFormat="0" applyFill="0" applyAlignment="0" applyProtection="0"/>
    <xf numFmtId="0" fontId="6" fillId="22" borderId="62">
      <alignment horizontal="right" vertical="center"/>
    </xf>
    <xf numFmtId="0" fontId="7" fillId="28" borderId="61" applyNumberFormat="0" applyFont="0" applyAlignment="0" applyProtection="0"/>
    <xf numFmtId="4" fontId="4" fillId="0" borderId="62">
      <alignment horizontal="right" vertical="center"/>
    </xf>
    <xf numFmtId="0" fontId="68" fillId="0" borderId="60" applyNumberFormat="0" applyFill="0" applyAlignment="0" applyProtection="0"/>
    <xf numFmtId="0" fontId="6" fillId="22" borderId="62">
      <alignment horizontal="right" vertical="center"/>
    </xf>
    <xf numFmtId="0" fontId="6" fillId="22" borderId="62">
      <alignment horizontal="right" vertical="center"/>
    </xf>
    <xf numFmtId="4" fontId="9" fillId="21" borderId="62">
      <alignment horizontal="right" vertical="center"/>
    </xf>
    <xf numFmtId="0" fontId="6" fillId="21" borderId="62">
      <alignment horizontal="right" vertical="center"/>
    </xf>
    <xf numFmtId="4" fontId="6" fillId="21" borderId="62">
      <alignment horizontal="right" vertical="center"/>
    </xf>
    <xf numFmtId="0" fontId="9" fillId="21" borderId="62">
      <alignment horizontal="right" vertical="center"/>
    </xf>
    <xf numFmtId="4" fontId="9" fillId="21" borderId="62">
      <alignment horizontal="right" vertical="center"/>
    </xf>
    <xf numFmtId="0" fontId="6" fillId="22" borderId="62">
      <alignment horizontal="right" vertical="center"/>
    </xf>
    <xf numFmtId="4" fontId="6" fillId="22" borderId="62">
      <alignment horizontal="right" vertical="center"/>
    </xf>
    <xf numFmtId="0" fontId="6" fillId="22" borderId="62">
      <alignment horizontal="right" vertical="center"/>
    </xf>
    <xf numFmtId="4" fontId="6" fillId="22" borderId="62">
      <alignment horizontal="right" vertical="center"/>
    </xf>
    <xf numFmtId="0" fontId="6" fillId="22" borderId="63">
      <alignment horizontal="right" vertical="center"/>
    </xf>
    <xf numFmtId="4" fontId="6" fillId="22" borderId="63">
      <alignment horizontal="right" vertical="center"/>
    </xf>
    <xf numFmtId="0" fontId="6" fillId="22" borderId="64">
      <alignment horizontal="right" vertical="center"/>
    </xf>
    <xf numFmtId="4" fontId="6" fillId="22" borderId="64">
      <alignment horizontal="right" vertical="center"/>
    </xf>
    <xf numFmtId="0" fontId="54" fillId="23" borderId="59" applyNumberFormat="0" applyAlignment="0" applyProtection="0"/>
    <xf numFmtId="0" fontId="4" fillId="22" borderId="65">
      <alignment horizontal="left" vertical="center" wrapText="1" indent="2"/>
    </xf>
    <xf numFmtId="0" fontId="4" fillId="0" borderId="65">
      <alignment horizontal="left" vertical="center" wrapText="1" indent="2"/>
    </xf>
    <xf numFmtId="0" fontId="4" fillId="21" borderId="63">
      <alignment horizontal="left" vertical="center"/>
    </xf>
    <xf numFmtId="0" fontId="62" fillId="7" borderId="59" applyNumberFormat="0" applyAlignment="0" applyProtection="0"/>
    <xf numFmtId="0" fontId="4" fillId="0" borderId="62">
      <alignment horizontal="right" vertical="center"/>
    </xf>
    <xf numFmtId="4" fontId="4" fillId="0" borderId="62">
      <alignment horizontal="right" vertical="center"/>
    </xf>
    <xf numFmtId="0" fontId="4" fillId="0" borderId="62" applyNumberFormat="0" applyFill="0" applyAlignment="0" applyProtection="0"/>
    <xf numFmtId="0" fontId="66" fillId="23" borderId="58" applyNumberFormat="0" applyAlignment="0" applyProtection="0"/>
    <xf numFmtId="178" fontId="4" fillId="29" borderId="62" applyNumberFormat="0" applyFont="0" applyBorder="0" applyAlignment="0" applyProtection="0">
      <alignment horizontal="right" vertical="center"/>
    </xf>
    <xf numFmtId="0" fontId="4" fillId="27" borderId="62"/>
    <xf numFmtId="4" fontId="4" fillId="27" borderId="62"/>
    <xf numFmtId="0" fontId="68" fillId="0" borderId="60" applyNumberFormat="0" applyFill="0" applyAlignment="0" applyProtection="0"/>
    <xf numFmtId="0" fontId="7" fillId="28" borderId="61" applyNumberFormat="0" applyFont="0" applyAlignment="0" applyProtection="0"/>
    <xf numFmtId="0" fontId="51" fillId="28" borderId="61" applyNumberFormat="0" applyFont="0" applyAlignment="0" applyProtection="0"/>
    <xf numFmtId="0" fontId="4" fillId="0" borderId="62" applyNumberFormat="0" applyFill="0" applyAlignment="0" applyProtection="0"/>
    <xf numFmtId="0" fontId="28" fillId="0" borderId="60" applyNumberFormat="0" applyFill="0" applyAlignment="0" applyProtection="0"/>
    <xf numFmtId="0" fontId="68" fillId="0" borderId="60" applyNumberFormat="0" applyFill="0" applyAlignment="0" applyProtection="0"/>
    <xf numFmtId="0" fontId="23" fillId="7" borderId="59" applyNumberFormat="0" applyAlignment="0" applyProtection="0"/>
    <xf numFmtId="0" fontId="54" fillId="23" borderId="59" applyNumberFormat="0" applyAlignment="0" applyProtection="0"/>
    <xf numFmtId="4" fontId="9" fillId="21" borderId="62">
      <alignment horizontal="right" vertical="center"/>
    </xf>
    <xf numFmtId="0" fontId="6" fillId="21" borderId="62">
      <alignment horizontal="right" vertical="center"/>
    </xf>
    <xf numFmtId="178" fontId="4" fillId="29" borderId="62" applyNumberFormat="0" applyFont="0" applyBorder="0" applyAlignment="0" applyProtection="0">
      <alignment horizontal="right" vertical="center"/>
    </xf>
    <xf numFmtId="0" fontId="28" fillId="0" borderId="60" applyNumberFormat="0" applyFill="0" applyAlignment="0" applyProtection="0"/>
    <xf numFmtId="49" fontId="4" fillId="0" borderId="62" applyNumberFormat="0" applyFont="0" applyFill="0" applyBorder="0" applyProtection="0">
      <alignment horizontal="left" vertical="center" indent="2"/>
    </xf>
    <xf numFmtId="49" fontId="4" fillId="0" borderId="63" applyNumberFormat="0" applyFont="0" applyFill="0" applyBorder="0" applyProtection="0">
      <alignment horizontal="left" vertical="center" indent="5"/>
    </xf>
    <xf numFmtId="49" fontId="4" fillId="0" borderId="62" applyNumberFormat="0" applyFont="0" applyFill="0" applyBorder="0" applyProtection="0">
      <alignment horizontal="left" vertical="center" indent="2"/>
    </xf>
    <xf numFmtId="4" fontId="4" fillId="0" borderId="62" applyFill="0" applyBorder="0" applyProtection="0">
      <alignment horizontal="right" vertical="center"/>
    </xf>
    <xf numFmtId="49" fontId="8" fillId="0" borderId="62" applyNumberFormat="0" applyFill="0" applyBorder="0" applyProtection="0">
      <alignment horizontal="left" vertical="center"/>
    </xf>
    <xf numFmtId="0" fontId="4" fillId="0" borderId="65">
      <alignment horizontal="left" vertical="center" wrapText="1" indent="2"/>
    </xf>
    <xf numFmtId="0" fontId="66" fillId="23" borderId="58" applyNumberFormat="0" applyAlignment="0" applyProtection="0"/>
    <xf numFmtId="0" fontId="6" fillId="22" borderId="64">
      <alignment horizontal="right" vertical="center"/>
    </xf>
    <xf numFmtId="0" fontId="23" fillId="7" borderId="59" applyNumberFormat="0" applyAlignment="0" applyProtection="0"/>
    <xf numFmtId="0" fontId="6" fillId="22" borderId="64">
      <alignment horizontal="right" vertical="center"/>
    </xf>
    <xf numFmtId="4" fontId="6" fillId="22" borderId="62">
      <alignment horizontal="right" vertical="center"/>
    </xf>
    <xf numFmtId="0" fontId="6" fillId="22" borderId="62">
      <alignment horizontal="right" vertical="center"/>
    </xf>
    <xf numFmtId="0" fontId="26" fillId="23" borderId="58" applyNumberFormat="0" applyAlignment="0" applyProtection="0"/>
    <xf numFmtId="0" fontId="16" fillId="23" borderId="59" applyNumberFormat="0" applyAlignment="0" applyProtection="0"/>
    <xf numFmtId="0" fontId="28" fillId="0" borderId="60" applyNumberFormat="0" applyFill="0" applyAlignment="0" applyProtection="0"/>
    <xf numFmtId="0" fontId="4" fillId="27" borderId="62"/>
    <xf numFmtId="4" fontId="4" fillId="27" borderId="62"/>
    <xf numFmtId="4" fontId="6" fillId="22" borderId="62">
      <alignment horizontal="right" vertical="center"/>
    </xf>
    <xf numFmtId="0" fontId="9" fillId="21" borderId="62">
      <alignment horizontal="right" vertical="center"/>
    </xf>
    <xf numFmtId="0" fontId="23" fillId="7" borderId="59" applyNumberFormat="0" applyAlignment="0" applyProtection="0"/>
    <xf numFmtId="0" fontId="54" fillId="23" borderId="59" applyNumberFormat="0" applyAlignment="0" applyProtection="0"/>
    <xf numFmtId="4" fontId="4" fillId="0" borderId="62">
      <alignment horizontal="right" vertical="center"/>
    </xf>
    <xf numFmtId="0" fontId="4" fillId="22" borderId="65">
      <alignment horizontal="left" vertical="center" wrapText="1" indent="2"/>
    </xf>
    <xf numFmtId="0" fontId="4" fillId="0" borderId="65">
      <alignment horizontal="left" vertical="center" wrapText="1" indent="2"/>
    </xf>
    <xf numFmtId="0" fontId="66" fillId="23" borderId="58" applyNumberFormat="0" applyAlignment="0" applyProtection="0"/>
    <xf numFmtId="0" fontId="62" fillId="7" borderId="59" applyNumberFormat="0" applyAlignment="0" applyProtection="0"/>
    <xf numFmtId="0" fontId="16" fillId="23" borderId="59" applyNumberFormat="0" applyAlignment="0" applyProtection="0"/>
    <xf numFmtId="0" fontId="26" fillId="23" borderId="58" applyNumberFormat="0" applyAlignment="0" applyProtection="0"/>
    <xf numFmtId="0" fontId="6" fillId="22" borderId="64">
      <alignment horizontal="right" vertical="center"/>
    </xf>
    <xf numFmtId="0" fontId="9" fillId="21" borderId="62">
      <alignment horizontal="right" vertical="center"/>
    </xf>
    <xf numFmtId="4" fontId="6" fillId="21" borderId="62">
      <alignment horizontal="right" vertical="center"/>
    </xf>
    <xf numFmtId="4" fontId="6" fillId="22" borderId="62">
      <alignment horizontal="right" vertical="center"/>
    </xf>
    <xf numFmtId="49" fontId="4" fillId="0" borderId="63" applyNumberFormat="0" applyFont="0" applyFill="0" applyBorder="0" applyProtection="0">
      <alignment horizontal="left" vertical="center" indent="5"/>
    </xf>
    <xf numFmtId="4" fontId="4" fillId="0" borderId="62" applyFill="0" applyBorder="0" applyProtection="0">
      <alignment horizontal="right" vertical="center"/>
    </xf>
    <xf numFmtId="4" fontId="6" fillId="21" borderId="62">
      <alignment horizontal="right" vertical="center"/>
    </xf>
    <xf numFmtId="0" fontId="62" fillId="7" borderId="59" applyNumberFormat="0" applyAlignment="0" applyProtection="0"/>
    <xf numFmtId="0" fontId="23" fillId="7" borderId="59" applyNumberFormat="0" applyAlignment="0" applyProtection="0"/>
    <xf numFmtId="0" fontId="16" fillId="23" borderId="59" applyNumberFormat="0" applyAlignment="0" applyProtection="0"/>
    <xf numFmtId="0" fontId="4" fillId="22" borderId="65">
      <alignment horizontal="left" vertical="center" wrapText="1" indent="2"/>
    </xf>
    <xf numFmtId="0" fontId="4" fillId="0" borderId="65">
      <alignment horizontal="left" vertical="center" wrapText="1" indent="2"/>
    </xf>
    <xf numFmtId="0" fontId="4" fillId="22" borderId="65">
      <alignment horizontal="left" vertical="center" wrapText="1" indent="2"/>
    </xf>
    <xf numFmtId="0" fontId="4" fillId="0" borderId="65">
      <alignment horizontal="left" vertical="center" wrapText="1" indent="2"/>
    </xf>
    <xf numFmtId="0" fontId="51" fillId="28" borderId="76" applyNumberFormat="0" applyFont="0" applyAlignment="0" applyProtection="0"/>
    <xf numFmtId="0" fontId="68" fillId="0" borderId="72" applyNumberFormat="0" applyFill="0" applyAlignment="0" applyProtection="0"/>
    <xf numFmtId="4" fontId="4" fillId="0" borderId="82">
      <alignment horizontal="right" vertical="center"/>
    </xf>
    <xf numFmtId="0" fontId="66" fillId="23" borderId="70" applyNumberFormat="0" applyAlignment="0" applyProtection="0"/>
    <xf numFmtId="0" fontId="51" fillId="28" borderId="73" applyNumberFormat="0" applyFont="0" applyAlignment="0" applyProtection="0"/>
    <xf numFmtId="0" fontId="66" fillId="23" borderId="94" applyNumberFormat="0" applyAlignment="0" applyProtection="0"/>
    <xf numFmtId="0" fontId="7" fillId="28" borderId="97" applyNumberFormat="0" applyFont="0" applyAlignment="0" applyProtection="0"/>
    <xf numFmtId="49" fontId="4" fillId="0" borderId="82" applyNumberFormat="0" applyFont="0" applyFill="0" applyBorder="0" applyProtection="0">
      <alignment horizontal="left" vertical="center" indent="2"/>
    </xf>
    <xf numFmtId="0" fontId="26" fillId="23" borderId="78" applyNumberFormat="0" applyAlignment="0" applyProtection="0"/>
    <xf numFmtId="0" fontId="4" fillId="0" borderId="82">
      <alignment horizontal="right" vertical="center"/>
    </xf>
    <xf numFmtId="0" fontId="62" fillId="7" borderId="71" applyNumberFormat="0" applyAlignment="0" applyProtection="0"/>
    <xf numFmtId="0" fontId="6" fillId="22" borderId="82">
      <alignment horizontal="right" vertical="center"/>
    </xf>
    <xf numFmtId="0" fontId="28" fillId="0" borderId="72" applyNumberFormat="0" applyFill="0" applyAlignment="0" applyProtection="0"/>
    <xf numFmtId="0" fontId="68" fillId="0" borderId="112" applyNumberFormat="0" applyFill="0" applyAlignment="0" applyProtection="0"/>
    <xf numFmtId="0" fontId="54" fillId="23" borderId="87" applyNumberFormat="0" applyAlignment="0" applyProtection="0"/>
    <xf numFmtId="0" fontId="26" fillId="23" borderId="70" applyNumberFormat="0" applyAlignment="0" applyProtection="0"/>
    <xf numFmtId="0" fontId="4" fillId="0" borderId="85">
      <alignment horizontal="left" vertical="center" wrapText="1" indent="2"/>
    </xf>
    <xf numFmtId="0" fontId="54" fillId="23" borderId="87" applyNumberFormat="0" applyAlignment="0" applyProtection="0"/>
    <xf numFmtId="0" fontId="68" fillId="0" borderId="80" applyNumberFormat="0" applyFill="0" applyAlignment="0" applyProtection="0"/>
    <xf numFmtId="0" fontId="6" fillId="22" borderId="98">
      <alignment horizontal="right" vertical="center"/>
    </xf>
    <xf numFmtId="0" fontId="51" fillId="28" borderId="113" applyNumberFormat="0" applyFont="0" applyAlignment="0" applyProtection="0"/>
    <xf numFmtId="0" fontId="16" fillId="23" borderId="87" applyNumberFormat="0" applyAlignment="0" applyProtection="0"/>
    <xf numFmtId="0" fontId="26" fillId="23" borderId="78" applyNumberFormat="0" applyAlignment="0" applyProtection="0"/>
    <xf numFmtId="0" fontId="6" fillId="21" borderId="90">
      <alignment horizontal="right" vertical="center"/>
    </xf>
    <xf numFmtId="0" fontId="28" fillId="0" borderId="80" applyNumberFormat="0" applyFill="0" applyAlignment="0" applyProtection="0"/>
    <xf numFmtId="0" fontId="66" fillId="23" borderId="78" applyNumberFormat="0" applyAlignment="0" applyProtection="0"/>
    <xf numFmtId="0" fontId="16" fillId="23" borderId="67" applyNumberFormat="0" applyAlignment="0" applyProtection="0"/>
    <xf numFmtId="0" fontId="54" fillId="23" borderId="79" applyNumberFormat="0" applyAlignment="0" applyProtection="0"/>
    <xf numFmtId="0" fontId="23" fillId="7" borderId="74" applyNumberFormat="0" applyAlignment="0" applyProtection="0"/>
    <xf numFmtId="0" fontId="68" fillId="0" borderId="68" applyNumberFormat="0" applyFill="0" applyAlignment="0" applyProtection="0"/>
    <xf numFmtId="0" fontId="62" fillId="7" borderId="67" applyNumberFormat="0" applyAlignment="0" applyProtection="0"/>
    <xf numFmtId="0" fontId="7" fillId="28" borderId="89" applyNumberFormat="0" applyFont="0" applyAlignment="0" applyProtection="0"/>
    <xf numFmtId="0" fontId="51" fillId="28" borderId="69" applyNumberFormat="0" applyFont="0" applyAlignment="0" applyProtection="0"/>
    <xf numFmtId="0" fontId="68" fillId="0" borderId="75" applyNumberFormat="0" applyFill="0" applyAlignment="0" applyProtection="0"/>
    <xf numFmtId="4" fontId="4" fillId="27" borderId="90"/>
    <xf numFmtId="0" fontId="6" fillId="21" borderId="82">
      <alignment horizontal="right" vertical="center"/>
    </xf>
    <xf numFmtId="0" fontId="26" fillId="23" borderId="70" applyNumberFormat="0" applyAlignment="0" applyProtection="0"/>
    <xf numFmtId="0" fontId="6" fillId="22" borderId="82">
      <alignment horizontal="right" vertical="center"/>
    </xf>
    <xf numFmtId="0" fontId="62" fillId="7" borderId="67" applyNumberFormat="0" applyAlignment="0" applyProtection="0"/>
    <xf numFmtId="0" fontId="26" fillId="23" borderId="66" applyNumberFormat="0" applyAlignment="0" applyProtection="0"/>
    <xf numFmtId="0" fontId="7" fillId="28" borderId="81" applyNumberFormat="0" applyFont="0" applyAlignment="0" applyProtection="0"/>
    <xf numFmtId="0" fontId="23" fillId="7" borderId="67" applyNumberFormat="0" applyAlignment="0" applyProtection="0"/>
    <xf numFmtId="0" fontId="4" fillId="0" borderId="90" applyNumberFormat="0" applyFill="0" applyAlignment="0" applyProtection="0"/>
    <xf numFmtId="0" fontId="54" fillId="23" borderId="67" applyNumberFormat="0" applyAlignment="0" applyProtection="0"/>
    <xf numFmtId="0" fontId="68" fillId="0" borderId="68" applyNumberFormat="0" applyFill="0" applyAlignment="0" applyProtection="0"/>
    <xf numFmtId="0" fontId="66" fillId="23" borderId="66" applyNumberFormat="0" applyAlignment="0" applyProtection="0"/>
    <xf numFmtId="0" fontId="54" fillId="23" borderId="74" applyNumberFormat="0" applyAlignment="0" applyProtection="0"/>
    <xf numFmtId="0" fontId="68" fillId="0" borderId="88" applyNumberFormat="0" applyFill="0" applyAlignment="0" applyProtection="0"/>
    <xf numFmtId="0" fontId="26" fillId="23" borderId="105" applyNumberFormat="0" applyAlignment="0" applyProtection="0"/>
    <xf numFmtId="0" fontId="62" fillId="7" borderId="67" applyNumberFormat="0" applyAlignment="0" applyProtection="0"/>
    <xf numFmtId="0" fontId="26" fillId="23" borderId="66" applyNumberFormat="0" applyAlignment="0" applyProtection="0"/>
    <xf numFmtId="0" fontId="16" fillId="23" borderId="67" applyNumberFormat="0" applyAlignment="0" applyProtection="0"/>
    <xf numFmtId="49" fontId="4" fillId="0" borderId="90" applyNumberFormat="0" applyFont="0" applyFill="0" applyBorder="0" applyProtection="0">
      <alignment horizontal="left" vertical="center" indent="2"/>
    </xf>
    <xf numFmtId="0" fontId="54" fillId="23" borderId="67" applyNumberFormat="0" applyAlignment="0" applyProtection="0"/>
    <xf numFmtId="0" fontId="54" fillId="23" borderId="67" applyNumberFormat="0" applyAlignment="0" applyProtection="0"/>
    <xf numFmtId="49" fontId="4" fillId="0" borderId="91" applyNumberFormat="0" applyFont="0" applyFill="0" applyBorder="0" applyProtection="0">
      <alignment horizontal="left" vertical="center" indent="5"/>
    </xf>
    <xf numFmtId="0" fontId="54" fillId="23" borderId="111" applyNumberFormat="0" applyAlignment="0" applyProtection="0"/>
    <xf numFmtId="0" fontId="66" fillId="23" borderId="78" applyNumberFormat="0" applyAlignment="0" applyProtection="0"/>
    <xf numFmtId="0" fontId="4" fillId="0" borderId="85">
      <alignment horizontal="left" vertical="center" wrapText="1" indent="2"/>
    </xf>
    <xf numFmtId="0" fontId="23" fillId="7" borderId="67" applyNumberFormat="0" applyAlignment="0" applyProtection="0"/>
    <xf numFmtId="0" fontId="28" fillId="0" borderId="68" applyNumberFormat="0" applyFill="0" applyAlignment="0" applyProtection="0"/>
    <xf numFmtId="0" fontId="68" fillId="0" borderId="68" applyNumberFormat="0" applyFill="0" applyAlignment="0" applyProtection="0"/>
    <xf numFmtId="0" fontId="51" fillId="28" borderId="69" applyNumberFormat="0" applyFont="0" applyAlignment="0" applyProtection="0"/>
    <xf numFmtId="0" fontId="62" fillId="7" borderId="67" applyNumberFormat="0" applyAlignment="0" applyProtection="0"/>
    <xf numFmtId="0" fontId="23" fillId="7" borderId="74" applyNumberFormat="0" applyAlignment="0" applyProtection="0"/>
    <xf numFmtId="0" fontId="54" fillId="23" borderId="67" applyNumberFormat="0" applyAlignment="0" applyProtection="0"/>
    <xf numFmtId="0" fontId="51" fillId="28" borderId="69" applyNumberFormat="0" applyFont="0" applyAlignment="0" applyProtection="0"/>
    <xf numFmtId="0" fontId="7" fillId="28" borderId="69" applyNumberFormat="0" applyFont="0" applyAlignment="0" applyProtection="0"/>
    <xf numFmtId="0" fontId="66" fillId="23" borderId="66" applyNumberFormat="0" applyAlignment="0" applyProtection="0"/>
    <xf numFmtId="0" fontId="68" fillId="0" borderId="68" applyNumberFormat="0" applyFill="0" applyAlignment="0" applyProtection="0"/>
    <xf numFmtId="0" fontId="68" fillId="0" borderId="68" applyNumberFormat="0" applyFill="0" applyAlignment="0" applyProtection="0"/>
    <xf numFmtId="0" fontId="4" fillId="22" borderId="93">
      <alignment horizontal="left" vertical="center" wrapText="1" indent="2"/>
    </xf>
    <xf numFmtId="0" fontId="16" fillId="23" borderId="67" applyNumberFormat="0" applyAlignment="0" applyProtection="0"/>
    <xf numFmtId="0" fontId="54" fillId="23" borderId="67" applyNumberFormat="0" applyAlignment="0" applyProtection="0"/>
    <xf numFmtId="0" fontId="28" fillId="0" borderId="68" applyNumberFormat="0" applyFill="0" applyAlignment="0" applyProtection="0"/>
    <xf numFmtId="0" fontId="51" fillId="28" borderId="69" applyNumberFormat="0" applyFont="0" applyAlignment="0" applyProtection="0"/>
    <xf numFmtId="4" fontId="6" fillId="22" borderId="84">
      <alignment horizontal="right" vertical="center"/>
    </xf>
    <xf numFmtId="4" fontId="4" fillId="0" borderId="82" applyFill="0" applyBorder="0" applyProtection="0">
      <alignment horizontal="right" vertical="center"/>
    </xf>
    <xf numFmtId="0" fontId="4" fillId="0" borderId="85">
      <alignment horizontal="left" vertical="center" wrapText="1" indent="2"/>
    </xf>
    <xf numFmtId="0" fontId="28" fillId="0" borderId="68" applyNumberFormat="0" applyFill="0" applyAlignment="0" applyProtection="0"/>
    <xf numFmtId="0" fontId="62" fillId="7" borderId="79" applyNumberFormat="0" applyAlignment="0" applyProtection="0"/>
    <xf numFmtId="0" fontId="54" fillId="23" borderId="67" applyNumberFormat="0" applyAlignment="0" applyProtection="0"/>
    <xf numFmtId="0" fontId="68" fillId="0" borderId="75" applyNumberFormat="0" applyFill="0" applyAlignment="0" applyProtection="0"/>
    <xf numFmtId="0" fontId="62" fillId="7" borderId="67" applyNumberFormat="0" applyAlignment="0" applyProtection="0"/>
    <xf numFmtId="0" fontId="62" fillId="7" borderId="67" applyNumberFormat="0" applyAlignment="0" applyProtection="0"/>
    <xf numFmtId="0" fontId="51" fillId="28" borderId="69" applyNumberFormat="0" applyFont="0" applyAlignment="0" applyProtection="0"/>
    <xf numFmtId="0" fontId="66" fillId="23" borderId="66" applyNumberFormat="0" applyAlignment="0" applyProtection="0"/>
    <xf numFmtId="0" fontId="68" fillId="0" borderId="68" applyNumberFormat="0" applyFill="0" applyAlignment="0" applyProtection="0"/>
    <xf numFmtId="0" fontId="62" fillId="7" borderId="111" applyNumberFormat="0" applyAlignment="0" applyProtection="0"/>
    <xf numFmtId="0" fontId="7" fillId="28" borderId="69" applyNumberFormat="0" applyFont="0" applyAlignment="0" applyProtection="0"/>
    <xf numFmtId="0" fontId="54" fillId="23" borderId="111" applyNumberFormat="0" applyAlignment="0" applyProtection="0"/>
    <xf numFmtId="0" fontId="68" fillId="0" borderId="68" applyNumberFormat="0" applyFill="0" applyAlignment="0" applyProtection="0"/>
    <xf numFmtId="4" fontId="6" fillId="22" borderId="84">
      <alignment horizontal="right" vertical="center"/>
    </xf>
    <xf numFmtId="0" fontId="16" fillId="23" borderId="74" applyNumberFormat="0" applyAlignment="0" applyProtection="0"/>
    <xf numFmtId="0" fontId="54" fillId="23" borderId="79" applyNumberFormat="0" applyAlignment="0" applyProtection="0"/>
    <xf numFmtId="0" fontId="23" fillId="7" borderId="79" applyNumberFormat="0" applyAlignment="0" applyProtection="0"/>
    <xf numFmtId="0" fontId="68" fillId="0" borderId="112" applyNumberFormat="0" applyFill="0" applyAlignment="0" applyProtection="0"/>
    <xf numFmtId="0" fontId="7" fillId="28" borderId="81" applyNumberFormat="0" applyFont="0" applyAlignment="0" applyProtection="0"/>
    <xf numFmtId="0" fontId="6" fillId="22" borderId="83">
      <alignment horizontal="right" vertical="center"/>
    </xf>
    <xf numFmtId="0" fontId="54" fillId="23" borderId="67" applyNumberFormat="0" applyAlignment="0" applyProtection="0"/>
    <xf numFmtId="0" fontId="51" fillId="28" borderId="81" applyNumberFormat="0" applyFont="0" applyAlignment="0" applyProtection="0"/>
    <xf numFmtId="0" fontId="51" fillId="28" borderId="76" applyNumberFormat="0" applyFont="0" applyAlignment="0" applyProtection="0"/>
    <xf numFmtId="0" fontId="62" fillId="7" borderId="67" applyNumberFormat="0" applyAlignment="0" applyProtection="0"/>
    <xf numFmtId="0" fontId="54" fillId="23" borderId="74" applyNumberFormat="0" applyAlignment="0" applyProtection="0"/>
    <xf numFmtId="0" fontId="23" fillId="7" borderId="74" applyNumberFormat="0" applyAlignment="0" applyProtection="0"/>
    <xf numFmtId="0" fontId="66" fillId="23" borderId="66" applyNumberFormat="0" applyAlignment="0" applyProtection="0"/>
    <xf numFmtId="0" fontId="28" fillId="0" borderId="80" applyNumberFormat="0" applyFill="0" applyAlignment="0" applyProtection="0"/>
    <xf numFmtId="0" fontId="16" fillId="23" borderId="106" applyNumberFormat="0" applyAlignment="0" applyProtection="0"/>
    <xf numFmtId="0" fontId="68" fillId="0" borderId="68" applyNumberFormat="0" applyFill="0" applyAlignment="0" applyProtection="0"/>
    <xf numFmtId="0" fontId="7" fillId="28" borderId="69" applyNumberFormat="0" applyFont="0" applyAlignment="0" applyProtection="0"/>
    <xf numFmtId="0" fontId="51" fillId="28" borderId="69" applyNumberFormat="0" applyFont="0" applyAlignment="0" applyProtection="0"/>
    <xf numFmtId="0" fontId="16" fillId="23" borderId="111" applyNumberFormat="0" applyAlignment="0" applyProtection="0"/>
    <xf numFmtId="0" fontId="28" fillId="0" borderId="68" applyNumberFormat="0" applyFill="0" applyAlignment="0" applyProtection="0"/>
    <xf numFmtId="0" fontId="68" fillId="0" borderId="68" applyNumberFormat="0" applyFill="0" applyAlignment="0" applyProtection="0"/>
    <xf numFmtId="0" fontId="23" fillId="7" borderId="67" applyNumberFormat="0" applyAlignment="0" applyProtection="0"/>
    <xf numFmtId="0" fontId="54" fillId="23" borderId="67" applyNumberFormat="0" applyAlignment="0" applyProtection="0"/>
    <xf numFmtId="4" fontId="4" fillId="27" borderId="82"/>
    <xf numFmtId="0" fontId="28" fillId="0" borderId="68" applyNumberFormat="0" applyFill="0" applyAlignment="0" applyProtection="0"/>
    <xf numFmtId="0" fontId="6" fillId="21" borderId="82">
      <alignment horizontal="right" vertical="center"/>
    </xf>
    <xf numFmtId="0" fontId="28" fillId="0" borderId="80" applyNumberFormat="0" applyFill="0" applyAlignment="0" applyProtection="0"/>
    <xf numFmtId="0" fontId="4" fillId="22" borderId="93">
      <alignment horizontal="left" vertical="center" wrapText="1" indent="2"/>
    </xf>
    <xf numFmtId="0" fontId="7" fillId="28" borderId="113" applyNumberFormat="0" applyFont="0" applyAlignment="0" applyProtection="0"/>
    <xf numFmtId="0" fontId="66" fillId="23" borderId="66" applyNumberFormat="0" applyAlignment="0" applyProtection="0"/>
    <xf numFmtId="0" fontId="68" fillId="0" borderId="80" applyNumberFormat="0" applyFill="0" applyAlignment="0" applyProtection="0"/>
    <xf numFmtId="0" fontId="23" fillId="7" borderId="67" applyNumberFormat="0" applyAlignment="0" applyProtection="0"/>
    <xf numFmtId="0" fontId="6" fillId="22" borderId="82">
      <alignment horizontal="right" vertical="center"/>
    </xf>
    <xf numFmtId="0" fontId="28" fillId="0" borderId="75" applyNumberFormat="0" applyFill="0" applyAlignment="0" applyProtection="0"/>
    <xf numFmtId="0" fontId="26" fillId="23" borderId="66" applyNumberFormat="0" applyAlignment="0" applyProtection="0"/>
    <xf numFmtId="0" fontId="16" fillId="23" borderId="67" applyNumberFormat="0" applyAlignment="0" applyProtection="0"/>
    <xf numFmtId="0" fontId="28" fillId="0" borderId="68" applyNumberFormat="0" applyFill="0" applyAlignment="0" applyProtection="0"/>
    <xf numFmtId="0" fontId="23" fillId="7" borderId="67" applyNumberFormat="0" applyAlignment="0" applyProtection="0"/>
    <xf numFmtId="0" fontId="54" fillId="23" borderId="67" applyNumberFormat="0" applyAlignment="0" applyProtection="0"/>
    <xf numFmtId="0" fontId="4" fillId="0" borderId="98" applyNumberFormat="0" applyFill="0" applyAlignment="0" applyProtection="0"/>
    <xf numFmtId="0" fontId="66" fillId="23" borderId="66" applyNumberFormat="0" applyAlignment="0" applyProtection="0"/>
    <xf numFmtId="0" fontId="62" fillId="7" borderId="67" applyNumberFormat="0" applyAlignment="0" applyProtection="0"/>
    <xf numFmtId="0" fontId="16" fillId="23" borderId="67" applyNumberFormat="0" applyAlignment="0" applyProtection="0"/>
    <xf numFmtId="0" fontId="26" fillId="23" borderId="66" applyNumberFormat="0" applyAlignment="0" applyProtection="0"/>
    <xf numFmtId="0" fontId="54" fillId="23" borderId="79" applyNumberFormat="0" applyAlignment="0" applyProtection="0"/>
    <xf numFmtId="4" fontId="6" fillId="22" borderId="98">
      <alignment horizontal="right" vertical="center"/>
    </xf>
    <xf numFmtId="0" fontId="68" fillId="0" borderId="80" applyNumberFormat="0" applyFill="0" applyAlignment="0" applyProtection="0"/>
    <xf numFmtId="0" fontId="7" fillId="28" borderId="81" applyNumberFormat="0" applyFont="0" applyAlignment="0" applyProtection="0"/>
    <xf numFmtId="0" fontId="28" fillId="0" borderId="80" applyNumberFormat="0" applyFill="0" applyAlignment="0" applyProtection="0"/>
    <xf numFmtId="0" fontId="68" fillId="0" borderId="88" applyNumberFormat="0" applyFill="0" applyAlignment="0" applyProtection="0"/>
    <xf numFmtId="0" fontId="23" fillId="7" borderId="95" applyNumberFormat="0" applyAlignment="0" applyProtection="0"/>
    <xf numFmtId="0" fontId="16" fillId="23" borderId="79" applyNumberFormat="0" applyAlignment="0" applyProtection="0"/>
    <xf numFmtId="0" fontId="62" fillId="7" borderId="67" applyNumberFormat="0" applyAlignment="0" applyProtection="0"/>
    <xf numFmtId="0" fontId="23" fillId="7" borderId="67" applyNumberFormat="0" applyAlignment="0" applyProtection="0"/>
    <xf numFmtId="0" fontId="16" fillId="23" borderId="67" applyNumberFormat="0" applyAlignment="0" applyProtection="0"/>
    <xf numFmtId="0" fontId="54" fillId="23" borderId="111" applyNumberFormat="0" applyAlignment="0" applyProtection="0"/>
    <xf numFmtId="0" fontId="62" fillId="7" borderId="87" applyNumberFormat="0" applyAlignment="0" applyProtection="0"/>
    <xf numFmtId="0" fontId="16" fillId="23" borderId="71" applyNumberFormat="0" applyAlignment="0" applyProtection="0"/>
    <xf numFmtId="0" fontId="51" fillId="28" borderId="89" applyNumberFormat="0" applyFont="0" applyAlignment="0" applyProtection="0"/>
    <xf numFmtId="0" fontId="54" fillId="23" borderId="71" applyNumberFormat="0" applyAlignment="0" applyProtection="0"/>
    <xf numFmtId="0" fontId="28" fillId="0" borderId="72" applyNumberFormat="0" applyFill="0" applyAlignment="0" applyProtection="0"/>
    <xf numFmtId="0" fontId="51" fillId="28" borderId="73" applyNumberFormat="0" applyFont="0" applyAlignment="0" applyProtection="0"/>
    <xf numFmtId="4" fontId="4" fillId="0" borderId="90">
      <alignment horizontal="right" vertical="center"/>
    </xf>
    <xf numFmtId="0" fontId="4" fillId="22" borderId="85">
      <alignment horizontal="left" vertical="center" wrapText="1" indent="2"/>
    </xf>
    <xf numFmtId="0" fontId="23" fillId="7" borderId="87" applyNumberFormat="0" applyAlignment="0" applyProtection="0"/>
    <xf numFmtId="0" fontId="28" fillId="0" borderId="72" applyNumberFormat="0" applyFill="0" applyAlignment="0" applyProtection="0"/>
    <xf numFmtId="0" fontId="54" fillId="23" borderId="71" applyNumberFormat="0" applyAlignment="0" applyProtection="0"/>
    <xf numFmtId="0" fontId="51" fillId="28" borderId="81" applyNumberFormat="0" applyFont="0" applyAlignment="0" applyProtection="0"/>
    <xf numFmtId="0" fontId="62" fillId="7" borderId="71" applyNumberFormat="0" applyAlignment="0" applyProtection="0"/>
    <xf numFmtId="0" fontId="62" fillId="7" borderId="71" applyNumberFormat="0" applyAlignment="0" applyProtection="0"/>
    <xf numFmtId="0" fontId="51" fillId="28" borderId="73" applyNumberFormat="0" applyFont="0" applyAlignment="0" applyProtection="0"/>
    <xf numFmtId="0" fontId="66" fillId="23" borderId="70" applyNumberFormat="0" applyAlignment="0" applyProtection="0"/>
    <xf numFmtId="0" fontId="68" fillId="0" borderId="72" applyNumberFormat="0" applyFill="0" applyAlignment="0" applyProtection="0"/>
    <xf numFmtId="0" fontId="6" fillId="22" borderId="90">
      <alignment horizontal="right" vertical="center"/>
    </xf>
    <xf numFmtId="0" fontId="7" fillId="28" borderId="73" applyNumberFormat="0" applyFont="0" applyAlignment="0" applyProtection="0"/>
    <xf numFmtId="0" fontId="62" fillId="7" borderId="74" applyNumberFormat="0" applyAlignment="0" applyProtection="0"/>
    <xf numFmtId="0" fontId="68" fillId="0" borderId="72" applyNumberFormat="0" applyFill="0" applyAlignment="0" applyProtection="0"/>
    <xf numFmtId="0" fontId="51" fillId="28" borderId="81" applyNumberFormat="0" applyFont="0" applyAlignment="0" applyProtection="0"/>
    <xf numFmtId="4" fontId="6" fillId="22" borderId="99">
      <alignment horizontal="right" vertical="center"/>
    </xf>
    <xf numFmtId="0" fontId="62" fillId="7" borderId="79" applyNumberFormat="0" applyAlignment="0" applyProtection="0"/>
    <xf numFmtId="0" fontId="51" fillId="28" borderId="113" applyNumberFormat="0" applyFont="0" applyAlignment="0" applyProtection="0"/>
    <xf numFmtId="0" fontId="62" fillId="7" borderId="79" applyNumberFormat="0" applyAlignment="0" applyProtection="0"/>
    <xf numFmtId="4" fontId="6" fillId="22" borderId="100">
      <alignment horizontal="right" vertical="center"/>
    </xf>
    <xf numFmtId="0" fontId="66" fillId="23" borderId="86" applyNumberFormat="0" applyAlignment="0" applyProtection="0"/>
    <xf numFmtId="0" fontId="54" fillId="23" borderId="71" applyNumberFormat="0" applyAlignment="0" applyProtection="0"/>
    <xf numFmtId="4" fontId="4" fillId="0" borderId="90" applyFill="0" applyBorder="0" applyProtection="0">
      <alignment horizontal="right" vertical="center"/>
    </xf>
    <xf numFmtId="0" fontId="62" fillId="7" borderId="74" applyNumberFormat="0" applyAlignment="0" applyProtection="0"/>
    <xf numFmtId="0" fontId="62" fillId="7" borderId="111" applyNumberFormat="0" applyAlignment="0" applyProtection="0"/>
    <xf numFmtId="0" fontId="62" fillId="7" borderId="71" applyNumberFormat="0" applyAlignment="0" applyProtection="0"/>
    <xf numFmtId="0" fontId="54" fillId="23" borderId="74" applyNumberFormat="0" applyAlignment="0" applyProtection="0"/>
    <xf numFmtId="0" fontId="66" fillId="23" borderId="70" applyNumberFormat="0" applyAlignment="0" applyProtection="0"/>
    <xf numFmtId="4" fontId="6" fillId="22" borderId="98">
      <alignment horizontal="right" vertical="center"/>
    </xf>
    <xf numFmtId="4" fontId="4" fillId="27" borderId="82"/>
    <xf numFmtId="0" fontId="68" fillId="0" borderId="72" applyNumberFormat="0" applyFill="0" applyAlignment="0" applyProtection="0"/>
    <xf numFmtId="0" fontId="7" fillId="28" borderId="73" applyNumberFormat="0" applyFont="0" applyAlignment="0" applyProtection="0"/>
    <xf numFmtId="0" fontId="51" fillId="28" borderId="73" applyNumberFormat="0" applyFont="0" applyAlignment="0" applyProtection="0"/>
    <xf numFmtId="0" fontId="28" fillId="0" borderId="72" applyNumberFormat="0" applyFill="0" applyAlignment="0" applyProtection="0"/>
    <xf numFmtId="0" fontId="68" fillId="0" borderId="72" applyNumberFormat="0" applyFill="0" applyAlignment="0" applyProtection="0"/>
    <xf numFmtId="0" fontId="23" fillId="7" borderId="71" applyNumberFormat="0" applyAlignment="0" applyProtection="0"/>
    <xf numFmtId="0" fontId="54" fillId="23" borderId="71" applyNumberFormat="0" applyAlignment="0" applyProtection="0"/>
    <xf numFmtId="4" fontId="6" fillId="21" borderId="90">
      <alignment horizontal="right" vertical="center"/>
    </xf>
    <xf numFmtId="0" fontId="28" fillId="0" borderId="72" applyNumberFormat="0" applyFill="0" applyAlignment="0" applyProtection="0"/>
    <xf numFmtId="0" fontId="62" fillId="7" borderId="79" applyNumberFormat="0" applyAlignment="0" applyProtection="0"/>
    <xf numFmtId="0" fontId="68" fillId="0" borderId="75" applyNumberFormat="0" applyFill="0" applyAlignment="0" applyProtection="0"/>
    <xf numFmtId="4" fontId="6" fillId="22" borderId="90">
      <alignment horizontal="right" vertical="center"/>
    </xf>
    <xf numFmtId="0" fontId="51" fillId="28" borderId="76" applyNumberFormat="0" applyFont="0" applyAlignment="0" applyProtection="0"/>
    <xf numFmtId="0" fontId="66" fillId="23" borderId="70" applyNumberFormat="0" applyAlignment="0" applyProtection="0"/>
    <xf numFmtId="0" fontId="23" fillId="7" borderId="71" applyNumberFormat="0" applyAlignment="0" applyProtection="0"/>
    <xf numFmtId="0" fontId="66" fillId="23" borderId="78" applyNumberFormat="0" applyAlignment="0" applyProtection="0"/>
    <xf numFmtId="0" fontId="26" fillId="23" borderId="70" applyNumberFormat="0" applyAlignment="0" applyProtection="0"/>
    <xf numFmtId="0" fontId="16" fillId="23" borderId="71" applyNumberFormat="0" applyAlignment="0" applyProtection="0"/>
    <xf numFmtId="0" fontId="28" fillId="0" borderId="72" applyNumberFormat="0" applyFill="0" applyAlignment="0" applyProtection="0"/>
    <xf numFmtId="49" fontId="8" fillId="0" borderId="98" applyNumberFormat="0" applyFill="0" applyBorder="0" applyProtection="0">
      <alignment horizontal="left" vertical="center"/>
    </xf>
    <xf numFmtId="0" fontId="66" fillId="23" borderId="105" applyNumberFormat="0" applyAlignment="0" applyProtection="0"/>
    <xf numFmtId="0" fontId="4" fillId="0" borderId="98">
      <alignment horizontal="right" vertical="center"/>
    </xf>
    <xf numFmtId="0" fontId="4" fillId="22" borderId="85">
      <alignment horizontal="left" vertical="center" wrapText="1" indent="2"/>
    </xf>
    <xf numFmtId="0" fontId="23" fillId="7" borderId="71" applyNumberFormat="0" applyAlignment="0" applyProtection="0"/>
    <xf numFmtId="0" fontId="54" fillId="23" borderId="71" applyNumberFormat="0" applyAlignment="0" applyProtection="0"/>
    <xf numFmtId="0" fontId="68" fillId="0" borderId="80" applyNumberFormat="0" applyFill="0" applyAlignment="0" applyProtection="0"/>
    <xf numFmtId="0" fontId="66" fillId="23" borderId="70" applyNumberFormat="0" applyAlignment="0" applyProtection="0"/>
    <xf numFmtId="0" fontId="62" fillId="7" borderId="71" applyNumberFormat="0" applyAlignment="0" applyProtection="0"/>
    <xf numFmtId="0" fontId="16" fillId="23" borderId="71" applyNumberFormat="0" applyAlignment="0" applyProtection="0"/>
    <xf numFmtId="0" fontId="26" fillId="23" borderId="70" applyNumberFormat="0" applyAlignment="0" applyProtection="0"/>
    <xf numFmtId="4" fontId="6" fillId="22" borderId="83">
      <alignment horizontal="right" vertical="center"/>
    </xf>
    <xf numFmtId="0" fontId="54" fillId="23" borderId="79" applyNumberFormat="0" applyAlignment="0" applyProtection="0"/>
    <xf numFmtId="0" fontId="62" fillId="7" borderId="71" applyNumberFormat="0" applyAlignment="0" applyProtection="0"/>
    <xf numFmtId="0" fontId="23" fillId="7" borderId="71" applyNumberFormat="0" applyAlignment="0" applyProtection="0"/>
    <xf numFmtId="0" fontId="16" fillId="23" borderId="71" applyNumberFormat="0" applyAlignment="0" applyProtection="0"/>
    <xf numFmtId="0" fontId="7" fillId="28" borderId="113" applyNumberFormat="0" applyFont="0" applyAlignment="0" applyProtection="0"/>
    <xf numFmtId="0" fontId="6" fillId="22" borderId="91">
      <alignment horizontal="right" vertical="center"/>
    </xf>
    <xf numFmtId="0" fontId="9" fillId="21" borderId="82">
      <alignment horizontal="right" vertical="center"/>
    </xf>
    <xf numFmtId="0" fontId="54" fillId="23" borderId="74" applyNumberFormat="0" applyAlignment="0" applyProtection="0"/>
    <xf numFmtId="0" fontId="6" fillId="22" borderId="98">
      <alignment horizontal="right" vertical="center"/>
    </xf>
    <xf numFmtId="0" fontId="51" fillId="28" borderId="76" applyNumberFormat="0" applyFont="0" applyAlignment="0" applyProtection="0"/>
    <xf numFmtId="0" fontId="7" fillId="28" borderId="76" applyNumberFormat="0" applyFont="0" applyAlignment="0" applyProtection="0"/>
    <xf numFmtId="0" fontId="66" fillId="23" borderId="77" applyNumberFormat="0" applyAlignment="0" applyProtection="0"/>
    <xf numFmtId="0" fontId="68" fillId="0" borderId="75" applyNumberFormat="0" applyFill="0" applyAlignment="0" applyProtection="0"/>
    <xf numFmtId="0" fontId="68" fillId="0" borderId="75" applyNumberFormat="0" applyFill="0" applyAlignment="0" applyProtection="0"/>
    <xf numFmtId="49" fontId="8" fillId="0" borderId="82" applyNumberFormat="0" applyFill="0" applyBorder="0" applyProtection="0">
      <alignment horizontal="left" vertical="center"/>
    </xf>
    <xf numFmtId="0" fontId="16" fillId="23" borderId="74" applyNumberFormat="0" applyAlignment="0" applyProtection="0"/>
    <xf numFmtId="0" fontId="6" fillId="22" borderId="92">
      <alignment horizontal="right" vertical="center"/>
    </xf>
    <xf numFmtId="0" fontId="54" fillId="23" borderId="74" applyNumberFormat="0" applyAlignment="0" applyProtection="0"/>
    <xf numFmtId="0" fontId="28" fillId="0" borderId="75" applyNumberFormat="0" applyFill="0" applyAlignment="0" applyProtection="0"/>
    <xf numFmtId="0" fontId="51" fillId="28" borderId="76" applyNumberFormat="0" applyFont="0" applyAlignment="0" applyProtection="0"/>
    <xf numFmtId="0" fontId="66" fillId="23" borderId="94" applyNumberFormat="0" applyAlignment="0" applyProtection="0"/>
    <xf numFmtId="0" fontId="28" fillId="0" borderId="75" applyNumberFormat="0" applyFill="0" applyAlignment="0" applyProtection="0"/>
    <xf numFmtId="0" fontId="62" fillId="7" borderId="79" applyNumberFormat="0" applyAlignment="0" applyProtection="0"/>
    <xf numFmtId="0" fontId="68" fillId="0" borderId="107" applyNumberFormat="0" applyFill="0" applyAlignment="0" applyProtection="0"/>
    <xf numFmtId="0" fontId="54" fillId="23" borderId="74" applyNumberFormat="0" applyAlignment="0" applyProtection="0"/>
    <xf numFmtId="0" fontId="62" fillId="7" borderId="74" applyNumberFormat="0" applyAlignment="0" applyProtection="0"/>
    <xf numFmtId="0" fontId="62" fillId="7" borderId="74" applyNumberFormat="0" applyAlignment="0" applyProtection="0"/>
    <xf numFmtId="0" fontId="51" fillId="28" borderId="76" applyNumberFormat="0" applyFont="0" applyAlignment="0" applyProtection="0"/>
    <xf numFmtId="0" fontId="66" fillId="23" borderId="77" applyNumberFormat="0" applyAlignment="0" applyProtection="0"/>
    <xf numFmtId="0" fontId="68" fillId="0" borderId="75" applyNumberFormat="0" applyFill="0" applyAlignment="0" applyProtection="0"/>
    <xf numFmtId="0" fontId="16" fillId="23" borderId="95" applyNumberFormat="0" applyAlignment="0" applyProtection="0"/>
    <xf numFmtId="0" fontId="7" fillId="28" borderId="76" applyNumberFormat="0" applyFont="0" applyAlignment="0" applyProtection="0"/>
    <xf numFmtId="4" fontId="9" fillId="21" borderId="82">
      <alignment horizontal="right" vertical="center"/>
    </xf>
    <xf numFmtId="0" fontId="68" fillId="0" borderId="75" applyNumberFormat="0" applyFill="0" applyAlignment="0" applyProtection="0"/>
    <xf numFmtId="0" fontId="16" fillId="23" borderId="111" applyNumberFormat="0" applyAlignment="0" applyProtection="0"/>
    <xf numFmtId="0" fontId="4" fillId="0" borderId="85">
      <alignment horizontal="left" vertical="center" wrapText="1" indent="2"/>
    </xf>
    <xf numFmtId="4" fontId="6" fillId="22" borderId="90">
      <alignment horizontal="right" vertical="center"/>
    </xf>
    <xf numFmtId="0" fontId="66" fillId="23" borderId="105" applyNumberFormat="0" applyAlignment="0" applyProtection="0"/>
    <xf numFmtId="0" fontId="4" fillId="0" borderId="93">
      <alignment horizontal="left" vertical="center" wrapText="1" indent="2"/>
    </xf>
    <xf numFmtId="0" fontId="54" fillId="23" borderId="74" applyNumberFormat="0" applyAlignment="0" applyProtection="0"/>
    <xf numFmtId="0" fontId="62" fillId="7" borderId="74" applyNumberFormat="0" applyAlignment="0" applyProtection="0"/>
    <xf numFmtId="4" fontId="6" fillId="21" borderId="82">
      <alignment horizontal="right" vertical="center"/>
    </xf>
    <xf numFmtId="0" fontId="66" fillId="23" borderId="77" applyNumberFormat="0" applyAlignment="0" applyProtection="0"/>
    <xf numFmtId="0" fontId="68" fillId="0" borderId="75" applyNumberFormat="0" applyFill="0" applyAlignment="0" applyProtection="0"/>
    <xf numFmtId="0" fontId="7" fillId="28" borderId="76" applyNumberFormat="0" applyFont="0" applyAlignment="0" applyProtection="0"/>
    <xf numFmtId="0" fontId="51" fillId="28" borderId="76" applyNumberFormat="0" applyFont="0" applyAlignment="0" applyProtection="0"/>
    <xf numFmtId="0" fontId="28" fillId="0" borderId="75" applyNumberFormat="0" applyFill="0" applyAlignment="0" applyProtection="0"/>
    <xf numFmtId="0" fontId="68" fillId="0" borderId="75" applyNumberFormat="0" applyFill="0" applyAlignment="0" applyProtection="0"/>
    <xf numFmtId="0" fontId="23" fillId="7" borderId="74" applyNumberFormat="0" applyAlignment="0" applyProtection="0"/>
    <xf numFmtId="0" fontId="54" fillId="23" borderId="74" applyNumberFormat="0" applyAlignment="0" applyProtection="0"/>
    <xf numFmtId="0" fontId="28" fillId="0" borderId="75" applyNumberFormat="0" applyFill="0" applyAlignment="0" applyProtection="0"/>
    <xf numFmtId="0" fontId="4" fillId="22" borderId="85">
      <alignment horizontal="left" vertical="center" wrapText="1" indent="2"/>
    </xf>
    <xf numFmtId="178" fontId="4" fillId="29" borderId="82" applyNumberFormat="0" applyFont="0" applyBorder="0" applyAlignment="0" applyProtection="0">
      <alignment horizontal="right" vertical="center"/>
    </xf>
    <xf numFmtId="49" fontId="8" fillId="0" borderId="82" applyNumberFormat="0" applyFill="0" applyBorder="0" applyProtection="0">
      <alignment horizontal="left" vertical="center"/>
    </xf>
    <xf numFmtId="0" fontId="26" fillId="23" borderId="86" applyNumberFormat="0" applyAlignment="0" applyProtection="0"/>
    <xf numFmtId="178" fontId="4" fillId="29" borderId="98" applyNumberFormat="0" applyFont="0" applyBorder="0" applyAlignment="0" applyProtection="0">
      <alignment horizontal="right" vertical="center"/>
    </xf>
    <xf numFmtId="4" fontId="6" fillId="22" borderId="82">
      <alignment horizontal="right" vertical="center"/>
    </xf>
    <xf numFmtId="0" fontId="4" fillId="27" borderId="98"/>
    <xf numFmtId="0" fontId="66" fillId="23" borderId="77" applyNumberFormat="0" applyAlignment="0" applyProtection="0"/>
    <xf numFmtId="0" fontId="23" fillId="7" borderId="74" applyNumberFormat="0" applyAlignment="0" applyProtection="0"/>
    <xf numFmtId="0" fontId="68" fillId="0" borderId="112" applyNumberFormat="0" applyFill="0" applyAlignment="0" applyProtection="0"/>
    <xf numFmtId="0" fontId="16" fillId="23" borderId="79" applyNumberFormat="0" applyAlignment="0" applyProtection="0"/>
    <xf numFmtId="0" fontId="26" fillId="23" borderId="77" applyNumberFormat="0" applyAlignment="0" applyProtection="0"/>
    <xf numFmtId="0" fontId="16" fillId="23" borderId="74" applyNumberFormat="0" applyAlignment="0" applyProtection="0"/>
    <xf numFmtId="0" fontId="28" fillId="0" borderId="75" applyNumberFormat="0" applyFill="0" applyAlignment="0" applyProtection="0"/>
    <xf numFmtId="0" fontId="28" fillId="0" borderId="112" applyNumberFormat="0" applyFill="0" applyAlignment="0" applyProtection="0"/>
    <xf numFmtId="0" fontId="23" fillId="7" borderId="74" applyNumberFormat="0" applyAlignment="0" applyProtection="0"/>
    <xf numFmtId="0" fontId="54" fillId="23" borderId="74" applyNumberFormat="0" applyAlignment="0" applyProtection="0"/>
    <xf numFmtId="0" fontId="62" fillId="7" borderId="95" applyNumberFormat="0" applyAlignment="0" applyProtection="0"/>
    <xf numFmtId="0" fontId="66" fillId="23" borderId="94" applyNumberFormat="0" applyAlignment="0" applyProtection="0"/>
    <xf numFmtId="0" fontId="66" fillId="23" borderId="77" applyNumberFormat="0" applyAlignment="0" applyProtection="0"/>
    <xf numFmtId="0" fontId="62" fillId="7" borderId="74" applyNumberFormat="0" applyAlignment="0" applyProtection="0"/>
    <xf numFmtId="0" fontId="16" fillId="23" borderId="74" applyNumberFormat="0" applyAlignment="0" applyProtection="0"/>
    <xf numFmtId="0" fontId="26" fillId="23" borderId="77" applyNumberFormat="0" applyAlignment="0" applyProtection="0"/>
    <xf numFmtId="0" fontId="54" fillId="23" borderId="111" applyNumberFormat="0" applyAlignment="0" applyProtection="0"/>
    <xf numFmtId="0" fontId="4" fillId="21" borderId="83">
      <alignment horizontal="left" vertical="center"/>
    </xf>
    <xf numFmtId="0" fontId="62" fillId="7" borderId="79" applyNumberFormat="0" applyAlignment="0" applyProtection="0"/>
    <xf numFmtId="0" fontId="62" fillId="7" borderId="74" applyNumberFormat="0" applyAlignment="0" applyProtection="0"/>
    <xf numFmtId="0" fontId="23" fillId="7" borderId="74" applyNumberFormat="0" applyAlignment="0" applyProtection="0"/>
    <xf numFmtId="0" fontId="16" fillId="23" borderId="74" applyNumberFormat="0" applyAlignment="0" applyProtection="0"/>
    <xf numFmtId="0" fontId="62" fillId="7" borderId="95" applyNumberFormat="0" applyAlignment="0" applyProtection="0"/>
    <xf numFmtId="0" fontId="66" fillId="23" borderId="86" applyNumberFormat="0" applyAlignment="0" applyProtection="0"/>
    <xf numFmtId="0" fontId="6" fillId="22" borderId="82">
      <alignment horizontal="right" vertical="center"/>
    </xf>
    <xf numFmtId="4" fontId="9" fillId="21" borderId="82">
      <alignment horizontal="right" vertical="center"/>
    </xf>
    <xf numFmtId="0" fontId="6" fillId="21" borderId="82">
      <alignment horizontal="right" vertical="center"/>
    </xf>
    <xf numFmtId="4" fontId="6" fillId="21" borderId="82">
      <alignment horizontal="right" vertical="center"/>
    </xf>
    <xf numFmtId="0" fontId="9" fillId="21" borderId="82">
      <alignment horizontal="right" vertical="center"/>
    </xf>
    <xf numFmtId="4" fontId="9" fillId="21" borderId="82">
      <alignment horizontal="right" vertical="center"/>
    </xf>
    <xf numFmtId="0" fontId="6" fillId="22" borderId="82">
      <alignment horizontal="right" vertical="center"/>
    </xf>
    <xf numFmtId="4" fontId="6" fillId="22" borderId="82">
      <alignment horizontal="right" vertical="center"/>
    </xf>
    <xf numFmtId="0" fontId="6" fillId="22" borderId="82">
      <alignment horizontal="right" vertical="center"/>
    </xf>
    <xf numFmtId="4" fontId="6" fillId="22" borderId="82">
      <alignment horizontal="right" vertical="center"/>
    </xf>
    <xf numFmtId="0" fontId="6" fillId="22" borderId="83">
      <alignment horizontal="right" vertical="center"/>
    </xf>
    <xf numFmtId="4" fontId="6" fillId="22" borderId="83">
      <alignment horizontal="right" vertical="center"/>
    </xf>
    <xf numFmtId="0" fontId="6" fillId="22" borderId="84">
      <alignment horizontal="right" vertical="center"/>
    </xf>
    <xf numFmtId="4" fontId="6" fillId="22" borderId="84">
      <alignment horizontal="right" vertical="center"/>
    </xf>
    <xf numFmtId="0" fontId="54" fillId="23" borderId="79" applyNumberFormat="0" applyAlignment="0" applyProtection="0"/>
    <xf numFmtId="0" fontId="4" fillId="22" borderId="85">
      <alignment horizontal="left" vertical="center" wrapText="1" indent="2"/>
    </xf>
    <xf numFmtId="0" fontId="4" fillId="0" borderId="85">
      <alignment horizontal="left" vertical="center" wrapText="1" indent="2"/>
    </xf>
    <xf numFmtId="0" fontId="4" fillId="21" borderId="83">
      <alignment horizontal="left" vertical="center"/>
    </xf>
    <xf numFmtId="0" fontId="62" fillId="7" borderId="79" applyNumberFormat="0" applyAlignment="0" applyProtection="0"/>
    <xf numFmtId="0" fontId="4" fillId="0" borderId="82">
      <alignment horizontal="right" vertical="center"/>
    </xf>
    <xf numFmtId="4" fontId="4" fillId="0" borderId="82">
      <alignment horizontal="right" vertical="center"/>
    </xf>
    <xf numFmtId="0" fontId="4" fillId="0" borderId="82" applyNumberFormat="0" applyFill="0" applyAlignment="0" applyProtection="0"/>
    <xf numFmtId="0" fontId="66" fillId="23" borderId="78" applyNumberFormat="0" applyAlignment="0" applyProtection="0"/>
    <xf numFmtId="178" fontId="4" fillId="29" borderId="82" applyNumberFormat="0" applyFont="0" applyBorder="0" applyAlignment="0" applyProtection="0">
      <alignment horizontal="right" vertical="center"/>
    </xf>
    <xf numFmtId="0" fontId="4" fillId="27" borderId="82"/>
    <xf numFmtId="4" fontId="4" fillId="27" borderId="82"/>
    <xf numFmtId="0" fontId="68" fillId="0" borderId="80" applyNumberFormat="0" applyFill="0" applyAlignment="0" applyProtection="0"/>
    <xf numFmtId="0" fontId="7" fillId="28" borderId="81" applyNumberFormat="0" applyFont="0" applyAlignment="0" applyProtection="0"/>
    <xf numFmtId="0" fontId="51" fillId="28" borderId="81" applyNumberFormat="0" applyFont="0" applyAlignment="0" applyProtection="0"/>
    <xf numFmtId="0" fontId="4" fillId="0" borderId="82" applyNumberFormat="0" applyFill="0" applyAlignment="0" applyProtection="0"/>
    <xf numFmtId="0" fontId="28" fillId="0" borderId="80" applyNumberFormat="0" applyFill="0" applyAlignment="0" applyProtection="0"/>
    <xf numFmtId="0" fontId="68" fillId="0" borderId="80" applyNumberFormat="0" applyFill="0" applyAlignment="0" applyProtection="0"/>
    <xf numFmtId="0" fontId="23" fillId="7" borderId="79" applyNumberFormat="0" applyAlignment="0" applyProtection="0"/>
    <xf numFmtId="0" fontId="54" fillId="23" borderId="79" applyNumberFormat="0" applyAlignment="0" applyProtection="0"/>
    <xf numFmtId="4" fontId="9" fillId="21" borderId="82">
      <alignment horizontal="right" vertical="center"/>
    </xf>
    <xf numFmtId="0" fontId="6" fillId="21" borderId="82">
      <alignment horizontal="right" vertical="center"/>
    </xf>
    <xf numFmtId="178" fontId="4" fillId="29" borderId="82" applyNumberFormat="0" applyFont="0" applyBorder="0" applyAlignment="0" applyProtection="0">
      <alignment horizontal="right" vertical="center"/>
    </xf>
    <xf numFmtId="0" fontId="28" fillId="0" borderId="80" applyNumberFormat="0" applyFill="0" applyAlignment="0" applyProtection="0"/>
    <xf numFmtId="49" fontId="4" fillId="0" borderId="82" applyNumberFormat="0" applyFont="0" applyFill="0" applyBorder="0" applyProtection="0">
      <alignment horizontal="left" vertical="center" indent="2"/>
    </xf>
    <xf numFmtId="49" fontId="4" fillId="0" borderId="83" applyNumberFormat="0" applyFont="0" applyFill="0" applyBorder="0" applyProtection="0">
      <alignment horizontal="left" vertical="center" indent="5"/>
    </xf>
    <xf numFmtId="49" fontId="4" fillId="0" borderId="82" applyNumberFormat="0" applyFont="0" applyFill="0" applyBorder="0" applyProtection="0">
      <alignment horizontal="left" vertical="center" indent="2"/>
    </xf>
    <xf numFmtId="4" fontId="4" fillId="0" borderId="82" applyFill="0" applyBorder="0" applyProtection="0">
      <alignment horizontal="right" vertical="center"/>
    </xf>
    <xf numFmtId="49" fontId="8" fillId="0" borderId="82" applyNumberFormat="0" applyFill="0" applyBorder="0" applyProtection="0">
      <alignment horizontal="left" vertical="center"/>
    </xf>
    <xf numFmtId="0" fontId="4" fillId="0" borderId="85">
      <alignment horizontal="left" vertical="center" wrapText="1" indent="2"/>
    </xf>
    <xf numFmtId="0" fontId="66" fillId="23" borderId="78" applyNumberFormat="0" applyAlignment="0" applyProtection="0"/>
    <xf numFmtId="0" fontId="6" fillId="22" borderId="84">
      <alignment horizontal="right" vertical="center"/>
    </xf>
    <xf numFmtId="0" fontId="23" fillId="7" borderId="79" applyNumberFormat="0" applyAlignment="0" applyProtection="0"/>
    <xf numFmtId="0" fontId="6" fillId="22" borderId="84">
      <alignment horizontal="right" vertical="center"/>
    </xf>
    <xf numFmtId="4" fontId="6" fillId="22" borderId="82">
      <alignment horizontal="right" vertical="center"/>
    </xf>
    <xf numFmtId="0" fontId="6" fillId="22" borderId="82">
      <alignment horizontal="right" vertical="center"/>
    </xf>
    <xf numFmtId="0" fontId="26" fillId="23" borderId="78" applyNumberFormat="0" applyAlignment="0" applyProtection="0"/>
    <xf numFmtId="0" fontId="16" fillId="23" borderId="79" applyNumberFormat="0" applyAlignment="0" applyProtection="0"/>
    <xf numFmtId="0" fontId="28" fillId="0" borderId="80" applyNumberFormat="0" applyFill="0" applyAlignment="0" applyProtection="0"/>
    <xf numFmtId="0" fontId="4" fillId="27" borderId="82"/>
    <xf numFmtId="4" fontId="4" fillId="27" borderId="82"/>
    <xf numFmtId="4" fontId="6" fillId="22" borderId="82">
      <alignment horizontal="right" vertical="center"/>
    </xf>
    <xf numFmtId="0" fontId="9" fillId="21" borderId="82">
      <alignment horizontal="right" vertical="center"/>
    </xf>
    <xf numFmtId="0" fontId="23" fillId="7" borderId="79" applyNumberFormat="0" applyAlignment="0" applyProtection="0"/>
    <xf numFmtId="0" fontId="54" fillId="23" borderId="79" applyNumberFormat="0" applyAlignment="0" applyProtection="0"/>
    <xf numFmtId="4" fontId="4" fillId="0" borderId="82">
      <alignment horizontal="right" vertical="center"/>
    </xf>
    <xf numFmtId="0" fontId="4" fillId="22" borderId="85">
      <alignment horizontal="left" vertical="center" wrapText="1" indent="2"/>
    </xf>
    <xf numFmtId="0" fontId="4" fillId="0" borderId="85">
      <alignment horizontal="left" vertical="center" wrapText="1" indent="2"/>
    </xf>
    <xf numFmtId="0" fontId="66" fillId="23" borderId="78" applyNumberFormat="0" applyAlignment="0" applyProtection="0"/>
    <xf numFmtId="0" fontId="62" fillId="7" borderId="79" applyNumberFormat="0" applyAlignment="0" applyProtection="0"/>
    <xf numFmtId="0" fontId="16" fillId="23" borderId="79" applyNumberFormat="0" applyAlignment="0" applyProtection="0"/>
    <xf numFmtId="0" fontId="26" fillId="23" borderId="78" applyNumberFormat="0" applyAlignment="0" applyProtection="0"/>
    <xf numFmtId="0" fontId="6" fillId="22" borderId="84">
      <alignment horizontal="right" vertical="center"/>
    </xf>
    <xf numFmtId="0" fontId="9" fillId="21" borderId="82">
      <alignment horizontal="right" vertical="center"/>
    </xf>
    <xf numFmtId="4" fontId="6" fillId="21" borderId="82">
      <alignment horizontal="right" vertical="center"/>
    </xf>
    <xf numFmtId="4" fontId="6" fillId="22" borderId="82">
      <alignment horizontal="right" vertical="center"/>
    </xf>
    <xf numFmtId="49" fontId="4" fillId="0" borderId="83" applyNumberFormat="0" applyFont="0" applyFill="0" applyBorder="0" applyProtection="0">
      <alignment horizontal="left" vertical="center" indent="5"/>
    </xf>
    <xf numFmtId="4" fontId="4" fillId="0" borderId="82" applyFill="0" applyBorder="0" applyProtection="0">
      <alignment horizontal="right" vertical="center"/>
    </xf>
    <xf numFmtId="4" fontId="6" fillId="21" borderId="82">
      <alignment horizontal="right" vertical="center"/>
    </xf>
    <xf numFmtId="0" fontId="62" fillId="7" borderId="79" applyNumberFormat="0" applyAlignment="0" applyProtection="0"/>
    <xf numFmtId="0" fontId="23" fillId="7" borderId="79" applyNumberFormat="0" applyAlignment="0" applyProtection="0"/>
    <xf numFmtId="0" fontId="16" fillId="23" borderId="79" applyNumberFormat="0" applyAlignment="0" applyProtection="0"/>
    <xf numFmtId="0" fontId="4" fillId="22" borderId="85">
      <alignment horizontal="left" vertical="center" wrapText="1" indent="2"/>
    </xf>
    <xf numFmtId="0" fontId="4" fillId="0" borderId="85">
      <alignment horizontal="left" vertical="center" wrapText="1" indent="2"/>
    </xf>
    <xf numFmtId="0" fontId="4" fillId="22" borderId="85">
      <alignment horizontal="left" vertical="center" wrapText="1" indent="2"/>
    </xf>
    <xf numFmtId="0" fontId="4" fillId="0" borderId="85">
      <alignment horizontal="left" vertical="center" wrapText="1" indent="2"/>
    </xf>
    <xf numFmtId="0" fontId="28" fillId="0" borderId="96" applyNumberFormat="0" applyFill="0" applyAlignment="0" applyProtection="0"/>
    <xf numFmtId="0" fontId="62" fillId="7" borderId="95" applyNumberFormat="0" applyAlignment="0" applyProtection="0"/>
    <xf numFmtId="0" fontId="62" fillId="7" borderId="106" applyNumberFormat="0" applyAlignment="0" applyProtection="0"/>
    <xf numFmtId="0" fontId="68" fillId="0" borderId="107" applyNumberFormat="0" applyFill="0" applyAlignment="0" applyProtection="0"/>
    <xf numFmtId="0" fontId="54" fillId="23" borderId="111" applyNumberFormat="0" applyAlignment="0" applyProtection="0"/>
    <xf numFmtId="0" fontId="54" fillId="23" borderId="106" applyNumberFormat="0" applyAlignment="0" applyProtection="0"/>
    <xf numFmtId="0" fontId="54" fillId="23" borderId="95" applyNumberFormat="0" applyAlignment="0" applyProtection="0"/>
    <xf numFmtId="0" fontId="26" fillId="23" borderId="94" applyNumberFormat="0" applyAlignment="0" applyProtection="0"/>
    <xf numFmtId="0" fontId="68" fillId="0" borderId="112" applyNumberFormat="0" applyFill="0" applyAlignment="0" applyProtection="0"/>
    <xf numFmtId="0" fontId="66" fillId="23" borderId="110" applyNumberFormat="0" applyAlignment="0" applyProtection="0"/>
    <xf numFmtId="49" fontId="4" fillId="0" borderId="99" applyNumberFormat="0" applyFont="0" applyFill="0" applyBorder="0" applyProtection="0">
      <alignment horizontal="left" vertical="center" indent="5"/>
    </xf>
    <xf numFmtId="0" fontId="28" fillId="0" borderId="107" applyNumberFormat="0" applyFill="0" applyAlignment="0" applyProtection="0"/>
    <xf numFmtId="0" fontId="62" fillId="7" borderId="111" applyNumberFormat="0" applyAlignment="0" applyProtection="0"/>
    <xf numFmtId="4" fontId="6" fillId="22" borderId="90">
      <alignment horizontal="right" vertical="center"/>
    </xf>
    <xf numFmtId="0" fontId="4" fillId="27" borderId="90"/>
    <xf numFmtId="0" fontId="16" fillId="23" borderId="87" applyNumberFormat="0" applyAlignment="0" applyProtection="0"/>
    <xf numFmtId="0" fontId="6" fillId="21" borderId="90">
      <alignment horizontal="right" vertical="center"/>
    </xf>
    <xf numFmtId="0" fontId="4" fillId="0" borderId="90">
      <alignment horizontal="right" vertical="center"/>
    </xf>
    <xf numFmtId="0" fontId="68" fillId="0" borderId="88" applyNumberFormat="0" applyFill="0" applyAlignment="0" applyProtection="0"/>
    <xf numFmtId="0" fontId="4" fillId="21" borderId="91">
      <alignment horizontal="left" vertical="center"/>
    </xf>
    <xf numFmtId="0" fontId="62" fillId="7" borderId="87" applyNumberFormat="0" applyAlignment="0" applyProtection="0"/>
    <xf numFmtId="178" fontId="4" fillId="29" borderId="90" applyNumberFormat="0" applyFont="0" applyBorder="0" applyAlignment="0" applyProtection="0">
      <alignment horizontal="right" vertical="center"/>
    </xf>
    <xf numFmtId="0" fontId="51" fillId="28" borderId="89" applyNumberFormat="0" applyFont="0" applyAlignment="0" applyProtection="0"/>
    <xf numFmtId="0" fontId="4" fillId="0" borderId="93">
      <alignment horizontal="left" vertical="center" wrapText="1" indent="2"/>
    </xf>
    <xf numFmtId="4" fontId="4" fillId="27" borderId="90"/>
    <xf numFmtId="49" fontId="8" fillId="0" borderId="90" applyNumberFormat="0" applyFill="0" applyBorder="0" applyProtection="0">
      <alignment horizontal="left" vertical="center"/>
    </xf>
    <xf numFmtId="0" fontId="4" fillId="0" borderId="90">
      <alignment horizontal="right" vertical="center"/>
    </xf>
    <xf numFmtId="4" fontId="6" fillId="22" borderId="92">
      <alignment horizontal="right" vertical="center"/>
    </xf>
    <xf numFmtId="4" fontId="6" fillId="22" borderId="90">
      <alignment horizontal="right" vertical="center"/>
    </xf>
    <xf numFmtId="4" fontId="6" fillId="22" borderId="90">
      <alignment horizontal="right" vertical="center"/>
    </xf>
    <xf numFmtId="0" fontId="9" fillId="21" borderId="90">
      <alignment horizontal="right" vertical="center"/>
    </xf>
    <xf numFmtId="0" fontId="6" fillId="21" borderId="90">
      <alignment horizontal="right" vertical="center"/>
    </xf>
    <xf numFmtId="49" fontId="4" fillId="0" borderId="90" applyNumberFormat="0" applyFont="0" applyFill="0" applyBorder="0" applyProtection="0">
      <alignment horizontal="left" vertical="center" indent="2"/>
    </xf>
    <xf numFmtId="0" fontId="62" fillId="7" borderId="87" applyNumberFormat="0" applyAlignment="0" applyProtection="0"/>
    <xf numFmtId="0" fontId="26" fillId="23" borderId="86" applyNumberFormat="0" applyAlignment="0" applyProtection="0"/>
    <xf numFmtId="49" fontId="4" fillId="0" borderId="90" applyNumberFormat="0" applyFont="0" applyFill="0" applyBorder="0" applyProtection="0">
      <alignment horizontal="left" vertical="center" indent="2"/>
    </xf>
    <xf numFmtId="0" fontId="23" fillId="7" borderId="87" applyNumberFormat="0" applyAlignment="0" applyProtection="0"/>
    <xf numFmtId="4" fontId="4" fillId="0" borderId="90" applyFill="0" applyBorder="0" applyProtection="0">
      <alignment horizontal="right" vertical="center"/>
    </xf>
    <xf numFmtId="0" fontId="54" fillId="23" borderId="87" applyNumberFormat="0" applyAlignment="0" applyProtection="0"/>
    <xf numFmtId="0" fontId="68" fillId="0" borderId="88" applyNumberFormat="0" applyFill="0" applyAlignment="0" applyProtection="0"/>
    <xf numFmtId="0" fontId="66" fillId="23" borderId="86" applyNumberFormat="0" applyAlignment="0" applyProtection="0"/>
    <xf numFmtId="0" fontId="4" fillId="0" borderId="90" applyNumberFormat="0" applyFill="0" applyAlignment="0" applyProtection="0"/>
    <xf numFmtId="4" fontId="4" fillId="0" borderId="90">
      <alignment horizontal="right" vertical="center"/>
    </xf>
    <xf numFmtId="0" fontId="4" fillId="0" borderId="90">
      <alignment horizontal="right" vertical="center"/>
    </xf>
    <xf numFmtId="0" fontId="62" fillId="7" borderId="87" applyNumberFormat="0" applyAlignment="0" applyProtection="0"/>
    <xf numFmtId="0" fontId="26" fillId="23" borderId="86" applyNumberFormat="0" applyAlignment="0" applyProtection="0"/>
    <xf numFmtId="0" fontId="16" fillId="23" borderId="87" applyNumberFormat="0" applyAlignment="0" applyProtection="0"/>
    <xf numFmtId="0" fontId="4" fillId="22" borderId="93">
      <alignment horizontal="left" vertical="center" wrapText="1" indent="2"/>
    </xf>
    <xf numFmtId="0" fontId="54" fillId="23" borderId="87" applyNumberFormat="0" applyAlignment="0" applyProtection="0"/>
    <xf numFmtId="0" fontId="54" fillId="23" borderId="87" applyNumberFormat="0" applyAlignment="0" applyProtection="0"/>
    <xf numFmtId="4" fontId="6" fillId="22" borderId="91">
      <alignment horizontal="right" vertical="center"/>
    </xf>
    <xf numFmtId="0" fontId="6" fillId="22" borderId="91">
      <alignment horizontal="right" vertical="center"/>
    </xf>
    <xf numFmtId="0" fontId="6" fillId="22" borderId="90">
      <alignment horizontal="right" vertical="center"/>
    </xf>
    <xf numFmtId="4" fontId="9" fillId="21" borderId="90">
      <alignment horizontal="right" vertical="center"/>
    </xf>
    <xf numFmtId="0" fontId="23" fillId="7" borderId="87" applyNumberFormat="0" applyAlignment="0" applyProtection="0"/>
    <xf numFmtId="0" fontId="28" fillId="0" borderId="88" applyNumberFormat="0" applyFill="0" applyAlignment="0" applyProtection="0"/>
    <xf numFmtId="0" fontId="68" fillId="0" borderId="88" applyNumberFormat="0" applyFill="0" applyAlignment="0" applyProtection="0"/>
    <xf numFmtId="0" fontId="51" fillId="28" borderId="89" applyNumberFormat="0" applyFont="0" applyAlignment="0" applyProtection="0"/>
    <xf numFmtId="0" fontId="62" fillId="7" borderId="87" applyNumberFormat="0" applyAlignment="0" applyProtection="0"/>
    <xf numFmtId="49" fontId="8" fillId="0" borderId="90" applyNumberFormat="0" applyFill="0" applyBorder="0" applyProtection="0">
      <alignment horizontal="left" vertical="center"/>
    </xf>
    <xf numFmtId="0" fontId="4" fillId="22" borderId="93">
      <alignment horizontal="left" vertical="center" wrapText="1" indent="2"/>
    </xf>
    <xf numFmtId="0" fontId="54" fillId="23" borderId="87" applyNumberFormat="0" applyAlignment="0" applyProtection="0"/>
    <xf numFmtId="0" fontId="4" fillId="0" borderId="93">
      <alignment horizontal="left" vertical="center" wrapText="1" indent="2"/>
    </xf>
    <xf numFmtId="0" fontId="51" fillId="28" borderId="89" applyNumberFormat="0" applyFont="0" applyAlignment="0" applyProtection="0"/>
    <xf numFmtId="0" fontId="7" fillId="28" borderId="89" applyNumberFormat="0" applyFont="0" applyAlignment="0" applyProtection="0"/>
    <xf numFmtId="0" fontId="66" fillId="23" borderId="86" applyNumberFormat="0" applyAlignment="0" applyProtection="0"/>
    <xf numFmtId="0" fontId="68" fillId="0" borderId="88" applyNumberFormat="0" applyFill="0" applyAlignment="0" applyProtection="0"/>
    <xf numFmtId="4" fontId="4" fillId="27" borderId="90"/>
    <xf numFmtId="0" fontId="6" fillId="22" borderId="90">
      <alignment horizontal="right" vertical="center"/>
    </xf>
    <xf numFmtId="0" fontId="68" fillId="0" borderId="88" applyNumberFormat="0" applyFill="0" applyAlignment="0" applyProtection="0"/>
    <xf numFmtId="4" fontId="6" fillId="22" borderId="92">
      <alignment horizontal="right" vertical="center"/>
    </xf>
    <xf numFmtId="0" fontId="16" fillId="23" borderId="87" applyNumberFormat="0" applyAlignment="0" applyProtection="0"/>
    <xf numFmtId="0" fontId="6" fillId="22" borderId="91">
      <alignment horizontal="right" vertical="center"/>
    </xf>
    <xf numFmtId="0" fontId="54" fillId="23" borderId="87" applyNumberFormat="0" applyAlignment="0" applyProtection="0"/>
    <xf numFmtId="0" fontId="28" fillId="0" borderId="88" applyNumberFormat="0" applyFill="0" applyAlignment="0" applyProtection="0"/>
    <xf numFmtId="0" fontId="51" fillId="28" borderId="89" applyNumberFormat="0" applyFont="0" applyAlignment="0" applyProtection="0"/>
    <xf numFmtId="4" fontId="6" fillId="22" borderId="91">
      <alignment horizontal="right" vertical="center"/>
    </xf>
    <xf numFmtId="0" fontId="4" fillId="22" borderId="93">
      <alignment horizontal="left" vertical="center" wrapText="1" indent="2"/>
    </xf>
    <xf numFmtId="0" fontId="4" fillId="27" borderId="90"/>
    <xf numFmtId="178" fontId="4" fillId="29" borderId="90" applyNumberFormat="0" applyFont="0" applyBorder="0" applyAlignment="0" applyProtection="0">
      <alignment horizontal="right" vertical="center"/>
    </xf>
    <xf numFmtId="0" fontId="4" fillId="0" borderId="90" applyNumberFormat="0" applyFill="0" applyAlignment="0" applyProtection="0"/>
    <xf numFmtId="4" fontId="4" fillId="0" borderId="90" applyFill="0" applyBorder="0" applyProtection="0">
      <alignment horizontal="right" vertical="center"/>
    </xf>
    <xf numFmtId="4" fontId="6" fillId="21" borderId="90">
      <alignment horizontal="right" vertical="center"/>
    </xf>
    <xf numFmtId="0" fontId="28" fillId="0" borderId="88" applyNumberFormat="0" applyFill="0" applyAlignment="0" applyProtection="0"/>
    <xf numFmtId="49" fontId="8" fillId="0" borderId="90" applyNumberFormat="0" applyFill="0" applyBorder="0" applyProtection="0">
      <alignment horizontal="left" vertical="center"/>
    </xf>
    <xf numFmtId="49" fontId="4" fillId="0" borderId="91" applyNumberFormat="0" applyFont="0" applyFill="0" applyBorder="0" applyProtection="0">
      <alignment horizontal="left" vertical="center" indent="5"/>
    </xf>
    <xf numFmtId="0" fontId="4" fillId="21" borderId="91">
      <alignment horizontal="left" vertical="center"/>
    </xf>
    <xf numFmtId="0" fontId="54" fillId="23" borderId="87" applyNumberFormat="0" applyAlignment="0" applyProtection="0"/>
    <xf numFmtId="4" fontId="6" fillId="22" borderId="92">
      <alignment horizontal="right" vertical="center"/>
    </xf>
    <xf numFmtId="0" fontId="62" fillId="7" borderId="87" applyNumberFormat="0" applyAlignment="0" applyProtection="0"/>
    <xf numFmtId="0" fontId="62" fillId="7" borderId="87" applyNumberFormat="0" applyAlignment="0" applyProtection="0"/>
    <xf numFmtId="0" fontId="51" fillId="28" borderId="89" applyNumberFormat="0" applyFont="0" applyAlignment="0" applyProtection="0"/>
    <xf numFmtId="0" fontId="66" fillId="23" borderId="86" applyNumberFormat="0" applyAlignment="0" applyProtection="0"/>
    <xf numFmtId="0" fontId="68" fillId="0" borderId="88" applyNumberFormat="0" applyFill="0" applyAlignment="0" applyProtection="0"/>
    <xf numFmtId="0" fontId="6" fillId="22" borderId="90">
      <alignment horizontal="right" vertical="center"/>
    </xf>
    <xf numFmtId="0" fontId="7" fillId="28" borderId="89" applyNumberFormat="0" applyFont="0" applyAlignment="0" applyProtection="0"/>
    <xf numFmtId="4" fontId="4" fillId="0" borderId="90">
      <alignment horizontal="right" vertical="center"/>
    </xf>
    <xf numFmtId="0" fontId="68" fillId="0" borderId="88" applyNumberFormat="0" applyFill="0" applyAlignment="0" applyProtection="0"/>
    <xf numFmtId="0" fontId="6" fillId="22" borderId="90">
      <alignment horizontal="right" vertical="center"/>
    </xf>
    <xf numFmtId="0" fontId="6" fillId="22" borderId="90">
      <alignment horizontal="right" vertical="center"/>
    </xf>
    <xf numFmtId="4" fontId="9" fillId="21" borderId="90">
      <alignment horizontal="right" vertical="center"/>
    </xf>
    <xf numFmtId="0" fontId="6" fillId="21" borderId="90">
      <alignment horizontal="right" vertical="center"/>
    </xf>
    <xf numFmtId="4" fontId="6" fillId="21" borderId="90">
      <alignment horizontal="right" vertical="center"/>
    </xf>
    <xf numFmtId="0" fontId="9" fillId="21" borderId="90">
      <alignment horizontal="right" vertical="center"/>
    </xf>
    <xf numFmtId="4" fontId="9" fillId="21" borderId="90">
      <alignment horizontal="right" vertical="center"/>
    </xf>
    <xf numFmtId="0" fontId="6" fillId="22" borderId="90">
      <alignment horizontal="right" vertical="center"/>
    </xf>
    <xf numFmtId="4" fontId="6" fillId="22" borderId="90">
      <alignment horizontal="right" vertical="center"/>
    </xf>
    <xf numFmtId="0" fontId="6" fillId="22" borderId="90">
      <alignment horizontal="right" vertical="center"/>
    </xf>
    <xf numFmtId="4" fontId="6" fillId="22" borderId="90">
      <alignment horizontal="right" vertical="center"/>
    </xf>
    <xf numFmtId="0" fontId="6" fillId="22" borderId="91">
      <alignment horizontal="right" vertical="center"/>
    </xf>
    <xf numFmtId="4" fontId="6" fillId="22" borderId="91">
      <alignment horizontal="right" vertical="center"/>
    </xf>
    <xf numFmtId="0" fontId="6" fillId="22" borderId="92">
      <alignment horizontal="right" vertical="center"/>
    </xf>
    <xf numFmtId="4" fontId="6" fillId="22" borderId="92">
      <alignment horizontal="right" vertical="center"/>
    </xf>
    <xf numFmtId="0" fontId="54" fillId="23" borderId="87" applyNumberFormat="0" applyAlignment="0" applyProtection="0"/>
    <xf numFmtId="0" fontId="4" fillId="22" borderId="93">
      <alignment horizontal="left" vertical="center" wrapText="1" indent="2"/>
    </xf>
    <xf numFmtId="0" fontId="4" fillId="0" borderId="93">
      <alignment horizontal="left" vertical="center" wrapText="1" indent="2"/>
    </xf>
    <xf numFmtId="0" fontId="4" fillId="21" borderId="91">
      <alignment horizontal="left" vertical="center"/>
    </xf>
    <xf numFmtId="0" fontId="62" fillId="7" borderId="87" applyNumberFormat="0" applyAlignment="0" applyProtection="0"/>
    <xf numFmtId="0" fontId="4" fillId="0" borderId="90">
      <alignment horizontal="right" vertical="center"/>
    </xf>
    <xf numFmtId="4" fontId="4" fillId="0" borderId="90">
      <alignment horizontal="right" vertical="center"/>
    </xf>
    <xf numFmtId="0" fontId="4" fillId="0" borderId="90" applyNumberFormat="0" applyFill="0" applyAlignment="0" applyProtection="0"/>
    <xf numFmtId="0" fontId="66" fillId="23" borderId="86" applyNumberFormat="0" applyAlignment="0" applyProtection="0"/>
    <xf numFmtId="178" fontId="4" fillId="29" borderId="90" applyNumberFormat="0" applyFont="0" applyBorder="0" applyAlignment="0" applyProtection="0">
      <alignment horizontal="right" vertical="center"/>
    </xf>
    <xf numFmtId="0" fontId="4" fillId="27" borderId="90"/>
    <xf numFmtId="4" fontId="4" fillId="27" borderId="90"/>
    <xf numFmtId="0" fontId="68" fillId="0" borderId="88" applyNumberFormat="0" applyFill="0" applyAlignment="0" applyProtection="0"/>
    <xf numFmtId="0" fontId="7" fillId="28" borderId="89" applyNumberFormat="0" applyFont="0" applyAlignment="0" applyProtection="0"/>
    <xf numFmtId="0" fontId="51" fillId="28" borderId="89" applyNumberFormat="0" applyFont="0" applyAlignment="0" applyProtection="0"/>
    <xf numFmtId="0" fontId="4" fillId="0" borderId="90" applyNumberFormat="0" applyFill="0" applyAlignment="0" applyProtection="0"/>
    <xf numFmtId="0" fontId="28" fillId="0" borderId="88" applyNumberFormat="0" applyFill="0" applyAlignment="0" applyProtection="0"/>
    <xf numFmtId="0" fontId="68" fillId="0" borderId="88" applyNumberFormat="0" applyFill="0" applyAlignment="0" applyProtection="0"/>
    <xf numFmtId="0" fontId="23" fillId="7" borderId="87" applyNumberFormat="0" applyAlignment="0" applyProtection="0"/>
    <xf numFmtId="0" fontId="54" fillId="23" borderId="87" applyNumberFormat="0" applyAlignment="0" applyProtection="0"/>
    <xf numFmtId="4" fontId="9" fillId="21" borderId="90">
      <alignment horizontal="right" vertical="center"/>
    </xf>
    <xf numFmtId="0" fontId="6" fillId="21" borderId="90">
      <alignment horizontal="right" vertical="center"/>
    </xf>
    <xf numFmtId="178" fontId="4" fillId="29" borderId="90" applyNumberFormat="0" applyFont="0" applyBorder="0" applyAlignment="0" applyProtection="0">
      <alignment horizontal="right" vertical="center"/>
    </xf>
    <xf numFmtId="0" fontId="28" fillId="0" borderId="88" applyNumberFormat="0" applyFill="0" applyAlignment="0" applyProtection="0"/>
    <xf numFmtId="49" fontId="4" fillId="0" borderId="90" applyNumberFormat="0" applyFont="0" applyFill="0" applyBorder="0" applyProtection="0">
      <alignment horizontal="left" vertical="center" indent="2"/>
    </xf>
    <xf numFmtId="49" fontId="4" fillId="0" borderId="91" applyNumberFormat="0" applyFont="0" applyFill="0" applyBorder="0" applyProtection="0">
      <alignment horizontal="left" vertical="center" indent="5"/>
    </xf>
    <xf numFmtId="49" fontId="4" fillId="0" borderId="90" applyNumberFormat="0" applyFont="0" applyFill="0" applyBorder="0" applyProtection="0">
      <alignment horizontal="left" vertical="center" indent="2"/>
    </xf>
    <xf numFmtId="4" fontId="4" fillId="0" borderId="90" applyFill="0" applyBorder="0" applyProtection="0">
      <alignment horizontal="right" vertical="center"/>
    </xf>
    <xf numFmtId="49" fontId="8" fillId="0" borderId="90" applyNumberFormat="0" applyFill="0" applyBorder="0" applyProtection="0">
      <alignment horizontal="left" vertical="center"/>
    </xf>
    <xf numFmtId="0" fontId="4" fillId="0" borderId="93">
      <alignment horizontal="left" vertical="center" wrapText="1" indent="2"/>
    </xf>
    <xf numFmtId="0" fontId="66" fillId="23" borderId="86" applyNumberFormat="0" applyAlignment="0" applyProtection="0"/>
    <xf numFmtId="0" fontId="6" fillId="22" borderId="92">
      <alignment horizontal="right" vertical="center"/>
    </xf>
    <xf numFmtId="0" fontId="23" fillId="7" borderId="87" applyNumberFormat="0" applyAlignment="0" applyProtection="0"/>
    <xf numFmtId="0" fontId="6" fillId="22" borderId="92">
      <alignment horizontal="right" vertical="center"/>
    </xf>
    <xf numFmtId="4" fontId="6" fillId="22" borderId="90">
      <alignment horizontal="right" vertical="center"/>
    </xf>
    <xf numFmtId="0" fontId="6" fillId="22" borderId="90">
      <alignment horizontal="right" vertical="center"/>
    </xf>
    <xf numFmtId="0" fontId="26" fillId="23" borderId="86" applyNumberFormat="0" applyAlignment="0" applyProtection="0"/>
    <xf numFmtId="0" fontId="16" fillId="23" borderId="87" applyNumberFormat="0" applyAlignment="0" applyProtection="0"/>
    <xf numFmtId="0" fontId="28" fillId="0" borderId="88" applyNumberFormat="0" applyFill="0" applyAlignment="0" applyProtection="0"/>
    <xf numFmtId="0" fontId="4" fillId="27" borderId="90"/>
    <xf numFmtId="4" fontId="4" fillId="27" borderId="90"/>
    <xf numFmtId="4" fontId="6" fillId="22" borderId="90">
      <alignment horizontal="right" vertical="center"/>
    </xf>
    <xf numFmtId="0" fontId="9" fillId="21" borderId="90">
      <alignment horizontal="right" vertical="center"/>
    </xf>
    <xf numFmtId="0" fontId="23" fillId="7" borderId="87" applyNumberFormat="0" applyAlignment="0" applyProtection="0"/>
    <xf numFmtId="0" fontId="54" fillId="23" borderId="87" applyNumberFormat="0" applyAlignment="0" applyProtection="0"/>
    <xf numFmtId="4" fontId="4" fillId="0" borderId="90">
      <alignment horizontal="right" vertical="center"/>
    </xf>
    <xf numFmtId="0" fontId="4" fillId="22" borderId="93">
      <alignment horizontal="left" vertical="center" wrapText="1" indent="2"/>
    </xf>
    <xf numFmtId="0" fontId="4" fillId="0" borderId="93">
      <alignment horizontal="left" vertical="center" wrapText="1" indent="2"/>
    </xf>
    <xf numFmtId="0" fontId="66" fillId="23" borderId="86" applyNumberFormat="0" applyAlignment="0" applyProtection="0"/>
    <xf numFmtId="0" fontId="62" fillId="7" borderId="87" applyNumberFormat="0" applyAlignment="0" applyProtection="0"/>
    <xf numFmtId="0" fontId="16" fillId="23" borderId="87" applyNumberFormat="0" applyAlignment="0" applyProtection="0"/>
    <xf numFmtId="0" fontId="26" fillId="23" borderId="86" applyNumberFormat="0" applyAlignment="0" applyProtection="0"/>
    <xf numFmtId="0" fontId="6" fillId="22" borderId="92">
      <alignment horizontal="right" vertical="center"/>
    </xf>
    <xf numFmtId="0" fontId="9" fillId="21" borderId="90">
      <alignment horizontal="right" vertical="center"/>
    </xf>
    <xf numFmtId="4" fontId="6" fillId="21" borderId="90">
      <alignment horizontal="right" vertical="center"/>
    </xf>
    <xf numFmtId="4" fontId="6" fillId="22" borderId="90">
      <alignment horizontal="right" vertical="center"/>
    </xf>
    <xf numFmtId="49" fontId="4" fillId="0" borderId="91" applyNumberFormat="0" applyFont="0" applyFill="0" applyBorder="0" applyProtection="0">
      <alignment horizontal="left" vertical="center" indent="5"/>
    </xf>
    <xf numFmtId="4" fontId="4" fillId="0" borderId="90" applyFill="0" applyBorder="0" applyProtection="0">
      <alignment horizontal="right" vertical="center"/>
    </xf>
    <xf numFmtId="4" fontId="6" fillId="21" borderId="90">
      <alignment horizontal="right" vertical="center"/>
    </xf>
    <xf numFmtId="0" fontId="62" fillId="7" borderId="87" applyNumberFormat="0" applyAlignment="0" applyProtection="0"/>
    <xf numFmtId="0" fontId="23" fillId="7" borderId="87" applyNumberFormat="0" applyAlignment="0" applyProtection="0"/>
    <xf numFmtId="0" fontId="16" fillId="23" borderId="87" applyNumberFormat="0" applyAlignment="0" applyProtection="0"/>
    <xf numFmtId="0" fontId="4" fillId="22" borderId="93">
      <alignment horizontal="left" vertical="center" wrapText="1" indent="2"/>
    </xf>
    <xf numFmtId="0" fontId="4" fillId="0" borderId="93">
      <alignment horizontal="left" vertical="center" wrapText="1" indent="2"/>
    </xf>
    <xf numFmtId="0" fontId="4" fillId="22" borderId="93">
      <alignment horizontal="left" vertical="center" wrapText="1" indent="2"/>
    </xf>
    <xf numFmtId="0" fontId="4" fillId="0" borderId="93">
      <alignment horizontal="left" vertical="center" wrapText="1" indent="2"/>
    </xf>
    <xf numFmtId="0" fontId="51" fillId="28" borderId="113" applyNumberFormat="0" applyFont="0" applyAlignment="0" applyProtection="0"/>
    <xf numFmtId="0" fontId="23" fillId="7" borderId="106" applyNumberFormat="0" applyAlignment="0" applyProtection="0"/>
    <xf numFmtId="0" fontId="62" fillId="7" borderId="106" applyNumberFormat="0" applyAlignment="0" applyProtection="0"/>
    <xf numFmtId="0" fontId="62" fillId="7" borderId="111" applyNumberFormat="0" applyAlignment="0" applyProtection="0"/>
    <xf numFmtId="0" fontId="66" fillId="23" borderId="110" applyNumberFormat="0" applyAlignment="0" applyProtection="0"/>
    <xf numFmtId="0" fontId="28" fillId="0" borderId="107" applyNumberFormat="0" applyFill="0" applyAlignment="0" applyProtection="0"/>
    <xf numFmtId="0" fontId="16" fillId="23" borderId="106" applyNumberFormat="0" applyAlignment="0" applyProtection="0"/>
    <xf numFmtId="0" fontId="16" fillId="23" borderId="111" applyNumberFormat="0" applyAlignment="0" applyProtection="0"/>
    <xf numFmtId="0" fontId="26" fillId="23" borderId="110" applyNumberFormat="0" applyAlignment="0" applyProtection="0"/>
    <xf numFmtId="0" fontId="62" fillId="7" borderId="111" applyNumberFormat="0" applyAlignment="0" applyProtection="0"/>
    <xf numFmtId="0" fontId="62" fillId="7" borderId="111" applyNumberFormat="0" applyAlignment="0" applyProtection="0"/>
    <xf numFmtId="0" fontId="66" fillId="23" borderId="110" applyNumberFormat="0" applyAlignment="0" applyProtection="0"/>
    <xf numFmtId="0" fontId="16" fillId="23" borderId="111" applyNumberFormat="0" applyAlignment="0" applyProtection="0"/>
    <xf numFmtId="0" fontId="68" fillId="0" borderId="112" applyNumberFormat="0" applyFill="0" applyAlignment="0" applyProtection="0"/>
    <xf numFmtId="4" fontId="6" fillId="22" borderId="98">
      <alignment horizontal="right" vertical="center"/>
    </xf>
    <xf numFmtId="0" fontId="4" fillId="27" borderId="98"/>
    <xf numFmtId="0" fontId="16" fillId="23" borderId="102" applyNumberFormat="0" applyAlignment="0" applyProtection="0"/>
    <xf numFmtId="0" fontId="6" fillId="21" borderId="98">
      <alignment horizontal="right" vertical="center"/>
    </xf>
    <xf numFmtId="0" fontId="4" fillId="0" borderId="98">
      <alignment horizontal="right" vertical="center"/>
    </xf>
    <xf numFmtId="0" fontId="68" fillId="0" borderId="103" applyNumberFormat="0" applyFill="0" applyAlignment="0" applyProtection="0"/>
    <xf numFmtId="0" fontId="4" fillId="21" borderId="99">
      <alignment horizontal="left" vertical="center"/>
    </xf>
    <xf numFmtId="0" fontId="62" fillId="7" borderId="102" applyNumberFormat="0" applyAlignment="0" applyProtection="0"/>
    <xf numFmtId="178" fontId="4" fillId="29" borderId="98" applyNumberFormat="0" applyFont="0" applyBorder="0" applyAlignment="0" applyProtection="0">
      <alignment horizontal="right" vertical="center"/>
    </xf>
    <xf numFmtId="0" fontId="51" fillId="28" borderId="97" applyNumberFormat="0" applyFont="0" applyAlignment="0" applyProtection="0"/>
    <xf numFmtId="0" fontId="4" fillId="0" borderId="101">
      <alignment horizontal="left" vertical="center" wrapText="1" indent="2"/>
    </xf>
    <xf numFmtId="4" fontId="4" fillId="27" borderId="98"/>
    <xf numFmtId="49" fontId="8" fillId="0" borderId="98" applyNumberFormat="0" applyFill="0" applyBorder="0" applyProtection="0">
      <alignment horizontal="left" vertical="center"/>
    </xf>
    <xf numFmtId="0" fontId="4" fillId="0" borderId="98">
      <alignment horizontal="right" vertical="center"/>
    </xf>
    <xf numFmtId="4" fontId="6" fillId="22" borderId="100">
      <alignment horizontal="right" vertical="center"/>
    </xf>
    <xf numFmtId="4" fontId="6" fillId="22" borderId="98">
      <alignment horizontal="right" vertical="center"/>
    </xf>
    <xf numFmtId="4" fontId="6" fillId="22" borderId="98">
      <alignment horizontal="right" vertical="center"/>
    </xf>
    <xf numFmtId="0" fontId="9" fillId="21" borderId="98">
      <alignment horizontal="right" vertical="center"/>
    </xf>
    <xf numFmtId="0" fontId="6" fillId="21" borderId="98">
      <alignment horizontal="right" vertical="center"/>
    </xf>
    <xf numFmtId="49" fontId="4" fillId="0" borderId="98" applyNumberFormat="0" applyFont="0" applyFill="0" applyBorder="0" applyProtection="0">
      <alignment horizontal="left" vertical="center" indent="2"/>
    </xf>
    <xf numFmtId="0" fontId="62" fillId="7" borderId="102" applyNumberFormat="0" applyAlignment="0" applyProtection="0"/>
    <xf numFmtId="0" fontId="26" fillId="23" borderId="104" applyNumberFormat="0" applyAlignment="0" applyProtection="0"/>
    <xf numFmtId="49" fontId="4" fillId="0" borderId="98" applyNumberFormat="0" applyFont="0" applyFill="0" applyBorder="0" applyProtection="0">
      <alignment horizontal="left" vertical="center" indent="2"/>
    </xf>
    <xf numFmtId="0" fontId="23" fillId="7" borderId="102" applyNumberFormat="0" applyAlignment="0" applyProtection="0"/>
    <xf numFmtId="4" fontId="4" fillId="0" borderId="98" applyFill="0" applyBorder="0" applyProtection="0">
      <alignment horizontal="right" vertical="center"/>
    </xf>
    <xf numFmtId="0" fontId="54" fillId="23" borderId="102" applyNumberFormat="0" applyAlignment="0" applyProtection="0"/>
    <xf numFmtId="0" fontId="68" fillId="0" borderId="103" applyNumberFormat="0" applyFill="0" applyAlignment="0" applyProtection="0"/>
    <xf numFmtId="0" fontId="66" fillId="23" borderId="104" applyNumberFormat="0" applyAlignment="0" applyProtection="0"/>
    <xf numFmtId="0" fontId="4" fillId="0" borderId="98" applyNumberFormat="0" applyFill="0" applyAlignment="0" applyProtection="0"/>
    <xf numFmtId="4" fontId="4" fillId="0" borderId="98">
      <alignment horizontal="right" vertical="center"/>
    </xf>
    <xf numFmtId="0" fontId="4" fillId="0" borderId="98">
      <alignment horizontal="right" vertical="center"/>
    </xf>
    <xf numFmtId="0" fontId="62" fillId="7" borderId="102" applyNumberFormat="0" applyAlignment="0" applyProtection="0"/>
    <xf numFmtId="0" fontId="26" fillId="23" borderId="94" applyNumberFormat="0" applyAlignment="0" applyProtection="0"/>
    <xf numFmtId="0" fontId="16" fillId="23" borderId="102" applyNumberFormat="0" applyAlignment="0" applyProtection="0"/>
    <xf numFmtId="0" fontId="4" fillId="22" borderId="101">
      <alignment horizontal="left" vertical="center" wrapText="1" indent="2"/>
    </xf>
    <xf numFmtId="0" fontId="54" fillId="23" borderId="102" applyNumberFormat="0" applyAlignment="0" applyProtection="0"/>
    <xf numFmtId="0" fontId="54" fillId="23" borderId="102" applyNumberFormat="0" applyAlignment="0" applyProtection="0"/>
    <xf numFmtId="4" fontId="6" fillId="22" borderId="99">
      <alignment horizontal="right" vertical="center"/>
    </xf>
    <xf numFmtId="0" fontId="6" fillId="22" borderId="99">
      <alignment horizontal="right" vertical="center"/>
    </xf>
    <xf numFmtId="0" fontId="6" fillId="22" borderId="98">
      <alignment horizontal="right" vertical="center"/>
    </xf>
    <xf numFmtId="4" fontId="9" fillId="21" borderId="98">
      <alignment horizontal="right" vertical="center"/>
    </xf>
    <xf numFmtId="0" fontId="23" fillId="7" borderId="102" applyNumberFormat="0" applyAlignment="0" applyProtection="0"/>
    <xf numFmtId="0" fontId="28" fillId="0" borderId="103" applyNumberFormat="0" applyFill="0" applyAlignment="0" applyProtection="0"/>
    <xf numFmtId="0" fontId="68" fillId="0" borderId="103" applyNumberFormat="0" applyFill="0" applyAlignment="0" applyProtection="0"/>
    <xf numFmtId="0" fontId="51" fillId="28" borderId="97" applyNumberFormat="0" applyFont="0" applyAlignment="0" applyProtection="0"/>
    <xf numFmtId="0" fontId="62" fillId="7" borderId="102" applyNumberFormat="0" applyAlignment="0" applyProtection="0"/>
    <xf numFmtId="49" fontId="8" fillId="0" borderId="98" applyNumberFormat="0" applyFill="0" applyBorder="0" applyProtection="0">
      <alignment horizontal="left" vertical="center"/>
    </xf>
    <xf numFmtId="0" fontId="4" fillId="22" borderId="101">
      <alignment horizontal="left" vertical="center" wrapText="1" indent="2"/>
    </xf>
    <xf numFmtId="0" fontId="54" fillId="23" borderId="102" applyNumberFormat="0" applyAlignment="0" applyProtection="0"/>
    <xf numFmtId="0" fontId="4" fillId="0" borderId="101">
      <alignment horizontal="left" vertical="center" wrapText="1" indent="2"/>
    </xf>
    <xf numFmtId="0" fontId="51" fillId="28" borderId="97" applyNumberFormat="0" applyFont="0" applyAlignment="0" applyProtection="0"/>
    <xf numFmtId="0" fontId="7" fillId="28" borderId="97" applyNumberFormat="0" applyFont="0" applyAlignment="0" applyProtection="0"/>
    <xf numFmtId="0" fontId="66" fillId="23" borderId="94" applyNumberFormat="0" applyAlignment="0" applyProtection="0"/>
    <xf numFmtId="0" fontId="68" fillId="0" borderId="103" applyNumberFormat="0" applyFill="0" applyAlignment="0" applyProtection="0"/>
    <xf numFmtId="4" fontId="4" fillId="27" borderId="98"/>
    <xf numFmtId="0" fontId="6" fillId="22" borderId="98">
      <alignment horizontal="right" vertical="center"/>
    </xf>
    <xf numFmtId="0" fontId="68" fillId="0" borderId="103" applyNumberFormat="0" applyFill="0" applyAlignment="0" applyProtection="0"/>
    <xf numFmtId="4" fontId="6" fillId="22" borderId="100">
      <alignment horizontal="right" vertical="center"/>
    </xf>
    <xf numFmtId="0" fontId="16" fillId="23" borderId="102" applyNumberFormat="0" applyAlignment="0" applyProtection="0"/>
    <xf numFmtId="0" fontId="6" fillId="22" borderId="99">
      <alignment horizontal="right" vertical="center"/>
    </xf>
    <xf numFmtId="0" fontId="54" fillId="23" borderId="102" applyNumberFormat="0" applyAlignment="0" applyProtection="0"/>
    <xf numFmtId="0" fontId="28" fillId="0" borderId="103" applyNumberFormat="0" applyFill="0" applyAlignment="0" applyProtection="0"/>
    <xf numFmtId="0" fontId="51" fillId="28" borderId="97" applyNumberFormat="0" applyFont="0" applyAlignment="0" applyProtection="0"/>
    <xf numFmtId="4" fontId="6" fillId="22" borderId="99">
      <alignment horizontal="right" vertical="center"/>
    </xf>
    <xf numFmtId="0" fontId="4" fillId="22" borderId="101">
      <alignment horizontal="left" vertical="center" wrapText="1" indent="2"/>
    </xf>
    <xf numFmtId="0" fontId="4" fillId="27" borderId="98"/>
    <xf numFmtId="178" fontId="4" fillId="29" borderId="98" applyNumberFormat="0" applyFont="0" applyBorder="0" applyAlignment="0" applyProtection="0">
      <alignment horizontal="right" vertical="center"/>
    </xf>
    <xf numFmtId="0" fontId="4" fillId="0" borderId="98" applyNumberFormat="0" applyFill="0" applyAlignment="0" applyProtection="0"/>
    <xf numFmtId="4" fontId="4" fillId="0" borderId="98" applyFill="0" applyBorder="0" applyProtection="0">
      <alignment horizontal="right" vertical="center"/>
    </xf>
    <xf numFmtId="4" fontId="6" fillId="21" borderId="98">
      <alignment horizontal="right" vertical="center"/>
    </xf>
    <xf numFmtId="0" fontId="28" fillId="0" borderId="103" applyNumberFormat="0" applyFill="0" applyAlignment="0" applyProtection="0"/>
    <xf numFmtId="49" fontId="8" fillId="0" borderId="98" applyNumberFormat="0" applyFill="0" applyBorder="0" applyProtection="0">
      <alignment horizontal="left" vertical="center"/>
    </xf>
    <xf numFmtId="49" fontId="4" fillId="0" borderId="99" applyNumberFormat="0" applyFont="0" applyFill="0" applyBorder="0" applyProtection="0">
      <alignment horizontal="left" vertical="center" indent="5"/>
    </xf>
    <xf numFmtId="0" fontId="4" fillId="21" borderId="99">
      <alignment horizontal="left" vertical="center"/>
    </xf>
    <xf numFmtId="0" fontId="54" fillId="23" borderId="102" applyNumberFormat="0" applyAlignment="0" applyProtection="0"/>
    <xf numFmtId="4" fontId="6" fillId="22" borderId="100">
      <alignment horizontal="right" vertical="center"/>
    </xf>
    <xf numFmtId="0" fontId="62" fillId="7" borderId="102" applyNumberFormat="0" applyAlignment="0" applyProtection="0"/>
    <xf numFmtId="0" fontId="62" fillId="7" borderId="102" applyNumberFormat="0" applyAlignment="0" applyProtection="0"/>
    <xf numFmtId="0" fontId="51" fillId="28" borderId="97" applyNumberFormat="0" applyFont="0" applyAlignment="0" applyProtection="0"/>
    <xf numFmtId="0" fontId="66" fillId="23" borderId="94" applyNumberFormat="0" applyAlignment="0" applyProtection="0"/>
    <xf numFmtId="0" fontId="68" fillId="0" borderId="103" applyNumberFormat="0" applyFill="0" applyAlignment="0" applyProtection="0"/>
    <xf numFmtId="0" fontId="6" fillId="22" borderId="98">
      <alignment horizontal="right" vertical="center"/>
    </xf>
    <xf numFmtId="0" fontId="7" fillId="28" borderId="97" applyNumberFormat="0" applyFont="0" applyAlignment="0" applyProtection="0"/>
    <xf numFmtId="4" fontId="4" fillId="0" borderId="98">
      <alignment horizontal="right" vertical="center"/>
    </xf>
    <xf numFmtId="0" fontId="68" fillId="0" borderId="103" applyNumberFormat="0" applyFill="0" applyAlignment="0" applyProtection="0"/>
    <xf numFmtId="0" fontId="6" fillId="22" borderId="98">
      <alignment horizontal="right" vertical="center"/>
    </xf>
    <xf numFmtId="0" fontId="6" fillId="22" borderId="98">
      <alignment horizontal="right" vertical="center"/>
    </xf>
    <xf numFmtId="4" fontId="9" fillId="21" borderId="98">
      <alignment horizontal="right" vertical="center"/>
    </xf>
    <xf numFmtId="0" fontId="6" fillId="21" borderId="98">
      <alignment horizontal="right" vertical="center"/>
    </xf>
    <xf numFmtId="4" fontId="6" fillId="21" borderId="98">
      <alignment horizontal="right" vertical="center"/>
    </xf>
    <xf numFmtId="0" fontId="9" fillId="21" borderId="98">
      <alignment horizontal="right" vertical="center"/>
    </xf>
    <xf numFmtId="4" fontId="9" fillId="21" borderId="98">
      <alignment horizontal="right" vertical="center"/>
    </xf>
    <xf numFmtId="0" fontId="6" fillId="22" borderId="98">
      <alignment horizontal="right" vertical="center"/>
    </xf>
    <xf numFmtId="4" fontId="6" fillId="22" borderId="98">
      <alignment horizontal="right" vertical="center"/>
    </xf>
    <xf numFmtId="0" fontId="6" fillId="22" borderId="98">
      <alignment horizontal="right" vertical="center"/>
    </xf>
    <xf numFmtId="4" fontId="6" fillId="22" borderId="98">
      <alignment horizontal="right" vertical="center"/>
    </xf>
    <xf numFmtId="0" fontId="6" fillId="22" borderId="99">
      <alignment horizontal="right" vertical="center"/>
    </xf>
    <xf numFmtId="4" fontId="6" fillId="22" borderId="99">
      <alignment horizontal="right" vertical="center"/>
    </xf>
    <xf numFmtId="0" fontId="6" fillId="22" borderId="100">
      <alignment horizontal="right" vertical="center"/>
    </xf>
    <xf numFmtId="4" fontId="6" fillId="22" borderId="100">
      <alignment horizontal="right" vertical="center"/>
    </xf>
    <xf numFmtId="0" fontId="54" fillId="23" borderId="102" applyNumberFormat="0" applyAlignment="0" applyProtection="0"/>
    <xf numFmtId="0" fontId="4" fillId="22" borderId="101">
      <alignment horizontal="left" vertical="center" wrapText="1" indent="2"/>
    </xf>
    <xf numFmtId="0" fontId="4" fillId="0" borderId="101">
      <alignment horizontal="left" vertical="center" wrapText="1" indent="2"/>
    </xf>
    <xf numFmtId="0" fontId="4" fillId="21" borderId="99">
      <alignment horizontal="left" vertical="center"/>
    </xf>
    <xf numFmtId="0" fontId="62" fillId="7" borderId="102" applyNumberFormat="0" applyAlignment="0" applyProtection="0"/>
    <xf numFmtId="0" fontId="4" fillId="0" borderId="98">
      <alignment horizontal="right" vertical="center"/>
    </xf>
    <xf numFmtId="4" fontId="4" fillId="0" borderId="98">
      <alignment horizontal="right" vertical="center"/>
    </xf>
    <xf numFmtId="0" fontId="4" fillId="0" borderId="98" applyNumberFormat="0" applyFill="0" applyAlignment="0" applyProtection="0"/>
    <xf numFmtId="0" fontId="66" fillId="23" borderId="94" applyNumberFormat="0" applyAlignment="0" applyProtection="0"/>
    <xf numFmtId="178" fontId="4" fillId="29" borderId="98" applyNumberFormat="0" applyFont="0" applyBorder="0" applyAlignment="0" applyProtection="0">
      <alignment horizontal="right" vertical="center"/>
    </xf>
    <xf numFmtId="0" fontId="4" fillId="27" borderId="98"/>
    <xf numFmtId="4" fontId="4" fillId="27" borderId="98"/>
    <xf numFmtId="0" fontId="68" fillId="0" borderId="103" applyNumberFormat="0" applyFill="0" applyAlignment="0" applyProtection="0"/>
    <xf numFmtId="0" fontId="7" fillId="28" borderId="97" applyNumberFormat="0" applyFont="0" applyAlignment="0" applyProtection="0"/>
    <xf numFmtId="0" fontId="51" fillId="28" borderId="97" applyNumberFormat="0" applyFont="0" applyAlignment="0" applyProtection="0"/>
    <xf numFmtId="0" fontId="4" fillId="0" borderId="98" applyNumberFormat="0" applyFill="0" applyAlignment="0" applyProtection="0"/>
    <xf numFmtId="0" fontId="28" fillId="0" borderId="103" applyNumberFormat="0" applyFill="0" applyAlignment="0" applyProtection="0"/>
    <xf numFmtId="0" fontId="68" fillId="0" borderId="103" applyNumberFormat="0" applyFill="0" applyAlignment="0" applyProtection="0"/>
    <xf numFmtId="0" fontId="23" fillId="7" borderId="102" applyNumberFormat="0" applyAlignment="0" applyProtection="0"/>
    <xf numFmtId="0" fontId="54" fillId="23" borderId="102" applyNumberFormat="0" applyAlignment="0" applyProtection="0"/>
    <xf numFmtId="4" fontId="9" fillId="21" borderId="98">
      <alignment horizontal="right" vertical="center"/>
    </xf>
    <xf numFmtId="0" fontId="6" fillId="21" borderId="98">
      <alignment horizontal="right" vertical="center"/>
    </xf>
    <xf numFmtId="178" fontId="4" fillId="29" borderId="98" applyNumberFormat="0" applyFont="0" applyBorder="0" applyAlignment="0" applyProtection="0">
      <alignment horizontal="right" vertical="center"/>
    </xf>
    <xf numFmtId="0" fontId="28" fillId="0" borderId="103" applyNumberFormat="0" applyFill="0" applyAlignment="0" applyProtection="0"/>
    <xf numFmtId="49" fontId="4" fillId="0" borderId="98" applyNumberFormat="0" applyFont="0" applyFill="0" applyBorder="0" applyProtection="0">
      <alignment horizontal="left" vertical="center" indent="2"/>
    </xf>
    <xf numFmtId="49" fontId="4" fillId="0" borderId="99" applyNumberFormat="0" applyFont="0" applyFill="0" applyBorder="0" applyProtection="0">
      <alignment horizontal="left" vertical="center" indent="5"/>
    </xf>
    <xf numFmtId="49" fontId="4" fillId="0" borderId="98" applyNumberFormat="0" applyFont="0" applyFill="0" applyBorder="0" applyProtection="0">
      <alignment horizontal="left" vertical="center" indent="2"/>
    </xf>
    <xf numFmtId="4" fontId="4" fillId="0" borderId="98" applyFill="0" applyBorder="0" applyProtection="0">
      <alignment horizontal="right" vertical="center"/>
    </xf>
    <xf numFmtId="49" fontId="8" fillId="0" borderId="98" applyNumberFormat="0" applyFill="0" applyBorder="0" applyProtection="0">
      <alignment horizontal="left" vertical="center"/>
    </xf>
    <xf numFmtId="0" fontId="4" fillId="0" borderId="101">
      <alignment horizontal="left" vertical="center" wrapText="1" indent="2"/>
    </xf>
    <xf numFmtId="0" fontId="66" fillId="23" borderId="104" applyNumberFormat="0" applyAlignment="0" applyProtection="0"/>
    <xf numFmtId="0" fontId="6" fillId="22" borderId="100">
      <alignment horizontal="right" vertical="center"/>
    </xf>
    <xf numFmtId="0" fontId="23" fillId="7" borderId="102" applyNumberFormat="0" applyAlignment="0" applyProtection="0"/>
    <xf numFmtId="0" fontId="6" fillId="22" borderId="100">
      <alignment horizontal="right" vertical="center"/>
    </xf>
    <xf numFmtId="4" fontId="6" fillId="22" borderId="98">
      <alignment horizontal="right" vertical="center"/>
    </xf>
    <xf numFmtId="0" fontId="6" fillId="22" borderId="98">
      <alignment horizontal="right" vertical="center"/>
    </xf>
    <xf numFmtId="0" fontId="26" fillId="23" borderId="94" applyNumberFormat="0" applyAlignment="0" applyProtection="0"/>
    <xf numFmtId="0" fontId="16" fillId="23" borderId="102" applyNumberFormat="0" applyAlignment="0" applyProtection="0"/>
    <xf numFmtId="0" fontId="28" fillId="0" borderId="103" applyNumberFormat="0" applyFill="0" applyAlignment="0" applyProtection="0"/>
    <xf numFmtId="0" fontId="4" fillId="27" borderId="98"/>
    <xf numFmtId="4" fontId="4" fillId="27" borderId="98"/>
    <xf numFmtId="4" fontId="6" fillId="22" borderId="98">
      <alignment horizontal="right" vertical="center"/>
    </xf>
    <xf numFmtId="0" fontId="9" fillId="21" borderId="98">
      <alignment horizontal="right" vertical="center"/>
    </xf>
    <xf numFmtId="0" fontId="23" fillId="7" borderId="102" applyNumberFormat="0" applyAlignment="0" applyProtection="0"/>
    <xf numFmtId="0" fontId="54" fillId="23" borderId="102" applyNumberFormat="0" applyAlignment="0" applyProtection="0"/>
    <xf numFmtId="4" fontId="4" fillId="0" borderId="98">
      <alignment horizontal="right" vertical="center"/>
    </xf>
    <xf numFmtId="0" fontId="4" fillId="22" borderId="101">
      <alignment horizontal="left" vertical="center" wrapText="1" indent="2"/>
    </xf>
    <xf numFmtId="0" fontId="4" fillId="0" borderId="101">
      <alignment horizontal="left" vertical="center" wrapText="1" indent="2"/>
    </xf>
    <xf numFmtId="0" fontId="66" fillId="23" borderId="104" applyNumberFormat="0" applyAlignment="0" applyProtection="0"/>
    <xf numFmtId="0" fontId="62" fillId="7" borderId="102" applyNumberFormat="0" applyAlignment="0" applyProtection="0"/>
    <xf numFmtId="0" fontId="16" fillId="23" borderId="102" applyNumberFormat="0" applyAlignment="0" applyProtection="0"/>
    <xf numFmtId="0" fontId="26" fillId="23" borderId="104" applyNumberFormat="0" applyAlignment="0" applyProtection="0"/>
    <xf numFmtId="0" fontId="6" fillId="22" borderId="100">
      <alignment horizontal="right" vertical="center"/>
    </xf>
    <xf numFmtId="0" fontId="9" fillId="21" borderId="98">
      <alignment horizontal="right" vertical="center"/>
    </xf>
    <xf numFmtId="4" fontId="6" fillId="21" borderId="98">
      <alignment horizontal="right" vertical="center"/>
    </xf>
    <xf numFmtId="4" fontId="6" fillId="22" borderId="98">
      <alignment horizontal="right" vertical="center"/>
    </xf>
    <xf numFmtId="49" fontId="4" fillId="0" borderId="99" applyNumberFormat="0" applyFont="0" applyFill="0" applyBorder="0" applyProtection="0">
      <alignment horizontal="left" vertical="center" indent="5"/>
    </xf>
    <xf numFmtId="4" fontId="4" fillId="0" borderId="98" applyFill="0" applyBorder="0" applyProtection="0">
      <alignment horizontal="right" vertical="center"/>
    </xf>
    <xf numFmtId="4" fontId="6" fillId="21" borderId="98">
      <alignment horizontal="right" vertical="center"/>
    </xf>
    <xf numFmtId="0" fontId="62" fillId="7" borderId="102" applyNumberFormat="0" applyAlignment="0" applyProtection="0"/>
    <xf numFmtId="0" fontId="23" fillId="7" borderId="102" applyNumberFormat="0" applyAlignment="0" applyProtection="0"/>
    <xf numFmtId="0" fontId="16" fillId="23" borderId="102" applyNumberFormat="0" applyAlignment="0" applyProtection="0"/>
    <xf numFmtId="0" fontId="4" fillId="22" borderId="101">
      <alignment horizontal="left" vertical="center" wrapText="1" indent="2"/>
    </xf>
    <xf numFmtId="0" fontId="4" fillId="0" borderId="101">
      <alignment horizontal="left" vertical="center" wrapText="1" indent="2"/>
    </xf>
    <xf numFmtId="0" fontId="4" fillId="22" borderId="101">
      <alignment horizontal="left" vertical="center" wrapText="1" indent="2"/>
    </xf>
    <xf numFmtId="0" fontId="4" fillId="0" borderId="101">
      <alignment horizontal="left" vertical="center" wrapText="1" indent="2"/>
    </xf>
    <xf numFmtId="0" fontId="68" fillId="0" borderId="112" applyNumberFormat="0" applyFill="0" applyAlignment="0" applyProtection="0"/>
    <xf numFmtId="0" fontId="66" fillId="23" borderId="110" applyNumberFormat="0" applyAlignment="0" applyProtection="0"/>
    <xf numFmtId="0" fontId="51" fillId="28" borderId="113" applyNumberFormat="0" applyFont="0" applyAlignment="0" applyProtection="0"/>
    <xf numFmtId="0" fontId="62" fillId="7" borderId="111" applyNumberFormat="0" applyAlignment="0" applyProtection="0"/>
    <xf numFmtId="0" fontId="28" fillId="0" borderId="112" applyNumberFormat="0" applyFill="0" applyAlignment="0" applyProtection="0"/>
    <xf numFmtId="0" fontId="26" fillId="23" borderId="110" applyNumberFormat="0" applyAlignment="0" applyProtection="0"/>
    <xf numFmtId="0" fontId="16" fillId="23" borderId="106" applyNumberFormat="0" applyAlignment="0" applyProtection="0"/>
    <xf numFmtId="0" fontId="68" fillId="0" borderId="107" applyNumberFormat="0" applyFill="0" applyAlignment="0" applyProtection="0"/>
    <xf numFmtId="0" fontId="62" fillId="7" borderId="106" applyNumberFormat="0" applyAlignment="0" applyProtection="0"/>
    <xf numFmtId="0" fontId="51" fillId="28" borderId="109" applyNumberFormat="0" applyFont="0" applyAlignment="0" applyProtection="0"/>
    <xf numFmtId="0" fontId="62" fillId="7" borderId="106" applyNumberFormat="0" applyAlignment="0" applyProtection="0"/>
    <xf numFmtId="0" fontId="26" fillId="23" borderId="105" applyNumberFormat="0" applyAlignment="0" applyProtection="0"/>
    <xf numFmtId="0" fontId="23" fillId="7" borderId="106" applyNumberFormat="0" applyAlignment="0" applyProtection="0"/>
    <xf numFmtId="0" fontId="54" fillId="23" borderId="106" applyNumberFormat="0" applyAlignment="0" applyProtection="0"/>
    <xf numFmtId="0" fontId="68" fillId="0" borderId="107" applyNumberFormat="0" applyFill="0" applyAlignment="0" applyProtection="0"/>
    <xf numFmtId="0" fontId="66" fillId="23" borderId="105" applyNumberFormat="0" applyAlignment="0" applyProtection="0"/>
    <xf numFmtId="0" fontId="62" fillId="7" borderId="106" applyNumberFormat="0" applyAlignment="0" applyProtection="0"/>
    <xf numFmtId="0" fontId="26" fillId="23" borderId="105" applyNumberFormat="0" applyAlignment="0" applyProtection="0"/>
    <xf numFmtId="0" fontId="16" fillId="23" borderId="106" applyNumberFormat="0" applyAlignment="0" applyProtection="0"/>
    <xf numFmtId="0" fontId="54" fillId="23" borderId="106" applyNumberFormat="0" applyAlignment="0" applyProtection="0"/>
    <xf numFmtId="0" fontId="54" fillId="23" borderId="106" applyNumberFormat="0" applyAlignment="0" applyProtection="0"/>
    <xf numFmtId="0" fontId="23" fillId="7" borderId="106" applyNumberFormat="0" applyAlignment="0" applyProtection="0"/>
    <xf numFmtId="0" fontId="28" fillId="0" borderId="107" applyNumberFormat="0" applyFill="0" applyAlignment="0" applyProtection="0"/>
    <xf numFmtId="0" fontId="68" fillId="0" borderId="107" applyNumberFormat="0" applyFill="0" applyAlignment="0" applyProtection="0"/>
    <xf numFmtId="0" fontId="51" fillId="28" borderId="109" applyNumberFormat="0" applyFont="0" applyAlignment="0" applyProtection="0"/>
    <xf numFmtId="0" fontId="62" fillId="7" borderId="106" applyNumberFormat="0" applyAlignment="0" applyProtection="0"/>
    <xf numFmtId="0" fontId="54" fillId="23" borderId="106" applyNumberFormat="0" applyAlignment="0" applyProtection="0"/>
    <xf numFmtId="0" fontId="51" fillId="28" borderId="109" applyNumberFormat="0" applyFont="0" applyAlignment="0" applyProtection="0"/>
    <xf numFmtId="0" fontId="7" fillId="28" borderId="109" applyNumberFormat="0" applyFont="0" applyAlignment="0" applyProtection="0"/>
    <xf numFmtId="0" fontId="66" fillId="23" borderId="105" applyNumberFormat="0" applyAlignment="0" applyProtection="0"/>
    <xf numFmtId="0" fontId="68" fillId="0" borderId="107" applyNumberFormat="0" applyFill="0" applyAlignment="0" applyProtection="0"/>
    <xf numFmtId="0" fontId="68" fillId="0" borderId="107" applyNumberFormat="0" applyFill="0" applyAlignment="0" applyProtection="0"/>
    <xf numFmtId="0" fontId="16" fillId="23" borderId="106" applyNumberFormat="0" applyAlignment="0" applyProtection="0"/>
    <xf numFmtId="0" fontId="54" fillId="23" borderId="106" applyNumberFormat="0" applyAlignment="0" applyProtection="0"/>
    <xf numFmtId="0" fontId="28" fillId="0" borderId="107" applyNumberFormat="0" applyFill="0" applyAlignment="0" applyProtection="0"/>
    <xf numFmtId="0" fontId="51" fillId="28" borderId="109" applyNumberFormat="0" applyFont="0" applyAlignment="0" applyProtection="0"/>
    <xf numFmtId="0" fontId="23" fillId="7" borderId="111" applyNumberFormat="0" applyAlignment="0" applyProtection="0"/>
    <xf numFmtId="0" fontId="28" fillId="0" borderId="107" applyNumberFormat="0" applyFill="0" applyAlignment="0" applyProtection="0"/>
    <xf numFmtId="0" fontId="54" fillId="23" borderId="106" applyNumberFormat="0" applyAlignment="0" applyProtection="0"/>
    <xf numFmtId="0" fontId="62" fillId="7" borderId="106" applyNumberFormat="0" applyAlignment="0" applyProtection="0"/>
    <xf numFmtId="0" fontId="62" fillId="7" borderId="106" applyNumberFormat="0" applyAlignment="0" applyProtection="0"/>
    <xf numFmtId="0" fontId="51" fillId="28" borderId="109" applyNumberFormat="0" applyFont="0" applyAlignment="0" applyProtection="0"/>
    <xf numFmtId="0" fontId="66" fillId="23" borderId="105" applyNumberFormat="0" applyAlignment="0" applyProtection="0"/>
    <xf numFmtId="0" fontId="68" fillId="0" borderId="107" applyNumberFormat="0" applyFill="0" applyAlignment="0" applyProtection="0"/>
    <xf numFmtId="0" fontId="7" fillId="28" borderId="109" applyNumberFormat="0" applyFont="0" applyAlignment="0" applyProtection="0"/>
    <xf numFmtId="0" fontId="68" fillId="0" borderId="107" applyNumberFormat="0" applyFill="0" applyAlignment="0" applyProtection="0"/>
    <xf numFmtId="0" fontId="54" fillId="23" borderId="106" applyNumberFormat="0" applyAlignment="0" applyProtection="0"/>
    <xf numFmtId="0" fontId="62" fillId="7" borderId="106" applyNumberFormat="0" applyAlignment="0" applyProtection="0"/>
    <xf numFmtId="0" fontId="66" fillId="23" borderId="105" applyNumberFormat="0" applyAlignment="0" applyProtection="0"/>
    <xf numFmtId="0" fontId="68" fillId="0" borderId="107" applyNumberFormat="0" applyFill="0" applyAlignment="0" applyProtection="0"/>
    <xf numFmtId="0" fontId="7" fillId="28" borderId="109" applyNumberFormat="0" applyFont="0" applyAlignment="0" applyProtection="0"/>
    <xf numFmtId="0" fontId="51" fillId="28" borderId="109" applyNumberFormat="0" applyFont="0" applyAlignment="0" applyProtection="0"/>
    <xf numFmtId="0" fontId="28" fillId="0" borderId="107" applyNumberFormat="0" applyFill="0" applyAlignment="0" applyProtection="0"/>
    <xf numFmtId="0" fontId="68" fillId="0" borderId="107" applyNumberFormat="0" applyFill="0" applyAlignment="0" applyProtection="0"/>
    <xf numFmtId="0" fontId="23" fillId="7" borderId="106" applyNumberFormat="0" applyAlignment="0" applyProtection="0"/>
    <xf numFmtId="0" fontId="54" fillId="23" borderId="106" applyNumberFormat="0" applyAlignment="0" applyProtection="0"/>
    <xf numFmtId="0" fontId="28" fillId="0" borderId="107" applyNumberFormat="0" applyFill="0" applyAlignment="0" applyProtection="0"/>
    <xf numFmtId="0" fontId="66" fillId="23" borderId="105" applyNumberFormat="0" applyAlignment="0" applyProtection="0"/>
    <xf numFmtId="0" fontId="23" fillId="7" borderId="106" applyNumberFormat="0" applyAlignment="0" applyProtection="0"/>
    <xf numFmtId="0" fontId="26" fillId="23" borderId="105" applyNumberFormat="0" applyAlignment="0" applyProtection="0"/>
    <xf numFmtId="0" fontId="16" fillId="23" borderId="106" applyNumberFormat="0" applyAlignment="0" applyProtection="0"/>
    <xf numFmtId="0" fontId="28" fillId="0" borderId="107" applyNumberFormat="0" applyFill="0" applyAlignment="0" applyProtection="0"/>
    <xf numFmtId="0" fontId="23" fillId="7" borderId="106" applyNumberFormat="0" applyAlignment="0" applyProtection="0"/>
    <xf numFmtId="0" fontId="54" fillId="23" borderId="106" applyNumberFormat="0" applyAlignment="0" applyProtection="0"/>
    <xf numFmtId="0" fontId="66" fillId="23" borderId="105" applyNumberFormat="0" applyAlignment="0" applyProtection="0"/>
    <xf numFmtId="0" fontId="62" fillId="7" borderId="106" applyNumberFormat="0" applyAlignment="0" applyProtection="0"/>
    <xf numFmtId="0" fontId="16" fillId="23" borderId="106" applyNumberFormat="0" applyAlignment="0" applyProtection="0"/>
    <xf numFmtId="0" fontId="26" fillId="23" borderId="105" applyNumberFormat="0" applyAlignment="0" applyProtection="0"/>
    <xf numFmtId="0" fontId="62" fillId="7" borderId="106" applyNumberFormat="0" applyAlignment="0" applyProtection="0"/>
    <xf numFmtId="0" fontId="23" fillId="7" borderId="106" applyNumberFormat="0" applyAlignment="0" applyProtection="0"/>
    <xf numFmtId="0" fontId="16" fillId="23" borderId="106" applyNumberFormat="0" applyAlignment="0" applyProtection="0"/>
    <xf numFmtId="0" fontId="68" fillId="0" borderId="112" applyNumberFormat="0" applyFill="0" applyAlignment="0" applyProtection="0"/>
    <xf numFmtId="0" fontId="16" fillId="23" borderId="111" applyNumberFormat="0" applyAlignment="0" applyProtection="0"/>
    <xf numFmtId="0" fontId="54" fillId="23" borderId="111" applyNumberFormat="0" applyAlignment="0" applyProtection="0"/>
    <xf numFmtId="0" fontId="28" fillId="0" borderId="112" applyNumberFormat="0" applyFill="0" applyAlignment="0" applyProtection="0"/>
    <xf numFmtId="0" fontId="51" fillId="28" borderId="113" applyNumberFormat="0" applyFont="0" applyAlignment="0" applyProtection="0"/>
    <xf numFmtId="0" fontId="28" fillId="0" borderId="112" applyNumberFormat="0" applyFill="0" applyAlignment="0" applyProtection="0"/>
    <xf numFmtId="0" fontId="54" fillId="23" borderId="111" applyNumberFormat="0" applyAlignment="0" applyProtection="0"/>
    <xf numFmtId="0" fontId="62" fillId="7" borderId="111" applyNumberFormat="0" applyAlignment="0" applyProtection="0"/>
    <xf numFmtId="0" fontId="62" fillId="7" borderId="111" applyNumberFormat="0" applyAlignment="0" applyProtection="0"/>
    <xf numFmtId="0" fontId="51" fillId="28" borderId="113" applyNumberFormat="0" applyFont="0" applyAlignment="0" applyProtection="0"/>
    <xf numFmtId="0" fontId="66" fillId="23" borderId="110" applyNumberFormat="0" applyAlignment="0" applyProtection="0"/>
    <xf numFmtId="0" fontId="68" fillId="0" borderId="112" applyNumberFormat="0" applyFill="0" applyAlignment="0" applyProtection="0"/>
    <xf numFmtId="0" fontId="7" fillId="28" borderId="113" applyNumberFormat="0" applyFont="0" applyAlignment="0" applyProtection="0"/>
    <xf numFmtId="0" fontId="68" fillId="0" borderId="112" applyNumberFormat="0" applyFill="0" applyAlignment="0" applyProtection="0"/>
    <xf numFmtId="0" fontId="54" fillId="23" borderId="111" applyNumberFormat="0" applyAlignment="0" applyProtection="0"/>
    <xf numFmtId="0" fontId="62" fillId="7" borderId="111" applyNumberFormat="0" applyAlignment="0" applyProtection="0"/>
    <xf numFmtId="0" fontId="66" fillId="23" borderId="110" applyNumberFormat="0" applyAlignment="0" applyProtection="0"/>
    <xf numFmtId="0" fontId="68" fillId="0" borderId="112" applyNumberFormat="0" applyFill="0" applyAlignment="0" applyProtection="0"/>
    <xf numFmtId="0" fontId="7" fillId="28" borderId="113" applyNumberFormat="0" applyFont="0" applyAlignment="0" applyProtection="0"/>
    <xf numFmtId="0" fontId="51" fillId="28" borderId="113" applyNumberFormat="0" applyFont="0" applyAlignment="0" applyProtection="0"/>
    <xf numFmtId="0" fontId="28" fillId="0" borderId="112" applyNumberFormat="0" applyFill="0" applyAlignment="0" applyProtection="0"/>
    <xf numFmtId="0" fontId="68" fillId="0" borderId="112" applyNumberFormat="0" applyFill="0" applyAlignment="0" applyProtection="0"/>
    <xf numFmtId="0" fontId="23" fillId="7" borderId="111" applyNumberFormat="0" applyAlignment="0" applyProtection="0"/>
    <xf numFmtId="0" fontId="54" fillId="23" borderId="111" applyNumberFormat="0" applyAlignment="0" applyProtection="0"/>
    <xf numFmtId="0" fontId="28" fillId="0" borderId="112" applyNumberFormat="0" applyFill="0" applyAlignment="0" applyProtection="0"/>
    <xf numFmtId="0" fontId="66" fillId="23" borderId="110" applyNumberFormat="0" applyAlignment="0" applyProtection="0"/>
    <xf numFmtId="0" fontId="23" fillId="7" borderId="111" applyNumberFormat="0" applyAlignment="0" applyProtection="0"/>
    <xf numFmtId="0" fontId="26" fillId="23" borderId="110" applyNumberFormat="0" applyAlignment="0" applyProtection="0"/>
    <xf numFmtId="0" fontId="16" fillId="23" borderId="111" applyNumberFormat="0" applyAlignment="0" applyProtection="0"/>
    <xf numFmtId="0" fontId="28" fillId="0" borderId="112" applyNumberFormat="0" applyFill="0" applyAlignment="0" applyProtection="0"/>
    <xf numFmtId="0" fontId="23" fillId="7" borderId="111" applyNumberFormat="0" applyAlignment="0" applyProtection="0"/>
    <xf numFmtId="0" fontId="54" fillId="23" borderId="111" applyNumberFormat="0" applyAlignment="0" applyProtection="0"/>
    <xf numFmtId="0" fontId="66" fillId="23" borderId="110" applyNumberFormat="0" applyAlignment="0" applyProtection="0"/>
    <xf numFmtId="0" fontId="62" fillId="7" borderId="111" applyNumberFormat="0" applyAlignment="0" applyProtection="0"/>
    <xf numFmtId="0" fontId="16" fillId="23" borderId="111" applyNumberFormat="0" applyAlignment="0" applyProtection="0"/>
    <xf numFmtId="0" fontId="26" fillId="23" borderId="110" applyNumberFormat="0" applyAlignment="0" applyProtection="0"/>
    <xf numFmtId="0" fontId="62" fillId="7" borderId="111" applyNumberFormat="0" applyAlignment="0" applyProtection="0"/>
    <xf numFmtId="0" fontId="23" fillId="7" borderId="111" applyNumberFormat="0" applyAlignment="0" applyProtection="0"/>
    <xf numFmtId="0" fontId="16" fillId="23" borderId="111" applyNumberFormat="0" applyAlignment="0" applyProtection="0"/>
    <xf numFmtId="0" fontId="26" fillId="23" borderId="123" applyNumberFormat="0" applyAlignment="0" applyProtection="0"/>
    <xf numFmtId="0" fontId="51" fillId="28" borderId="126" applyNumberFormat="0" applyFont="0" applyAlignment="0" applyProtection="0"/>
    <xf numFmtId="0" fontId="4" fillId="21" borderId="128">
      <alignment horizontal="left" vertical="center"/>
    </xf>
    <xf numFmtId="0" fontId="6" fillId="22" borderId="127">
      <alignment horizontal="right" vertical="center"/>
    </xf>
    <xf numFmtId="0" fontId="4" fillId="27" borderId="127"/>
    <xf numFmtId="4" fontId="4" fillId="27" borderId="127"/>
    <xf numFmtId="4" fontId="6" fillId="22" borderId="129">
      <alignment horizontal="right" vertical="center"/>
    </xf>
    <xf numFmtId="0" fontId="6" fillId="22" borderId="129">
      <alignment horizontal="right" vertical="center"/>
    </xf>
    <xf numFmtId="0" fontId="23" fillId="7" borderId="124" applyNumberFormat="0" applyAlignment="0" applyProtection="0"/>
    <xf numFmtId="0" fontId="28" fillId="0" borderId="125" applyNumberFormat="0" applyFill="0" applyAlignment="0" applyProtection="0"/>
    <xf numFmtId="4" fontId="4" fillId="0" borderId="127" applyFill="0" applyBorder="0" applyProtection="0">
      <alignment horizontal="right" vertical="center"/>
    </xf>
    <xf numFmtId="178" fontId="4" fillId="29" borderId="127" applyNumberFormat="0" applyFont="0" applyBorder="0" applyAlignment="0" applyProtection="0">
      <alignment horizontal="right" vertical="center"/>
    </xf>
    <xf numFmtId="4" fontId="4" fillId="0" borderId="127">
      <alignment horizontal="right" vertical="center"/>
    </xf>
    <xf numFmtId="0" fontId="4" fillId="0" borderId="130">
      <alignment horizontal="left" vertical="center" wrapText="1" indent="2"/>
    </xf>
    <xf numFmtId="4" fontId="6" fillId="22" borderId="128">
      <alignment horizontal="right" vertical="center"/>
    </xf>
    <xf numFmtId="4" fontId="6" fillId="22" borderId="127">
      <alignment horizontal="right" vertical="center"/>
    </xf>
    <xf numFmtId="0" fontId="9" fillId="21" borderId="127">
      <alignment horizontal="right" vertical="center"/>
    </xf>
    <xf numFmtId="4" fontId="6" fillId="21" borderId="127">
      <alignment horizontal="right" vertical="center"/>
    </xf>
    <xf numFmtId="0" fontId="6" fillId="21" borderId="127">
      <alignment horizontal="right" vertical="center"/>
    </xf>
    <xf numFmtId="0" fontId="26" fillId="23" borderId="115" applyNumberFormat="0" applyAlignment="0" applyProtection="0"/>
    <xf numFmtId="0" fontId="16" fillId="23" borderId="116" applyNumberFormat="0" applyAlignment="0" applyProtection="0"/>
    <xf numFmtId="0" fontId="54" fillId="23" borderId="116" applyNumberFormat="0" applyAlignment="0" applyProtection="0"/>
    <xf numFmtId="0" fontId="23" fillId="7" borderId="116" applyNumberFormat="0" applyAlignment="0" applyProtection="0"/>
    <xf numFmtId="0" fontId="28" fillId="0" borderId="117" applyNumberFormat="0" applyFill="0" applyAlignment="0" applyProtection="0"/>
    <xf numFmtId="0" fontId="54" fillId="23" borderId="124" applyNumberFormat="0" applyAlignment="0" applyProtection="0"/>
    <xf numFmtId="0" fontId="62" fillId="7" borderId="116" applyNumberFormat="0" applyAlignment="0" applyProtection="0"/>
    <xf numFmtId="0" fontId="68" fillId="0" borderId="125" applyNumberFormat="0" applyFill="0" applyAlignment="0" applyProtection="0"/>
    <xf numFmtId="0" fontId="62" fillId="7" borderId="124" applyNumberFormat="0" applyAlignment="0" applyProtection="0"/>
    <xf numFmtId="0" fontId="51" fillId="28" borderId="118" applyNumberFormat="0" applyFont="0" applyAlignment="0" applyProtection="0"/>
    <xf numFmtId="0" fontId="7" fillId="28" borderId="118" applyNumberFormat="0" applyFont="0" applyAlignment="0" applyProtection="0"/>
    <xf numFmtId="0" fontId="66" fillId="23" borderId="115" applyNumberFormat="0" applyAlignment="0" applyProtection="0"/>
    <xf numFmtId="0" fontId="68" fillId="0" borderId="117" applyNumberFormat="0" applyFill="0" applyAlignment="0" applyProtection="0"/>
    <xf numFmtId="0" fontId="16" fillId="23" borderId="124" applyNumberFormat="0" applyAlignment="0" applyProtection="0"/>
    <xf numFmtId="49" fontId="8" fillId="0" borderId="127" applyNumberFormat="0" applyFill="0" applyBorder="0" applyProtection="0">
      <alignment horizontal="left" vertical="center"/>
    </xf>
    <xf numFmtId="0" fontId="54" fillId="23" borderId="116" applyNumberFormat="0" applyAlignment="0" applyProtection="0"/>
    <xf numFmtId="0" fontId="62" fillId="7" borderId="116" applyNumberFormat="0" applyAlignment="0" applyProtection="0"/>
    <xf numFmtId="0" fontId="51" fillId="28" borderId="118" applyNumberFormat="0" applyFont="0" applyAlignment="0" applyProtection="0"/>
    <xf numFmtId="0" fontId="66" fillId="23" borderId="115" applyNumberFormat="0" applyAlignment="0" applyProtection="0"/>
    <xf numFmtId="0" fontId="68" fillId="0" borderId="117" applyNumberFormat="0" applyFill="0" applyAlignment="0" applyProtection="0"/>
    <xf numFmtId="49" fontId="4" fillId="0" borderId="127" applyNumberFormat="0" applyFont="0" applyFill="0" applyBorder="0" applyProtection="0">
      <alignment horizontal="left" vertical="center" indent="2"/>
    </xf>
    <xf numFmtId="0" fontId="6" fillId="21" borderId="119">
      <alignment horizontal="right" vertical="center"/>
    </xf>
    <xf numFmtId="4" fontId="6" fillId="21" borderId="119">
      <alignment horizontal="right" vertical="center"/>
    </xf>
    <xf numFmtId="0" fontId="9" fillId="21" borderId="119">
      <alignment horizontal="right" vertical="center"/>
    </xf>
    <xf numFmtId="4" fontId="9" fillId="21" borderId="119">
      <alignment horizontal="right" vertical="center"/>
    </xf>
    <xf numFmtId="0" fontId="6" fillId="22" borderId="119">
      <alignment horizontal="right" vertical="center"/>
    </xf>
    <xf numFmtId="4" fontId="6" fillId="22" borderId="119">
      <alignment horizontal="right" vertical="center"/>
    </xf>
    <xf numFmtId="0" fontId="6" fillId="22" borderId="119">
      <alignment horizontal="right" vertical="center"/>
    </xf>
    <xf numFmtId="4" fontId="6" fillId="22" borderId="119">
      <alignment horizontal="right" vertical="center"/>
    </xf>
    <xf numFmtId="0" fontId="6" fillId="22" borderId="120">
      <alignment horizontal="right" vertical="center"/>
    </xf>
    <xf numFmtId="4" fontId="6" fillId="22" borderId="120">
      <alignment horizontal="right" vertical="center"/>
    </xf>
    <xf numFmtId="0" fontId="6" fillId="22" borderId="121">
      <alignment horizontal="right" vertical="center"/>
    </xf>
    <xf numFmtId="4" fontId="6" fillId="22" borderId="121">
      <alignment horizontal="right" vertical="center"/>
    </xf>
    <xf numFmtId="0" fontId="54" fillId="23" borderId="116" applyNumberFormat="0" applyAlignment="0" applyProtection="0"/>
    <xf numFmtId="0" fontId="4" fillId="22" borderId="122">
      <alignment horizontal="left" vertical="center" wrapText="1" indent="2"/>
    </xf>
    <xf numFmtId="0" fontId="4" fillId="0" borderId="122">
      <alignment horizontal="left" vertical="center" wrapText="1" indent="2"/>
    </xf>
    <xf numFmtId="0" fontId="4" fillId="21" borderId="120">
      <alignment horizontal="left" vertical="center"/>
    </xf>
    <xf numFmtId="0" fontId="62" fillId="7" borderId="116" applyNumberFormat="0" applyAlignment="0" applyProtection="0"/>
    <xf numFmtId="0" fontId="4" fillId="0" borderId="119">
      <alignment horizontal="right" vertical="center"/>
    </xf>
    <xf numFmtId="4" fontId="4" fillId="0" borderId="119">
      <alignment horizontal="right" vertical="center"/>
    </xf>
    <xf numFmtId="0" fontId="4" fillId="0" borderId="119" applyNumberFormat="0" applyFill="0" applyAlignment="0" applyProtection="0"/>
    <xf numFmtId="0" fontId="66" fillId="23" borderId="115" applyNumberFormat="0" applyAlignment="0" applyProtection="0"/>
    <xf numFmtId="178" fontId="4" fillId="29" borderId="119" applyNumberFormat="0" applyFont="0" applyBorder="0" applyAlignment="0" applyProtection="0">
      <alignment horizontal="right" vertical="center"/>
    </xf>
    <xf numFmtId="0" fontId="4" fillId="27" borderId="119"/>
    <xf numFmtId="4" fontId="4" fillId="27" borderId="119"/>
    <xf numFmtId="0" fontId="68" fillId="0" borderId="117" applyNumberFormat="0" applyFill="0" applyAlignment="0" applyProtection="0"/>
    <xf numFmtId="0" fontId="66" fillId="23" borderId="123" applyNumberFormat="0" applyAlignment="0" applyProtection="0"/>
    <xf numFmtId="0" fontId="7" fillId="28" borderId="126" applyNumberFormat="0" applyFont="0" applyAlignment="0" applyProtection="0"/>
    <xf numFmtId="0" fontId="54" fillId="23" borderId="124" applyNumberFormat="0" applyAlignment="0" applyProtection="0"/>
    <xf numFmtId="0" fontId="23" fillId="7" borderId="124" applyNumberFormat="0" applyAlignment="0" applyProtection="0"/>
    <xf numFmtId="49" fontId="4" fillId="0" borderId="119" applyNumberFormat="0" applyFont="0" applyFill="0" applyBorder="0" applyProtection="0">
      <alignment horizontal="left" vertical="center" indent="2"/>
    </xf>
    <xf numFmtId="49" fontId="4" fillId="0" borderId="120" applyNumberFormat="0" applyFont="0" applyFill="0" applyBorder="0" applyProtection="0">
      <alignment horizontal="left" vertical="center" indent="5"/>
    </xf>
    <xf numFmtId="4" fontId="4" fillId="0" borderId="119" applyFill="0" applyBorder="0" applyProtection="0">
      <alignment horizontal="right" vertical="center"/>
    </xf>
    <xf numFmtId="49" fontId="8" fillId="0" borderId="119" applyNumberFormat="0" applyFill="0" applyBorder="0" applyProtection="0">
      <alignment horizontal="left" vertical="center"/>
    </xf>
    <xf numFmtId="49" fontId="4" fillId="0" borderId="128" applyNumberFormat="0" applyFont="0" applyFill="0" applyBorder="0" applyProtection="0">
      <alignment horizontal="left" vertical="center" indent="5"/>
    </xf>
    <xf numFmtId="0" fontId="26" fillId="23" borderId="115" applyNumberFormat="0" applyAlignment="0" applyProtection="0"/>
    <xf numFmtId="0" fontId="16" fillId="23" borderId="116" applyNumberFormat="0" applyAlignment="0" applyProtection="0"/>
    <xf numFmtId="0" fontId="28" fillId="0" borderId="117" applyNumberFormat="0" applyFill="0" applyAlignment="0" applyProtection="0"/>
    <xf numFmtId="0" fontId="62" fillId="7" borderId="124" applyNumberFormat="0" applyAlignment="0" applyProtection="0"/>
    <xf numFmtId="0" fontId="68" fillId="0" borderId="125" applyNumberFormat="0" applyFill="0" applyAlignment="0" applyProtection="0"/>
    <xf numFmtId="0" fontId="4" fillId="0" borderId="127" applyNumberFormat="0" applyFill="0" applyAlignment="0" applyProtection="0"/>
    <xf numFmtId="0" fontId="66" fillId="23" borderId="123" applyNumberFormat="0" applyAlignment="0" applyProtection="0"/>
    <xf numFmtId="0" fontId="62" fillId="7" borderId="124" applyNumberFormat="0" applyAlignment="0" applyProtection="0"/>
    <xf numFmtId="0" fontId="4" fillId="0" borderId="127">
      <alignment horizontal="right" vertical="center"/>
    </xf>
    <xf numFmtId="0" fontId="54" fillId="23" borderId="124" applyNumberFormat="0" applyAlignment="0" applyProtection="0"/>
    <xf numFmtId="0" fontId="4" fillId="22" borderId="130">
      <alignment horizontal="left" vertical="center" wrapText="1" indent="2"/>
    </xf>
    <xf numFmtId="4" fontId="6" fillId="22" borderId="127">
      <alignment horizontal="right" vertical="center"/>
    </xf>
    <xf numFmtId="0" fontId="6" fillId="22" borderId="128">
      <alignment horizontal="right" vertical="center"/>
    </xf>
    <xf numFmtId="4" fontId="9" fillId="21" borderId="127">
      <alignment horizontal="right" vertical="center"/>
    </xf>
    <xf numFmtId="0" fontId="6" fillId="22" borderId="127">
      <alignment horizontal="right" vertical="center"/>
    </xf>
    <xf numFmtId="0" fontId="66" fillId="23" borderId="123" applyNumberFormat="0" applyAlignment="0" applyProtection="0"/>
    <xf numFmtId="0" fontId="23" fillId="7" borderId="116" applyNumberFormat="0" applyAlignment="0" applyProtection="0"/>
    <xf numFmtId="0" fontId="16" fillId="23" borderId="124" applyNumberFormat="0" applyAlignment="0" applyProtection="0"/>
    <xf numFmtId="0" fontId="4" fillId="22" borderId="122">
      <alignment horizontal="left" vertical="center" wrapText="1" indent="2"/>
    </xf>
    <xf numFmtId="0" fontId="4" fillId="0" borderId="122">
      <alignment horizontal="left" vertical="center" wrapText="1" indent="2"/>
    </xf>
    <xf numFmtId="0" fontId="51" fillId="28" borderId="126" applyNumberFormat="0" applyFont="0" applyAlignment="0" applyProtection="0"/>
    <xf numFmtId="0" fontId="26" fillId="23" borderId="123" applyNumberFormat="0" applyAlignment="0" applyProtection="0"/>
    <xf numFmtId="0" fontId="28" fillId="0" borderId="125" applyNumberFormat="0" applyFill="0" applyAlignment="0" applyProtection="0"/>
    <xf numFmtId="0" fontId="68" fillId="0" borderId="125" applyNumberFormat="0" applyFill="0" applyAlignment="0" applyProtection="0"/>
    <xf numFmtId="4" fontId="6" fillId="22" borderId="119">
      <alignment horizontal="right" vertical="center"/>
    </xf>
    <xf numFmtId="0" fontId="4" fillId="27" borderId="119"/>
    <xf numFmtId="0" fontId="16" fillId="23" borderId="116" applyNumberFormat="0" applyAlignment="0" applyProtection="0"/>
    <xf numFmtId="0" fontId="6" fillId="21" borderId="119">
      <alignment horizontal="right" vertical="center"/>
    </xf>
    <xf numFmtId="0" fontId="4" fillId="0" borderId="119">
      <alignment horizontal="right" vertical="center"/>
    </xf>
    <xf numFmtId="0" fontId="68" fillId="0" borderId="117" applyNumberFormat="0" applyFill="0" applyAlignment="0" applyProtection="0"/>
    <xf numFmtId="0" fontId="4" fillId="21" borderId="120">
      <alignment horizontal="left" vertical="center"/>
    </xf>
    <xf numFmtId="0" fontId="62" fillId="7" borderId="116" applyNumberFormat="0" applyAlignment="0" applyProtection="0"/>
    <xf numFmtId="178" fontId="4" fillId="29" borderId="119" applyNumberFormat="0" applyFont="0" applyBorder="0" applyAlignment="0" applyProtection="0">
      <alignment horizontal="right" vertical="center"/>
    </xf>
    <xf numFmtId="0" fontId="51" fillId="28" borderId="118" applyNumberFormat="0" applyFont="0" applyAlignment="0" applyProtection="0"/>
    <xf numFmtId="0" fontId="4" fillId="0" borderId="122">
      <alignment horizontal="left" vertical="center" wrapText="1" indent="2"/>
    </xf>
    <xf numFmtId="4" fontId="4" fillId="27" borderId="119"/>
    <xf numFmtId="49" fontId="8" fillId="0" borderId="119" applyNumberFormat="0" applyFill="0" applyBorder="0" applyProtection="0">
      <alignment horizontal="left" vertical="center"/>
    </xf>
    <xf numFmtId="0" fontId="4" fillId="0" borderId="119">
      <alignment horizontal="right" vertical="center"/>
    </xf>
    <xf numFmtId="4" fontId="6" fillId="22" borderId="121">
      <alignment horizontal="right" vertical="center"/>
    </xf>
    <xf numFmtId="4" fontId="6" fillId="22" borderId="119">
      <alignment horizontal="right" vertical="center"/>
    </xf>
    <xf numFmtId="4" fontId="6" fillId="22" borderId="119">
      <alignment horizontal="right" vertical="center"/>
    </xf>
    <xf numFmtId="0" fontId="9" fillId="21" borderId="119">
      <alignment horizontal="right" vertical="center"/>
    </xf>
    <xf numFmtId="0" fontId="6" fillId="21" borderId="119">
      <alignment horizontal="right" vertical="center"/>
    </xf>
    <xf numFmtId="49" fontId="4" fillId="0" borderId="119" applyNumberFormat="0" applyFont="0" applyFill="0" applyBorder="0" applyProtection="0">
      <alignment horizontal="left" vertical="center" indent="2"/>
    </xf>
    <xf numFmtId="0" fontId="62" fillId="7" borderId="116" applyNumberFormat="0" applyAlignment="0" applyProtection="0"/>
    <xf numFmtId="0" fontId="26" fillId="23" borderId="115" applyNumberFormat="0" applyAlignment="0" applyProtection="0"/>
    <xf numFmtId="49" fontId="4" fillId="0" borderId="119" applyNumberFormat="0" applyFont="0" applyFill="0" applyBorder="0" applyProtection="0">
      <alignment horizontal="left" vertical="center" indent="2"/>
    </xf>
    <xf numFmtId="0" fontId="23" fillId="7" borderId="116" applyNumberFormat="0" applyAlignment="0" applyProtection="0"/>
    <xf numFmtId="4" fontId="4" fillId="0" borderId="119" applyFill="0" applyBorder="0" applyProtection="0">
      <alignment horizontal="right" vertical="center"/>
    </xf>
    <xf numFmtId="0" fontId="54" fillId="23" borderId="116" applyNumberFormat="0" applyAlignment="0" applyProtection="0"/>
    <xf numFmtId="0" fontId="68" fillId="0" borderId="117" applyNumberFormat="0" applyFill="0" applyAlignment="0" applyProtection="0"/>
    <xf numFmtId="0" fontId="66" fillId="23" borderId="115" applyNumberFormat="0" applyAlignment="0" applyProtection="0"/>
    <xf numFmtId="0" fontId="4" fillId="0" borderId="119" applyNumberFormat="0" applyFill="0" applyAlignment="0" applyProtection="0"/>
    <xf numFmtId="4" fontId="4" fillId="0" borderId="119">
      <alignment horizontal="right" vertical="center"/>
    </xf>
    <xf numFmtId="0" fontId="4" fillId="0" borderId="119">
      <alignment horizontal="right" vertical="center"/>
    </xf>
    <xf numFmtId="0" fontId="62" fillId="7" borderId="116" applyNumberFormat="0" applyAlignment="0" applyProtection="0"/>
    <xf numFmtId="0" fontId="26" fillId="23" borderId="115" applyNumberFormat="0" applyAlignment="0" applyProtection="0"/>
    <xf numFmtId="0" fontId="16" fillId="23" borderId="116" applyNumberFormat="0" applyAlignment="0" applyProtection="0"/>
    <xf numFmtId="0" fontId="4" fillId="22" borderId="122">
      <alignment horizontal="left" vertical="center" wrapText="1" indent="2"/>
    </xf>
    <xf numFmtId="0" fontId="54" fillId="23" borderId="116" applyNumberFormat="0" applyAlignment="0" applyProtection="0"/>
    <xf numFmtId="0" fontId="54" fillId="23" borderId="116" applyNumberFormat="0" applyAlignment="0" applyProtection="0"/>
    <xf numFmtId="4" fontId="6" fillId="22" borderId="120">
      <alignment horizontal="right" vertical="center"/>
    </xf>
    <xf numFmtId="0" fontId="6" fillId="22" borderId="120">
      <alignment horizontal="right" vertical="center"/>
    </xf>
    <xf numFmtId="0" fontId="6" fillId="22" borderId="119">
      <alignment horizontal="right" vertical="center"/>
    </xf>
    <xf numFmtId="4" fontId="9" fillId="21" borderId="119">
      <alignment horizontal="right" vertical="center"/>
    </xf>
    <xf numFmtId="0" fontId="23" fillId="7" borderId="116" applyNumberFormat="0" applyAlignment="0" applyProtection="0"/>
    <xf numFmtId="0" fontId="28" fillId="0" borderId="117" applyNumberFormat="0" applyFill="0" applyAlignment="0" applyProtection="0"/>
    <xf numFmtId="0" fontId="68" fillId="0" borderId="117" applyNumberFormat="0" applyFill="0" applyAlignment="0" applyProtection="0"/>
    <xf numFmtId="0" fontId="51" fillId="28" borderId="118" applyNumberFormat="0" applyFont="0" applyAlignment="0" applyProtection="0"/>
    <xf numFmtId="0" fontId="62" fillId="7" borderId="116" applyNumberFormat="0" applyAlignment="0" applyProtection="0"/>
    <xf numFmtId="49" fontId="8" fillId="0" borderId="119" applyNumberFormat="0" applyFill="0" applyBorder="0" applyProtection="0">
      <alignment horizontal="left" vertical="center"/>
    </xf>
    <xf numFmtId="0" fontId="4" fillId="22" borderId="122">
      <alignment horizontal="left" vertical="center" wrapText="1" indent="2"/>
    </xf>
    <xf numFmtId="0" fontId="54" fillId="23" borderId="116" applyNumberFormat="0" applyAlignment="0" applyProtection="0"/>
    <xf numFmtId="0" fontId="4" fillId="0" borderId="122">
      <alignment horizontal="left" vertical="center" wrapText="1" indent="2"/>
    </xf>
    <xf numFmtId="0" fontId="51" fillId="28" borderId="118" applyNumberFormat="0" applyFont="0" applyAlignment="0" applyProtection="0"/>
    <xf numFmtId="0" fontId="7" fillId="28" borderId="118" applyNumberFormat="0" applyFont="0" applyAlignment="0" applyProtection="0"/>
    <xf numFmtId="0" fontId="66" fillId="23" borderId="115" applyNumberFormat="0" applyAlignment="0" applyProtection="0"/>
    <xf numFmtId="0" fontId="68" fillId="0" borderId="117" applyNumberFormat="0" applyFill="0" applyAlignment="0" applyProtection="0"/>
    <xf numFmtId="4" fontId="4" fillId="27" borderId="119"/>
    <xf numFmtId="0" fontId="6" fillId="22" borderId="119">
      <alignment horizontal="right" vertical="center"/>
    </xf>
    <xf numFmtId="0" fontId="68" fillId="0" borderId="117" applyNumberFormat="0" applyFill="0" applyAlignment="0" applyProtection="0"/>
    <xf numFmtId="4" fontId="6" fillId="22" borderId="121">
      <alignment horizontal="right" vertical="center"/>
    </xf>
    <xf numFmtId="0" fontId="16" fillId="23" borderId="116" applyNumberFormat="0" applyAlignment="0" applyProtection="0"/>
    <xf numFmtId="0" fontId="6" fillId="22" borderId="120">
      <alignment horizontal="right" vertical="center"/>
    </xf>
    <xf numFmtId="0" fontId="54" fillId="23" borderId="116" applyNumberFormat="0" applyAlignment="0" applyProtection="0"/>
    <xf numFmtId="0" fontId="28" fillId="0" borderId="117" applyNumberFormat="0" applyFill="0" applyAlignment="0" applyProtection="0"/>
    <xf numFmtId="0" fontId="51" fillId="28" borderId="118" applyNumberFormat="0" applyFont="0" applyAlignment="0" applyProtection="0"/>
    <xf numFmtId="4" fontId="6" fillId="22" borderId="120">
      <alignment horizontal="right" vertical="center"/>
    </xf>
    <xf numFmtId="0" fontId="4" fillId="22" borderId="122">
      <alignment horizontal="left" vertical="center" wrapText="1" indent="2"/>
    </xf>
    <xf numFmtId="0" fontId="4" fillId="27" borderId="119"/>
    <xf numFmtId="178" fontId="4" fillId="29" borderId="119" applyNumberFormat="0" applyFont="0" applyBorder="0" applyAlignment="0" applyProtection="0">
      <alignment horizontal="right" vertical="center"/>
    </xf>
    <xf numFmtId="0" fontId="4" fillId="0" borderId="119" applyNumberFormat="0" applyFill="0" applyAlignment="0" applyProtection="0"/>
    <xf numFmtId="4" fontId="4" fillId="0" borderId="119" applyFill="0" applyBorder="0" applyProtection="0">
      <alignment horizontal="right" vertical="center"/>
    </xf>
    <xf numFmtId="4" fontId="6" fillId="21" borderId="119">
      <alignment horizontal="right" vertical="center"/>
    </xf>
    <xf numFmtId="0" fontId="28" fillId="0" borderId="117" applyNumberFormat="0" applyFill="0" applyAlignment="0" applyProtection="0"/>
    <xf numFmtId="49" fontId="8" fillId="0" borderId="119" applyNumberFormat="0" applyFill="0" applyBorder="0" applyProtection="0">
      <alignment horizontal="left" vertical="center"/>
    </xf>
    <xf numFmtId="49" fontId="4" fillId="0" borderId="120" applyNumberFormat="0" applyFont="0" applyFill="0" applyBorder="0" applyProtection="0">
      <alignment horizontal="left" vertical="center" indent="5"/>
    </xf>
    <xf numFmtId="0" fontId="4" fillId="21" borderId="120">
      <alignment horizontal="left" vertical="center"/>
    </xf>
    <xf numFmtId="0" fontId="54" fillId="23" borderId="116" applyNumberFormat="0" applyAlignment="0" applyProtection="0"/>
    <xf numFmtId="4" fontId="6" fillId="22" borderId="121">
      <alignment horizontal="right" vertical="center"/>
    </xf>
    <xf numFmtId="0" fontId="62" fillId="7" borderId="116" applyNumberFormat="0" applyAlignment="0" applyProtection="0"/>
    <xf numFmtId="0" fontId="62" fillId="7" borderId="116" applyNumberFormat="0" applyAlignment="0" applyProtection="0"/>
    <xf numFmtId="0" fontId="51" fillId="28" borderId="118" applyNumberFormat="0" applyFont="0" applyAlignment="0" applyProtection="0"/>
    <xf numFmtId="0" fontId="66" fillId="23" borderId="115" applyNumberFormat="0" applyAlignment="0" applyProtection="0"/>
    <xf numFmtId="0" fontId="68" fillId="0" borderId="117" applyNumberFormat="0" applyFill="0" applyAlignment="0" applyProtection="0"/>
    <xf numFmtId="0" fontId="6" fillId="22" borderId="119">
      <alignment horizontal="right" vertical="center"/>
    </xf>
    <xf numFmtId="0" fontId="7" fillId="28" borderId="118" applyNumberFormat="0" applyFont="0" applyAlignment="0" applyProtection="0"/>
    <xf numFmtId="4" fontId="4" fillId="0" borderId="119">
      <alignment horizontal="right" vertical="center"/>
    </xf>
    <xf numFmtId="0" fontId="68" fillId="0" borderId="117" applyNumberFormat="0" applyFill="0" applyAlignment="0" applyProtection="0"/>
    <xf numFmtId="0" fontId="6" fillId="22" borderId="119">
      <alignment horizontal="right" vertical="center"/>
    </xf>
    <xf numFmtId="0" fontId="6" fillId="22" borderId="119">
      <alignment horizontal="right" vertical="center"/>
    </xf>
    <xf numFmtId="4" fontId="9" fillId="21" borderId="119">
      <alignment horizontal="right" vertical="center"/>
    </xf>
    <xf numFmtId="0" fontId="6" fillId="21" borderId="119">
      <alignment horizontal="right" vertical="center"/>
    </xf>
    <xf numFmtId="4" fontId="6" fillId="21" borderId="119">
      <alignment horizontal="right" vertical="center"/>
    </xf>
    <xf numFmtId="0" fontId="9" fillId="21" borderId="119">
      <alignment horizontal="right" vertical="center"/>
    </xf>
    <xf numFmtId="4" fontId="9" fillId="21" borderId="119">
      <alignment horizontal="right" vertical="center"/>
    </xf>
    <xf numFmtId="0" fontId="6" fillId="22" borderId="119">
      <alignment horizontal="right" vertical="center"/>
    </xf>
    <xf numFmtId="4" fontId="6" fillId="22" borderId="119">
      <alignment horizontal="right" vertical="center"/>
    </xf>
    <xf numFmtId="0" fontId="6" fillId="22" borderId="119">
      <alignment horizontal="right" vertical="center"/>
    </xf>
    <xf numFmtId="4" fontId="6" fillId="22" borderId="119">
      <alignment horizontal="right" vertical="center"/>
    </xf>
    <xf numFmtId="0" fontId="6" fillId="22" borderId="120">
      <alignment horizontal="right" vertical="center"/>
    </xf>
    <xf numFmtId="4" fontId="6" fillId="22" borderId="120">
      <alignment horizontal="right" vertical="center"/>
    </xf>
    <xf numFmtId="0" fontId="6" fillId="22" borderId="121">
      <alignment horizontal="right" vertical="center"/>
    </xf>
    <xf numFmtId="4" fontId="6" fillId="22" borderId="121">
      <alignment horizontal="right" vertical="center"/>
    </xf>
    <xf numFmtId="0" fontId="54" fillId="23" borderId="116" applyNumberFormat="0" applyAlignment="0" applyProtection="0"/>
    <xf numFmtId="0" fontId="4" fillId="22" borderId="122">
      <alignment horizontal="left" vertical="center" wrapText="1" indent="2"/>
    </xf>
    <xf numFmtId="0" fontId="4" fillId="0" borderId="122">
      <alignment horizontal="left" vertical="center" wrapText="1" indent="2"/>
    </xf>
    <xf numFmtId="0" fontId="4" fillId="21" borderId="120">
      <alignment horizontal="left" vertical="center"/>
    </xf>
    <xf numFmtId="0" fontId="62" fillId="7" borderId="116" applyNumberFormat="0" applyAlignment="0" applyProtection="0"/>
    <xf numFmtId="0" fontId="4" fillId="0" borderId="119">
      <alignment horizontal="right" vertical="center"/>
    </xf>
    <xf numFmtId="4" fontId="4" fillId="0" borderId="119">
      <alignment horizontal="right" vertical="center"/>
    </xf>
    <xf numFmtId="0" fontId="4" fillId="0" borderId="119" applyNumberFormat="0" applyFill="0" applyAlignment="0" applyProtection="0"/>
    <xf numFmtId="0" fontId="66" fillId="23" borderId="115" applyNumberFormat="0" applyAlignment="0" applyProtection="0"/>
    <xf numFmtId="178" fontId="4" fillId="29" borderId="119" applyNumberFormat="0" applyFont="0" applyBorder="0" applyAlignment="0" applyProtection="0">
      <alignment horizontal="right" vertical="center"/>
    </xf>
    <xf numFmtId="0" fontId="4" fillId="27" borderId="119"/>
    <xf numFmtId="4" fontId="4" fillId="27" borderId="119"/>
    <xf numFmtId="0" fontId="68" fillId="0" borderId="117" applyNumberFormat="0" applyFill="0" applyAlignment="0" applyProtection="0"/>
    <xf numFmtId="0" fontId="7" fillId="28" borderId="118" applyNumberFormat="0" applyFont="0" applyAlignment="0" applyProtection="0"/>
    <xf numFmtId="0" fontId="51" fillId="28" borderId="118" applyNumberFormat="0" applyFont="0" applyAlignment="0" applyProtection="0"/>
    <xf numFmtId="0" fontId="4" fillId="0" borderId="119" applyNumberFormat="0" applyFill="0" applyAlignment="0" applyProtection="0"/>
    <xf numFmtId="0" fontId="28" fillId="0" borderId="117" applyNumberFormat="0" applyFill="0" applyAlignment="0" applyProtection="0"/>
    <xf numFmtId="0" fontId="68" fillId="0" borderId="117" applyNumberFormat="0" applyFill="0" applyAlignment="0" applyProtection="0"/>
    <xf numFmtId="0" fontId="23" fillId="7" borderId="116" applyNumberFormat="0" applyAlignment="0" applyProtection="0"/>
    <xf numFmtId="0" fontId="54" fillId="23" borderId="116" applyNumberFormat="0" applyAlignment="0" applyProtection="0"/>
    <xf numFmtId="4" fontId="9" fillId="21" borderId="119">
      <alignment horizontal="right" vertical="center"/>
    </xf>
    <xf numFmtId="0" fontId="6" fillId="21" borderId="119">
      <alignment horizontal="right" vertical="center"/>
    </xf>
    <xf numFmtId="178" fontId="4" fillId="29" borderId="119" applyNumberFormat="0" applyFont="0" applyBorder="0" applyAlignment="0" applyProtection="0">
      <alignment horizontal="right" vertical="center"/>
    </xf>
    <xf numFmtId="0" fontId="28" fillId="0" borderId="117" applyNumberFormat="0" applyFill="0" applyAlignment="0" applyProtection="0"/>
    <xf numFmtId="49" fontId="4" fillId="0" borderId="119" applyNumberFormat="0" applyFont="0" applyFill="0" applyBorder="0" applyProtection="0">
      <alignment horizontal="left" vertical="center" indent="2"/>
    </xf>
    <xf numFmtId="49" fontId="4" fillId="0" borderId="120" applyNumberFormat="0" applyFont="0" applyFill="0" applyBorder="0" applyProtection="0">
      <alignment horizontal="left" vertical="center" indent="5"/>
    </xf>
    <xf numFmtId="49" fontId="4" fillId="0" borderId="119" applyNumberFormat="0" applyFont="0" applyFill="0" applyBorder="0" applyProtection="0">
      <alignment horizontal="left" vertical="center" indent="2"/>
    </xf>
    <xf numFmtId="4" fontId="4" fillId="0" borderId="119" applyFill="0" applyBorder="0" applyProtection="0">
      <alignment horizontal="right" vertical="center"/>
    </xf>
    <xf numFmtId="49" fontId="8" fillId="0" borderId="119" applyNumberFormat="0" applyFill="0" applyBorder="0" applyProtection="0">
      <alignment horizontal="left" vertical="center"/>
    </xf>
    <xf numFmtId="0" fontId="4" fillId="0" borderId="122">
      <alignment horizontal="left" vertical="center" wrapText="1" indent="2"/>
    </xf>
    <xf numFmtId="0" fontId="66" fillId="23" borderId="115" applyNumberFormat="0" applyAlignment="0" applyProtection="0"/>
    <xf numFmtId="0" fontId="6" fillId="22" borderId="121">
      <alignment horizontal="right" vertical="center"/>
    </xf>
    <xf numFmtId="0" fontId="23" fillId="7" borderId="116" applyNumberFormat="0" applyAlignment="0" applyProtection="0"/>
    <xf numFmtId="0" fontId="6" fillId="22" borderId="121">
      <alignment horizontal="right" vertical="center"/>
    </xf>
    <xf numFmtId="4" fontId="6" fillId="22" borderId="119">
      <alignment horizontal="right" vertical="center"/>
    </xf>
    <xf numFmtId="0" fontId="6" fillId="22" borderId="119">
      <alignment horizontal="right" vertical="center"/>
    </xf>
    <xf numFmtId="0" fontId="26" fillId="23" borderId="115" applyNumberFormat="0" applyAlignment="0" applyProtection="0"/>
    <xf numFmtId="0" fontId="16" fillId="23" borderId="116" applyNumberFormat="0" applyAlignment="0" applyProtection="0"/>
    <xf numFmtId="0" fontId="28" fillId="0" borderId="117" applyNumberFormat="0" applyFill="0" applyAlignment="0" applyProtection="0"/>
    <xf numFmtId="0" fontId="4" fillId="27" borderId="119"/>
    <xf numFmtId="4" fontId="4" fillId="27" borderId="119"/>
    <xf numFmtId="4" fontId="6" fillId="22" borderId="119">
      <alignment horizontal="right" vertical="center"/>
    </xf>
    <xf numFmtId="0" fontId="9" fillId="21" borderId="119">
      <alignment horizontal="right" vertical="center"/>
    </xf>
    <xf numFmtId="0" fontId="23" fillId="7" borderId="116" applyNumberFormat="0" applyAlignment="0" applyProtection="0"/>
    <xf numFmtId="0" fontId="54" fillId="23" borderId="116" applyNumberFormat="0" applyAlignment="0" applyProtection="0"/>
    <xf numFmtId="4" fontId="4" fillId="0" borderId="119">
      <alignment horizontal="right" vertical="center"/>
    </xf>
    <xf numFmtId="0" fontId="4" fillId="22" borderId="122">
      <alignment horizontal="left" vertical="center" wrapText="1" indent="2"/>
    </xf>
    <xf numFmtId="0" fontId="4" fillId="0" borderId="122">
      <alignment horizontal="left" vertical="center" wrapText="1" indent="2"/>
    </xf>
    <xf numFmtId="0" fontId="66" fillId="23" borderId="115" applyNumberFormat="0" applyAlignment="0" applyProtection="0"/>
    <xf numFmtId="0" fontId="62" fillId="7" borderId="116" applyNumberFormat="0" applyAlignment="0" applyProtection="0"/>
    <xf numFmtId="0" fontId="16" fillId="23" borderId="116" applyNumberFormat="0" applyAlignment="0" applyProtection="0"/>
    <xf numFmtId="0" fontId="26" fillId="23" borderId="115" applyNumberFormat="0" applyAlignment="0" applyProtection="0"/>
    <xf numFmtId="0" fontId="6" fillId="22" borderId="121">
      <alignment horizontal="right" vertical="center"/>
    </xf>
    <xf numFmtId="0" fontId="9" fillId="21" borderId="119">
      <alignment horizontal="right" vertical="center"/>
    </xf>
    <xf numFmtId="4" fontId="6" fillId="21" borderId="119">
      <alignment horizontal="right" vertical="center"/>
    </xf>
    <xf numFmtId="4" fontId="6" fillId="22" borderId="119">
      <alignment horizontal="right" vertical="center"/>
    </xf>
    <xf numFmtId="49" fontId="4" fillId="0" borderId="120" applyNumberFormat="0" applyFont="0" applyFill="0" applyBorder="0" applyProtection="0">
      <alignment horizontal="left" vertical="center" indent="5"/>
    </xf>
    <xf numFmtId="4" fontId="4" fillId="0" borderId="119" applyFill="0" applyBorder="0" applyProtection="0">
      <alignment horizontal="right" vertical="center"/>
    </xf>
    <xf numFmtId="4" fontId="6" fillId="21" borderId="119">
      <alignment horizontal="right" vertical="center"/>
    </xf>
    <xf numFmtId="0" fontId="62" fillId="7" borderId="116" applyNumberFormat="0" applyAlignment="0" applyProtection="0"/>
    <xf numFmtId="0" fontId="23" fillId="7" borderId="116" applyNumberFormat="0" applyAlignment="0" applyProtection="0"/>
    <xf numFmtId="0" fontId="16" fillId="23" borderId="116" applyNumberFormat="0" applyAlignment="0" applyProtection="0"/>
    <xf numFmtId="0" fontId="4" fillId="22" borderId="122">
      <alignment horizontal="left" vertical="center" wrapText="1" indent="2"/>
    </xf>
    <xf numFmtId="0" fontId="4" fillId="0" borderId="122">
      <alignment horizontal="left" vertical="center" wrapText="1" indent="2"/>
    </xf>
    <xf numFmtId="0" fontId="4" fillId="22" borderId="122">
      <alignment horizontal="left" vertical="center" wrapText="1" indent="2"/>
    </xf>
    <xf numFmtId="0" fontId="4" fillId="0" borderId="122">
      <alignment horizontal="left" vertical="center" wrapText="1" indent="2"/>
    </xf>
    <xf numFmtId="0" fontId="4" fillId="22" borderId="130">
      <alignment horizontal="left" vertical="center" wrapText="1" indent="2"/>
    </xf>
    <xf numFmtId="0" fontId="4" fillId="0" borderId="130">
      <alignment horizontal="left" vertical="center" wrapText="1" indent="2"/>
    </xf>
    <xf numFmtId="4" fontId="6" fillId="22" borderId="127">
      <alignment horizontal="right" vertical="center"/>
    </xf>
    <xf numFmtId="0" fontId="4" fillId="27" borderId="127"/>
    <xf numFmtId="0" fontId="16" fillId="23" borderId="124" applyNumberFormat="0" applyAlignment="0" applyProtection="0"/>
    <xf numFmtId="0" fontId="6" fillId="21" borderId="127">
      <alignment horizontal="right" vertical="center"/>
    </xf>
    <xf numFmtId="0" fontId="4" fillId="0" borderId="127">
      <alignment horizontal="right" vertical="center"/>
    </xf>
    <xf numFmtId="0" fontId="68" fillId="0" borderId="125" applyNumberFormat="0" applyFill="0" applyAlignment="0" applyProtection="0"/>
    <xf numFmtId="0" fontId="4" fillId="21" borderId="128">
      <alignment horizontal="left" vertical="center"/>
    </xf>
    <xf numFmtId="0" fontId="62" fillId="7" borderId="124" applyNumberFormat="0" applyAlignment="0" applyProtection="0"/>
    <xf numFmtId="178" fontId="4" fillId="29" borderId="127" applyNumberFormat="0" applyFont="0" applyBorder="0" applyAlignment="0" applyProtection="0">
      <alignment horizontal="right" vertical="center"/>
    </xf>
    <xf numFmtId="0" fontId="51" fillId="28" borderId="126" applyNumberFormat="0" applyFont="0" applyAlignment="0" applyProtection="0"/>
    <xf numFmtId="0" fontId="4" fillId="0" borderId="130">
      <alignment horizontal="left" vertical="center" wrapText="1" indent="2"/>
    </xf>
    <xf numFmtId="4" fontId="4" fillId="27" borderId="127"/>
    <xf numFmtId="49" fontId="8" fillId="0" borderId="127" applyNumberFormat="0" applyFill="0" applyBorder="0" applyProtection="0">
      <alignment horizontal="left" vertical="center"/>
    </xf>
    <xf numFmtId="0" fontId="4" fillId="0" borderId="127">
      <alignment horizontal="right" vertical="center"/>
    </xf>
    <xf numFmtId="4" fontId="6" fillId="22" borderId="129">
      <alignment horizontal="right" vertical="center"/>
    </xf>
    <xf numFmtId="4" fontId="6" fillId="22" borderId="127">
      <alignment horizontal="right" vertical="center"/>
    </xf>
    <xf numFmtId="4" fontId="6" fillId="22" borderId="127">
      <alignment horizontal="right" vertical="center"/>
    </xf>
    <xf numFmtId="0" fontId="9" fillId="21" borderId="127">
      <alignment horizontal="right" vertical="center"/>
    </xf>
    <xf numFmtId="0" fontId="6" fillId="21" borderId="127">
      <alignment horizontal="right" vertical="center"/>
    </xf>
    <xf numFmtId="49" fontId="4" fillId="0" borderId="127" applyNumberFormat="0" applyFont="0" applyFill="0" applyBorder="0" applyProtection="0">
      <alignment horizontal="left" vertical="center" indent="2"/>
    </xf>
    <xf numFmtId="0" fontId="62" fillId="7" borderId="124" applyNumberFormat="0" applyAlignment="0" applyProtection="0"/>
    <xf numFmtId="0" fontId="26" fillId="23" borderId="123" applyNumberFormat="0" applyAlignment="0" applyProtection="0"/>
    <xf numFmtId="49" fontId="4" fillId="0" borderId="127" applyNumberFormat="0" applyFont="0" applyFill="0" applyBorder="0" applyProtection="0">
      <alignment horizontal="left" vertical="center" indent="2"/>
    </xf>
    <xf numFmtId="0" fontId="23" fillId="7" borderId="124" applyNumberFormat="0" applyAlignment="0" applyProtection="0"/>
    <xf numFmtId="4" fontId="4" fillId="0" borderId="127" applyFill="0" applyBorder="0" applyProtection="0">
      <alignment horizontal="right" vertical="center"/>
    </xf>
    <xf numFmtId="0" fontId="54" fillId="23" borderId="124" applyNumberFormat="0" applyAlignment="0" applyProtection="0"/>
    <xf numFmtId="0" fontId="68" fillId="0" borderId="125" applyNumberFormat="0" applyFill="0" applyAlignment="0" applyProtection="0"/>
    <xf numFmtId="0" fontId="66" fillId="23" borderId="123" applyNumberFormat="0" applyAlignment="0" applyProtection="0"/>
    <xf numFmtId="0" fontId="4" fillId="0" borderId="127" applyNumberFormat="0" applyFill="0" applyAlignment="0" applyProtection="0"/>
    <xf numFmtId="4" fontId="4" fillId="0" borderId="127">
      <alignment horizontal="right" vertical="center"/>
    </xf>
    <xf numFmtId="0" fontId="4" fillId="0" borderId="127">
      <alignment horizontal="right" vertical="center"/>
    </xf>
    <xf numFmtId="0" fontId="62" fillId="7" borderId="124" applyNumberFormat="0" applyAlignment="0" applyProtection="0"/>
    <xf numFmtId="0" fontId="26" fillId="23" borderId="123" applyNumberFormat="0" applyAlignment="0" applyProtection="0"/>
    <xf numFmtId="0" fontId="16" fillId="23" borderId="124" applyNumberFormat="0" applyAlignment="0" applyProtection="0"/>
    <xf numFmtId="0" fontId="4" fillId="22" borderId="130">
      <alignment horizontal="left" vertical="center" wrapText="1" indent="2"/>
    </xf>
    <xf numFmtId="0" fontId="54" fillId="23" borderId="124" applyNumberFormat="0" applyAlignment="0" applyProtection="0"/>
    <xf numFmtId="0" fontId="54" fillId="23" borderId="124" applyNumberFormat="0" applyAlignment="0" applyProtection="0"/>
    <xf numFmtId="4" fontId="6" fillId="22" borderId="128">
      <alignment horizontal="right" vertical="center"/>
    </xf>
    <xf numFmtId="0" fontId="6" fillId="22" borderId="128">
      <alignment horizontal="right" vertical="center"/>
    </xf>
    <xf numFmtId="0" fontId="6" fillId="22" borderId="127">
      <alignment horizontal="right" vertical="center"/>
    </xf>
    <xf numFmtId="4" fontId="9" fillId="21" borderId="127">
      <alignment horizontal="right" vertical="center"/>
    </xf>
    <xf numFmtId="0" fontId="23" fillId="7" borderId="124" applyNumberFormat="0" applyAlignment="0" applyProtection="0"/>
    <xf numFmtId="0" fontId="28" fillId="0" borderId="125" applyNumberFormat="0" applyFill="0" applyAlignment="0" applyProtection="0"/>
    <xf numFmtId="0" fontId="68" fillId="0" borderId="125" applyNumberFormat="0" applyFill="0" applyAlignment="0" applyProtection="0"/>
    <xf numFmtId="0" fontId="51" fillId="28" borderId="126" applyNumberFormat="0" applyFont="0" applyAlignment="0" applyProtection="0"/>
    <xf numFmtId="0" fontId="62" fillId="7" borderId="124" applyNumberFormat="0" applyAlignment="0" applyProtection="0"/>
    <xf numFmtId="49" fontId="8" fillId="0" borderId="127" applyNumberFormat="0" applyFill="0" applyBorder="0" applyProtection="0">
      <alignment horizontal="left" vertical="center"/>
    </xf>
    <xf numFmtId="0" fontId="4" fillId="22" borderId="130">
      <alignment horizontal="left" vertical="center" wrapText="1" indent="2"/>
    </xf>
    <xf numFmtId="0" fontId="54" fillId="23" borderId="124" applyNumberFormat="0" applyAlignment="0" applyProtection="0"/>
    <xf numFmtId="0" fontId="4" fillId="0" borderId="130">
      <alignment horizontal="left" vertical="center" wrapText="1" indent="2"/>
    </xf>
    <xf numFmtId="0" fontId="51" fillId="28" borderId="126" applyNumberFormat="0" applyFont="0" applyAlignment="0" applyProtection="0"/>
    <xf numFmtId="0" fontId="7" fillId="28" borderId="126" applyNumberFormat="0" applyFont="0" applyAlignment="0" applyProtection="0"/>
    <xf numFmtId="0" fontId="66" fillId="23" borderId="123" applyNumberFormat="0" applyAlignment="0" applyProtection="0"/>
    <xf numFmtId="0" fontId="68" fillId="0" borderId="125" applyNumberFormat="0" applyFill="0" applyAlignment="0" applyProtection="0"/>
    <xf numFmtId="4" fontId="4" fillId="27" borderId="127"/>
    <xf numFmtId="0" fontId="6" fillId="22" borderId="127">
      <alignment horizontal="right" vertical="center"/>
    </xf>
    <xf numFmtId="0" fontId="68" fillId="0" borderId="125" applyNumberFormat="0" applyFill="0" applyAlignment="0" applyProtection="0"/>
    <xf numFmtId="4" fontId="6" fillId="22" borderId="129">
      <alignment horizontal="right" vertical="center"/>
    </xf>
    <xf numFmtId="0" fontId="16" fillId="23" borderId="124" applyNumberFormat="0" applyAlignment="0" applyProtection="0"/>
    <xf numFmtId="0" fontId="6" fillId="22" borderId="128">
      <alignment horizontal="right" vertical="center"/>
    </xf>
    <xf numFmtId="0" fontId="54" fillId="23" borderId="124" applyNumberFormat="0" applyAlignment="0" applyProtection="0"/>
    <xf numFmtId="0" fontId="28" fillId="0" borderId="125" applyNumberFormat="0" applyFill="0" applyAlignment="0" applyProtection="0"/>
    <xf numFmtId="0" fontId="51" fillId="28" borderId="126" applyNumberFormat="0" applyFont="0" applyAlignment="0" applyProtection="0"/>
    <xf numFmtId="4" fontId="6" fillId="22" borderId="128">
      <alignment horizontal="right" vertical="center"/>
    </xf>
    <xf numFmtId="0" fontId="4" fillId="22" borderId="130">
      <alignment horizontal="left" vertical="center" wrapText="1" indent="2"/>
    </xf>
    <xf numFmtId="0" fontId="4" fillId="27" borderId="127"/>
    <xf numFmtId="178" fontId="4" fillId="29" borderId="127" applyNumberFormat="0" applyFont="0" applyBorder="0" applyAlignment="0" applyProtection="0">
      <alignment horizontal="right" vertical="center"/>
    </xf>
    <xf numFmtId="0" fontId="4" fillId="0" borderId="127" applyNumberFormat="0" applyFill="0" applyAlignment="0" applyProtection="0"/>
    <xf numFmtId="4" fontId="4" fillId="0" borderId="127" applyFill="0" applyBorder="0" applyProtection="0">
      <alignment horizontal="right" vertical="center"/>
    </xf>
    <xf numFmtId="4" fontId="6" fillId="21" borderId="127">
      <alignment horizontal="right" vertical="center"/>
    </xf>
    <xf numFmtId="0" fontId="28" fillId="0" borderId="125" applyNumberFormat="0" applyFill="0" applyAlignment="0" applyProtection="0"/>
    <xf numFmtId="49" fontId="8" fillId="0" borderId="127" applyNumberFormat="0" applyFill="0" applyBorder="0" applyProtection="0">
      <alignment horizontal="left" vertical="center"/>
    </xf>
    <xf numFmtId="49" fontId="4" fillId="0" borderId="128" applyNumberFormat="0" applyFont="0" applyFill="0" applyBorder="0" applyProtection="0">
      <alignment horizontal="left" vertical="center" indent="5"/>
    </xf>
    <xf numFmtId="0" fontId="4" fillId="21" borderId="128">
      <alignment horizontal="left" vertical="center"/>
    </xf>
    <xf numFmtId="0" fontId="54" fillId="23" borderId="124" applyNumberFormat="0" applyAlignment="0" applyProtection="0"/>
    <xf numFmtId="4" fontId="6" fillId="22" borderId="129">
      <alignment horizontal="right" vertical="center"/>
    </xf>
    <xf numFmtId="0" fontId="62" fillId="7" borderId="124" applyNumberFormat="0" applyAlignment="0" applyProtection="0"/>
    <xf numFmtId="0" fontId="62" fillId="7" borderId="124" applyNumberFormat="0" applyAlignment="0" applyProtection="0"/>
    <xf numFmtId="0" fontId="51" fillId="28" borderId="126" applyNumberFormat="0" applyFont="0" applyAlignment="0" applyProtection="0"/>
    <xf numFmtId="0" fontId="66" fillId="23" borderId="123" applyNumberFormat="0" applyAlignment="0" applyProtection="0"/>
    <xf numFmtId="0" fontId="68" fillId="0" borderId="125" applyNumberFormat="0" applyFill="0" applyAlignment="0" applyProtection="0"/>
    <xf numFmtId="0" fontId="6" fillId="22" borderId="127">
      <alignment horizontal="right" vertical="center"/>
    </xf>
    <xf numFmtId="0" fontId="7" fillId="28" borderId="126" applyNumberFormat="0" applyFont="0" applyAlignment="0" applyProtection="0"/>
    <xf numFmtId="4" fontId="4" fillId="0" borderId="127">
      <alignment horizontal="right" vertical="center"/>
    </xf>
    <xf numFmtId="0" fontId="68" fillId="0" borderId="125" applyNumberFormat="0" applyFill="0" applyAlignment="0" applyProtection="0"/>
    <xf numFmtId="0" fontId="6" fillId="22" borderId="127">
      <alignment horizontal="right" vertical="center"/>
    </xf>
    <xf numFmtId="0" fontId="6" fillId="22" borderId="127">
      <alignment horizontal="right" vertical="center"/>
    </xf>
    <xf numFmtId="4" fontId="9" fillId="21" borderId="127">
      <alignment horizontal="right" vertical="center"/>
    </xf>
    <xf numFmtId="0" fontId="6" fillId="21" borderId="127">
      <alignment horizontal="right" vertical="center"/>
    </xf>
    <xf numFmtId="4" fontId="6" fillId="21" borderId="127">
      <alignment horizontal="right" vertical="center"/>
    </xf>
    <xf numFmtId="0" fontId="9" fillId="21" borderId="127">
      <alignment horizontal="right" vertical="center"/>
    </xf>
    <xf numFmtId="4" fontId="9" fillId="21" borderId="127">
      <alignment horizontal="right" vertical="center"/>
    </xf>
    <xf numFmtId="0" fontId="6" fillId="22" borderId="127">
      <alignment horizontal="right" vertical="center"/>
    </xf>
    <xf numFmtId="4" fontId="6" fillId="22" borderId="127">
      <alignment horizontal="right" vertical="center"/>
    </xf>
    <xf numFmtId="0" fontId="6" fillId="22" borderId="127">
      <alignment horizontal="right" vertical="center"/>
    </xf>
    <xf numFmtId="4" fontId="6" fillId="22" borderId="127">
      <alignment horizontal="right" vertical="center"/>
    </xf>
    <xf numFmtId="0" fontId="6" fillId="22" borderId="128">
      <alignment horizontal="right" vertical="center"/>
    </xf>
    <xf numFmtId="4" fontId="6" fillId="22" borderId="128">
      <alignment horizontal="right" vertical="center"/>
    </xf>
    <xf numFmtId="0" fontId="6" fillId="22" borderId="129">
      <alignment horizontal="right" vertical="center"/>
    </xf>
    <xf numFmtId="4" fontId="6" fillId="22" borderId="129">
      <alignment horizontal="right" vertical="center"/>
    </xf>
    <xf numFmtId="0" fontId="54" fillId="23" borderId="124" applyNumberFormat="0" applyAlignment="0" applyProtection="0"/>
    <xf numFmtId="0" fontId="4" fillId="22" borderId="130">
      <alignment horizontal="left" vertical="center" wrapText="1" indent="2"/>
    </xf>
    <xf numFmtId="0" fontId="4" fillId="0" borderId="130">
      <alignment horizontal="left" vertical="center" wrapText="1" indent="2"/>
    </xf>
    <xf numFmtId="0" fontId="4" fillId="21" borderId="128">
      <alignment horizontal="left" vertical="center"/>
    </xf>
    <xf numFmtId="0" fontId="62" fillId="7" borderId="124" applyNumberFormat="0" applyAlignment="0" applyProtection="0"/>
    <xf numFmtId="0" fontId="4" fillId="0" borderId="127">
      <alignment horizontal="right" vertical="center"/>
    </xf>
    <xf numFmtId="4" fontId="4" fillId="0" borderId="127">
      <alignment horizontal="right" vertical="center"/>
    </xf>
    <xf numFmtId="0" fontId="4" fillId="0" borderId="127" applyNumberFormat="0" applyFill="0" applyAlignment="0" applyProtection="0"/>
    <xf numFmtId="0" fontId="66" fillId="23" borderId="123" applyNumberFormat="0" applyAlignment="0" applyProtection="0"/>
    <xf numFmtId="178" fontId="4" fillId="29" borderId="127" applyNumberFormat="0" applyFont="0" applyBorder="0" applyAlignment="0" applyProtection="0">
      <alignment horizontal="right" vertical="center"/>
    </xf>
    <xf numFmtId="0" fontId="4" fillId="27" borderId="127"/>
    <xf numFmtId="4" fontId="4" fillId="27" borderId="127"/>
    <xf numFmtId="0" fontId="68" fillId="0" borderId="125" applyNumberFormat="0" applyFill="0" applyAlignment="0" applyProtection="0"/>
    <xf numFmtId="0" fontId="7" fillId="28" borderId="126" applyNumberFormat="0" applyFont="0" applyAlignment="0" applyProtection="0"/>
    <xf numFmtId="0" fontId="51" fillId="28" borderId="126" applyNumberFormat="0" applyFont="0" applyAlignment="0" applyProtection="0"/>
    <xf numFmtId="0" fontId="4" fillId="0" borderId="127" applyNumberFormat="0" applyFill="0" applyAlignment="0" applyProtection="0"/>
    <xf numFmtId="0" fontId="28" fillId="0" borderId="125" applyNumberFormat="0" applyFill="0" applyAlignment="0" applyProtection="0"/>
    <xf numFmtId="0" fontId="68" fillId="0" borderId="125" applyNumberFormat="0" applyFill="0" applyAlignment="0" applyProtection="0"/>
    <xf numFmtId="0" fontId="23" fillId="7" borderId="124" applyNumberFormat="0" applyAlignment="0" applyProtection="0"/>
    <xf numFmtId="0" fontId="54" fillId="23" borderId="124" applyNumberFormat="0" applyAlignment="0" applyProtection="0"/>
    <xf numFmtId="4" fontId="9" fillId="21" borderId="127">
      <alignment horizontal="right" vertical="center"/>
    </xf>
    <xf numFmtId="0" fontId="6" fillId="21" borderId="127">
      <alignment horizontal="right" vertical="center"/>
    </xf>
    <xf numFmtId="178" fontId="4" fillId="29" borderId="127" applyNumberFormat="0" applyFont="0" applyBorder="0" applyAlignment="0" applyProtection="0">
      <alignment horizontal="right" vertical="center"/>
    </xf>
    <xf numFmtId="0" fontId="28" fillId="0" borderId="125" applyNumberFormat="0" applyFill="0" applyAlignment="0" applyProtection="0"/>
    <xf numFmtId="49" fontId="4" fillId="0" borderId="127" applyNumberFormat="0" applyFont="0" applyFill="0" applyBorder="0" applyProtection="0">
      <alignment horizontal="left" vertical="center" indent="2"/>
    </xf>
    <xf numFmtId="49" fontId="4" fillId="0" borderId="128" applyNumberFormat="0" applyFont="0" applyFill="0" applyBorder="0" applyProtection="0">
      <alignment horizontal="left" vertical="center" indent="5"/>
    </xf>
    <xf numFmtId="49" fontId="4" fillId="0" borderId="127" applyNumberFormat="0" applyFont="0" applyFill="0" applyBorder="0" applyProtection="0">
      <alignment horizontal="left" vertical="center" indent="2"/>
    </xf>
    <xf numFmtId="4" fontId="4" fillId="0" borderId="127" applyFill="0" applyBorder="0" applyProtection="0">
      <alignment horizontal="right" vertical="center"/>
    </xf>
    <xf numFmtId="49" fontId="8" fillId="0" borderId="127" applyNumberFormat="0" applyFill="0" applyBorder="0" applyProtection="0">
      <alignment horizontal="left" vertical="center"/>
    </xf>
    <xf numFmtId="0" fontId="4" fillId="0" borderId="130">
      <alignment horizontal="left" vertical="center" wrapText="1" indent="2"/>
    </xf>
    <xf numFmtId="0" fontId="66" fillId="23" borderId="123" applyNumberFormat="0" applyAlignment="0" applyProtection="0"/>
    <xf numFmtId="0" fontId="6" fillId="22" borderId="129">
      <alignment horizontal="right" vertical="center"/>
    </xf>
    <xf numFmtId="0" fontId="23" fillId="7" borderId="124" applyNumberFormat="0" applyAlignment="0" applyProtection="0"/>
    <xf numFmtId="0" fontId="6" fillId="22" borderId="129">
      <alignment horizontal="right" vertical="center"/>
    </xf>
    <xf numFmtId="4" fontId="6" fillId="22" borderId="127">
      <alignment horizontal="right" vertical="center"/>
    </xf>
    <xf numFmtId="0" fontId="6" fillId="22" borderId="127">
      <alignment horizontal="right" vertical="center"/>
    </xf>
    <xf numFmtId="0" fontId="26" fillId="23" borderId="123" applyNumberFormat="0" applyAlignment="0" applyProtection="0"/>
    <xf numFmtId="0" fontId="16" fillId="23" borderId="124" applyNumberFormat="0" applyAlignment="0" applyProtection="0"/>
    <xf numFmtId="0" fontId="28" fillId="0" borderId="125" applyNumberFormat="0" applyFill="0" applyAlignment="0" applyProtection="0"/>
    <xf numFmtId="0" fontId="4" fillId="27" borderId="127"/>
    <xf numFmtId="4" fontId="4" fillId="27" borderId="127"/>
    <xf numFmtId="4" fontId="6" fillId="22" borderId="127">
      <alignment horizontal="right" vertical="center"/>
    </xf>
    <xf numFmtId="0" fontId="9" fillId="21" borderId="127">
      <alignment horizontal="right" vertical="center"/>
    </xf>
    <xf numFmtId="0" fontId="23" fillId="7" borderId="124" applyNumberFormat="0" applyAlignment="0" applyProtection="0"/>
    <xf numFmtId="0" fontId="54" fillId="23" borderId="124" applyNumberFormat="0" applyAlignment="0" applyProtection="0"/>
    <xf numFmtId="4" fontId="4" fillId="0" borderId="127">
      <alignment horizontal="right" vertical="center"/>
    </xf>
    <xf numFmtId="0" fontId="4" fillId="22" borderId="130">
      <alignment horizontal="left" vertical="center" wrapText="1" indent="2"/>
    </xf>
    <xf numFmtId="0" fontId="4" fillId="0" borderId="130">
      <alignment horizontal="left" vertical="center" wrapText="1" indent="2"/>
    </xf>
    <xf numFmtId="0" fontId="66" fillId="23" borderId="123" applyNumberFormat="0" applyAlignment="0" applyProtection="0"/>
    <xf numFmtId="0" fontId="62" fillId="7" borderId="124" applyNumberFormat="0" applyAlignment="0" applyProtection="0"/>
    <xf numFmtId="0" fontId="16" fillId="23" borderId="124" applyNumberFormat="0" applyAlignment="0" applyProtection="0"/>
    <xf numFmtId="0" fontId="26" fillId="23" borderId="123" applyNumberFormat="0" applyAlignment="0" applyProtection="0"/>
    <xf numFmtId="0" fontId="6" fillId="22" borderId="129">
      <alignment horizontal="right" vertical="center"/>
    </xf>
    <xf numFmtId="0" fontId="9" fillId="21" borderId="127">
      <alignment horizontal="right" vertical="center"/>
    </xf>
    <xf numFmtId="4" fontId="6" fillId="21" borderId="127">
      <alignment horizontal="right" vertical="center"/>
    </xf>
    <xf numFmtId="4" fontId="6" fillId="22" borderId="127">
      <alignment horizontal="right" vertical="center"/>
    </xf>
    <xf numFmtId="49" fontId="4" fillId="0" borderId="128" applyNumberFormat="0" applyFont="0" applyFill="0" applyBorder="0" applyProtection="0">
      <alignment horizontal="left" vertical="center" indent="5"/>
    </xf>
    <xf numFmtId="4" fontId="4" fillId="0" borderId="127" applyFill="0" applyBorder="0" applyProtection="0">
      <alignment horizontal="right" vertical="center"/>
    </xf>
    <xf numFmtId="4" fontId="6" fillId="21" borderId="127">
      <alignment horizontal="right" vertical="center"/>
    </xf>
    <xf numFmtId="0" fontId="62" fillId="7" borderId="124" applyNumberFormat="0" applyAlignment="0" applyProtection="0"/>
    <xf numFmtId="0" fontId="23" fillId="7" borderId="124" applyNumberFormat="0" applyAlignment="0" applyProtection="0"/>
    <xf numFmtId="0" fontId="16" fillId="23" borderId="124" applyNumberFormat="0" applyAlignment="0" applyProtection="0"/>
    <xf numFmtId="0" fontId="4" fillId="22" borderId="130">
      <alignment horizontal="left" vertical="center" wrapText="1" indent="2"/>
    </xf>
    <xf numFmtId="0" fontId="4" fillId="0" borderId="130">
      <alignment horizontal="left" vertical="center" wrapText="1" indent="2"/>
    </xf>
    <xf numFmtId="0" fontId="4" fillId="22" borderId="130">
      <alignment horizontal="left" vertical="center" wrapText="1" indent="2"/>
    </xf>
    <xf numFmtId="0" fontId="4" fillId="0" borderId="130">
      <alignment horizontal="left" vertical="center" wrapText="1" indent="2"/>
    </xf>
    <xf numFmtId="0" fontId="16" fillId="23" borderId="139" applyNumberFormat="0" applyAlignment="0" applyProtection="0"/>
    <xf numFmtId="0" fontId="26" fillId="23" borderId="131" applyNumberFormat="0" applyAlignment="0" applyProtection="0"/>
    <xf numFmtId="0" fontId="16" fillId="23" borderId="132" applyNumberFormat="0" applyAlignment="0" applyProtection="0"/>
    <xf numFmtId="0" fontId="54" fillId="23" borderId="132" applyNumberFormat="0" applyAlignment="0" applyProtection="0"/>
    <xf numFmtId="0" fontId="23" fillId="7" borderId="132" applyNumberFormat="0" applyAlignment="0" applyProtection="0"/>
    <xf numFmtId="0" fontId="28" fillId="0" borderId="133" applyNumberFormat="0" applyFill="0" applyAlignment="0" applyProtection="0"/>
    <xf numFmtId="0" fontId="62" fillId="7" borderId="139" applyNumberFormat="0" applyAlignment="0" applyProtection="0"/>
    <xf numFmtId="0" fontId="54" fillId="23" borderId="139" applyNumberFormat="0" applyAlignment="0" applyProtection="0"/>
    <xf numFmtId="0" fontId="62" fillId="7" borderId="132" applyNumberFormat="0" applyAlignment="0" applyProtection="0"/>
    <xf numFmtId="0" fontId="68" fillId="0" borderId="140" applyNumberFormat="0" applyFill="0" applyAlignment="0" applyProtection="0"/>
    <xf numFmtId="0" fontId="51" fillId="28" borderId="134" applyNumberFormat="0" applyFont="0" applyAlignment="0" applyProtection="0"/>
    <xf numFmtId="0" fontId="7" fillId="28" borderId="134" applyNumberFormat="0" applyFont="0" applyAlignment="0" applyProtection="0"/>
    <xf numFmtId="0" fontId="66" fillId="23" borderId="131" applyNumberFormat="0" applyAlignment="0" applyProtection="0"/>
    <xf numFmtId="0" fontId="68" fillId="0" borderId="133" applyNumberFormat="0" applyFill="0" applyAlignment="0" applyProtection="0"/>
    <xf numFmtId="0" fontId="28" fillId="0" borderId="140" applyNumberFormat="0" applyFill="0" applyAlignment="0" applyProtection="0"/>
    <xf numFmtId="0" fontId="54" fillId="23" borderId="132" applyNumberFormat="0" applyAlignment="0" applyProtection="0"/>
    <xf numFmtId="0" fontId="62" fillId="7" borderId="132" applyNumberFormat="0" applyAlignment="0" applyProtection="0"/>
    <xf numFmtId="0" fontId="51" fillId="28" borderId="134" applyNumberFormat="0" applyFont="0" applyAlignment="0" applyProtection="0"/>
    <xf numFmtId="0" fontId="66" fillId="23" borderId="131" applyNumberFormat="0" applyAlignment="0" applyProtection="0"/>
    <xf numFmtId="0" fontId="68" fillId="0" borderId="133" applyNumberFormat="0" applyFill="0" applyAlignment="0" applyProtection="0"/>
    <xf numFmtId="0" fontId="23" fillId="7" borderId="139" applyNumberFormat="0" applyAlignment="0" applyProtection="0"/>
    <xf numFmtId="0" fontId="6" fillId="21" borderId="135">
      <alignment horizontal="right" vertical="center"/>
    </xf>
    <xf numFmtId="4" fontId="6" fillId="21" borderId="135">
      <alignment horizontal="right" vertical="center"/>
    </xf>
    <xf numFmtId="0" fontId="9" fillId="21" borderId="135">
      <alignment horizontal="right" vertical="center"/>
    </xf>
    <xf numFmtId="4" fontId="9" fillId="21" borderId="135">
      <alignment horizontal="right" vertical="center"/>
    </xf>
    <xf numFmtId="0" fontId="6" fillId="22" borderId="135">
      <alignment horizontal="right" vertical="center"/>
    </xf>
    <xf numFmtId="4" fontId="6" fillId="22" borderId="135">
      <alignment horizontal="right" vertical="center"/>
    </xf>
    <xf numFmtId="0" fontId="6" fillId="22" borderId="135">
      <alignment horizontal="right" vertical="center"/>
    </xf>
    <xf numFmtId="4" fontId="6" fillId="22" borderId="135">
      <alignment horizontal="right" vertical="center"/>
    </xf>
    <xf numFmtId="0" fontId="6" fillId="22" borderId="136">
      <alignment horizontal="right" vertical="center"/>
    </xf>
    <xf numFmtId="4" fontId="6" fillId="22" borderId="136">
      <alignment horizontal="right" vertical="center"/>
    </xf>
    <xf numFmtId="0" fontId="6" fillId="22" borderId="137">
      <alignment horizontal="right" vertical="center"/>
    </xf>
    <xf numFmtId="4" fontId="6" fillId="22" borderId="137">
      <alignment horizontal="right" vertical="center"/>
    </xf>
    <xf numFmtId="0" fontId="54" fillId="23" borderId="132" applyNumberFormat="0" applyAlignment="0" applyProtection="0"/>
    <xf numFmtId="0" fontId="4" fillId="22" borderId="138">
      <alignment horizontal="left" vertical="center" wrapText="1" indent="2"/>
    </xf>
    <xf numFmtId="0" fontId="4" fillId="0" borderId="138">
      <alignment horizontal="left" vertical="center" wrapText="1" indent="2"/>
    </xf>
    <xf numFmtId="0" fontId="4" fillId="21" borderId="136">
      <alignment horizontal="left" vertical="center"/>
    </xf>
    <xf numFmtId="0" fontId="62" fillId="7" borderId="132" applyNumberFormat="0" applyAlignment="0" applyProtection="0"/>
    <xf numFmtId="0" fontId="4" fillId="0" borderId="135">
      <alignment horizontal="right" vertical="center"/>
    </xf>
    <xf numFmtId="4" fontId="4" fillId="0" borderId="135">
      <alignment horizontal="right" vertical="center"/>
    </xf>
    <xf numFmtId="0" fontId="62" fillId="7" borderId="139" applyNumberFormat="0" applyAlignment="0" applyProtection="0"/>
    <xf numFmtId="0" fontId="4" fillId="0" borderId="135" applyNumberFormat="0" applyFill="0" applyAlignment="0" applyProtection="0"/>
    <xf numFmtId="0" fontId="66" fillId="23" borderId="131" applyNumberFormat="0" applyAlignment="0" applyProtection="0"/>
    <xf numFmtId="178" fontId="4" fillId="29" borderId="135" applyNumberFormat="0" applyFont="0" applyBorder="0" applyAlignment="0" applyProtection="0">
      <alignment horizontal="right" vertical="center"/>
    </xf>
    <xf numFmtId="0" fontId="4" fillId="27" borderId="135"/>
    <xf numFmtId="4" fontId="4" fillId="27" borderId="135"/>
    <xf numFmtId="0" fontId="68" fillId="0" borderId="133" applyNumberFormat="0" applyFill="0" applyAlignment="0" applyProtection="0"/>
    <xf numFmtId="0" fontId="7" fillId="28" borderId="141" applyNumberFormat="0" applyFont="0" applyAlignment="0" applyProtection="0"/>
    <xf numFmtId="0" fontId="51" fillId="28" borderId="141" applyNumberFormat="0" applyFont="0" applyAlignment="0" applyProtection="0"/>
    <xf numFmtId="49" fontId="4" fillId="0" borderId="135" applyNumberFormat="0" applyFont="0" applyFill="0" applyBorder="0" applyProtection="0">
      <alignment horizontal="left" vertical="center" indent="2"/>
    </xf>
    <xf numFmtId="49" fontId="4" fillId="0" borderId="136" applyNumberFormat="0" applyFont="0" applyFill="0" applyBorder="0" applyProtection="0">
      <alignment horizontal="left" vertical="center" indent="5"/>
    </xf>
    <xf numFmtId="4" fontId="4" fillId="0" borderId="135" applyFill="0" applyBorder="0" applyProtection="0">
      <alignment horizontal="right" vertical="center"/>
    </xf>
    <xf numFmtId="49" fontId="8" fillId="0" borderId="135" applyNumberFormat="0" applyFill="0" applyBorder="0" applyProtection="0">
      <alignment horizontal="left" vertical="center"/>
    </xf>
    <xf numFmtId="0" fontId="26" fillId="23" borderId="131" applyNumberFormat="0" applyAlignment="0" applyProtection="0"/>
    <xf numFmtId="0" fontId="16" fillId="23" borderId="132" applyNumberFormat="0" applyAlignment="0" applyProtection="0"/>
    <xf numFmtId="0" fontId="28" fillId="0" borderId="133" applyNumberFormat="0" applyFill="0" applyAlignment="0" applyProtection="0"/>
    <xf numFmtId="0" fontId="68" fillId="0" borderId="140" applyNumberFormat="0" applyFill="0" applyAlignment="0" applyProtection="0"/>
    <xf numFmtId="0" fontId="62" fillId="7" borderId="139" applyNumberFormat="0" applyAlignment="0" applyProtection="0"/>
    <xf numFmtId="0" fontId="54" fillId="23" borderId="139" applyNumberFormat="0" applyAlignment="0" applyProtection="0"/>
    <xf numFmtId="0" fontId="68" fillId="0" borderId="140" applyNumberFormat="0" applyFill="0" applyAlignment="0" applyProtection="0"/>
    <xf numFmtId="0" fontId="51" fillId="28" borderId="141" applyNumberFormat="0" applyFont="0" applyAlignment="0" applyProtection="0"/>
    <xf numFmtId="0" fontId="23" fillId="7" borderId="132" applyNumberFormat="0" applyAlignment="0" applyProtection="0"/>
    <xf numFmtId="0" fontId="4" fillId="22" borderId="138">
      <alignment horizontal="left" vertical="center" wrapText="1" indent="2"/>
    </xf>
    <xf numFmtId="0" fontId="4" fillId="0" borderId="138">
      <alignment horizontal="left" vertical="center" wrapText="1" indent="2"/>
    </xf>
    <xf numFmtId="0" fontId="23" fillId="7" borderId="139" applyNumberFormat="0" applyAlignment="0" applyProtection="0"/>
    <xf numFmtId="0" fontId="28" fillId="0" borderId="140" applyNumberFormat="0" applyFill="0" applyAlignment="0" applyProtection="0"/>
    <xf numFmtId="0" fontId="54" fillId="23" borderId="139" applyNumberFormat="0" applyAlignment="0" applyProtection="0"/>
    <xf numFmtId="0" fontId="16" fillId="23" borderId="139" applyNumberFormat="0" applyAlignment="0" applyProtection="0"/>
    <xf numFmtId="4" fontId="6" fillId="22" borderId="135">
      <alignment horizontal="right" vertical="center"/>
    </xf>
    <xf numFmtId="0" fontId="4" fillId="27" borderId="135"/>
    <xf numFmtId="0" fontId="16" fillId="23" borderId="132" applyNumberFormat="0" applyAlignment="0" applyProtection="0"/>
    <xf numFmtId="0" fontId="6" fillId="21" borderId="135">
      <alignment horizontal="right" vertical="center"/>
    </xf>
    <xf numFmtId="0" fontId="4" fillId="0" borderId="135">
      <alignment horizontal="right" vertical="center"/>
    </xf>
    <xf numFmtId="0" fontId="68" fillId="0" borderId="133" applyNumberFormat="0" applyFill="0" applyAlignment="0" applyProtection="0"/>
    <xf numFmtId="0" fontId="4" fillId="21" borderId="136">
      <alignment horizontal="left" vertical="center"/>
    </xf>
    <xf numFmtId="0" fontId="62" fillId="7" borderId="132" applyNumberFormat="0" applyAlignment="0" applyProtection="0"/>
    <xf numFmtId="178" fontId="4" fillId="29" borderId="135" applyNumberFormat="0" applyFont="0" applyBorder="0" applyAlignment="0" applyProtection="0">
      <alignment horizontal="right" vertical="center"/>
    </xf>
    <xf numFmtId="0" fontId="51" fillId="28" borderId="134" applyNumberFormat="0" applyFont="0" applyAlignment="0" applyProtection="0"/>
    <xf numFmtId="0" fontId="4" fillId="0" borderId="138">
      <alignment horizontal="left" vertical="center" wrapText="1" indent="2"/>
    </xf>
    <xf numFmtId="4" fontId="4" fillId="27" borderId="135"/>
    <xf numFmtId="49" fontId="8" fillId="0" borderId="135" applyNumberFormat="0" applyFill="0" applyBorder="0" applyProtection="0">
      <alignment horizontal="left" vertical="center"/>
    </xf>
    <xf numFmtId="0" fontId="4" fillId="0" borderId="135">
      <alignment horizontal="right" vertical="center"/>
    </xf>
    <xf numFmtId="4" fontId="6" fillId="22" borderId="137">
      <alignment horizontal="right" vertical="center"/>
    </xf>
    <xf numFmtId="4" fontId="6" fillId="22" borderId="135">
      <alignment horizontal="right" vertical="center"/>
    </xf>
    <xf numFmtId="4" fontId="6" fillId="22" borderId="135">
      <alignment horizontal="right" vertical="center"/>
    </xf>
    <xf numFmtId="0" fontId="9" fillId="21" borderId="135">
      <alignment horizontal="right" vertical="center"/>
    </xf>
    <xf numFmtId="0" fontId="6" fillId="21" borderId="135">
      <alignment horizontal="right" vertical="center"/>
    </xf>
    <xf numFmtId="49" fontId="4" fillId="0" borderId="135" applyNumberFormat="0" applyFont="0" applyFill="0" applyBorder="0" applyProtection="0">
      <alignment horizontal="left" vertical="center" indent="2"/>
    </xf>
    <xf numFmtId="0" fontId="62" fillId="7" borderId="132" applyNumberFormat="0" applyAlignment="0" applyProtection="0"/>
    <xf numFmtId="0" fontId="26" fillId="23" borderId="131" applyNumberFormat="0" applyAlignment="0" applyProtection="0"/>
    <xf numFmtId="49" fontId="4" fillId="0" borderId="135" applyNumberFormat="0" applyFont="0" applyFill="0" applyBorder="0" applyProtection="0">
      <alignment horizontal="left" vertical="center" indent="2"/>
    </xf>
    <xf numFmtId="0" fontId="23" fillId="7" borderId="132" applyNumberFormat="0" applyAlignment="0" applyProtection="0"/>
    <xf numFmtId="4" fontId="4" fillId="0" borderId="135" applyFill="0" applyBorder="0" applyProtection="0">
      <alignment horizontal="right" vertical="center"/>
    </xf>
    <xf numFmtId="0" fontId="54" fillId="23" borderId="132" applyNumberFormat="0" applyAlignment="0" applyProtection="0"/>
    <xf numFmtId="0" fontId="68" fillId="0" borderId="133" applyNumberFormat="0" applyFill="0" applyAlignment="0" applyProtection="0"/>
    <xf numFmtId="0" fontId="66" fillId="23" borderId="131" applyNumberFormat="0" applyAlignment="0" applyProtection="0"/>
    <xf numFmtId="0" fontId="4" fillId="0" borderId="135" applyNumberFormat="0" applyFill="0" applyAlignment="0" applyProtection="0"/>
    <xf numFmtId="4" fontId="4" fillId="0" borderId="135">
      <alignment horizontal="right" vertical="center"/>
    </xf>
    <xf numFmtId="0" fontId="4" fillId="0" borderId="135">
      <alignment horizontal="right" vertical="center"/>
    </xf>
    <xf numFmtId="0" fontId="62" fillId="7" borderId="132" applyNumberFormat="0" applyAlignment="0" applyProtection="0"/>
    <xf numFmtId="0" fontId="26" fillId="23" borderId="131" applyNumberFormat="0" applyAlignment="0" applyProtection="0"/>
    <xf numFmtId="0" fontId="16" fillId="23" borderId="132" applyNumberFormat="0" applyAlignment="0" applyProtection="0"/>
    <xf numFmtId="0" fontId="4" fillId="22" borderId="138">
      <alignment horizontal="left" vertical="center" wrapText="1" indent="2"/>
    </xf>
    <xf numFmtId="0" fontId="54" fillId="23" borderId="132" applyNumberFormat="0" applyAlignment="0" applyProtection="0"/>
    <xf numFmtId="0" fontId="54" fillId="23" borderId="132" applyNumberFormat="0" applyAlignment="0" applyProtection="0"/>
    <xf numFmtId="4" fontId="6" fillId="22" borderId="136">
      <alignment horizontal="right" vertical="center"/>
    </xf>
    <xf numFmtId="0" fontId="6" fillId="22" borderId="136">
      <alignment horizontal="right" vertical="center"/>
    </xf>
    <xf numFmtId="0" fontId="6" fillId="22" borderId="135">
      <alignment horizontal="right" vertical="center"/>
    </xf>
    <xf numFmtId="4" fontId="9" fillId="21" borderId="135">
      <alignment horizontal="right" vertical="center"/>
    </xf>
    <xf numFmtId="0" fontId="23" fillId="7" borderId="132" applyNumberFormat="0" applyAlignment="0" applyProtection="0"/>
    <xf numFmtId="0" fontId="28" fillId="0" borderId="133" applyNumberFormat="0" applyFill="0" applyAlignment="0" applyProtection="0"/>
    <xf numFmtId="0" fontId="68" fillId="0" borderId="133" applyNumberFormat="0" applyFill="0" applyAlignment="0" applyProtection="0"/>
    <xf numFmtId="0" fontId="51" fillId="28" borderId="134" applyNumberFormat="0" applyFont="0" applyAlignment="0" applyProtection="0"/>
    <xf numFmtId="0" fontId="62" fillId="7" borderId="132" applyNumberFormat="0" applyAlignment="0" applyProtection="0"/>
    <xf numFmtId="49" fontId="8" fillId="0" borderId="135" applyNumberFormat="0" applyFill="0" applyBorder="0" applyProtection="0">
      <alignment horizontal="left" vertical="center"/>
    </xf>
    <xf numFmtId="0" fontId="4" fillId="22" borderId="138">
      <alignment horizontal="left" vertical="center" wrapText="1" indent="2"/>
    </xf>
    <xf numFmtId="0" fontId="54" fillId="23" borderId="132" applyNumberFormat="0" applyAlignment="0" applyProtection="0"/>
    <xf numFmtId="0" fontId="4" fillId="0" borderId="138">
      <alignment horizontal="left" vertical="center" wrapText="1" indent="2"/>
    </xf>
    <xf numFmtId="0" fontId="51" fillId="28" borderId="134" applyNumberFormat="0" applyFont="0" applyAlignment="0" applyProtection="0"/>
    <xf numFmtId="0" fontId="7" fillId="28" borderId="134" applyNumberFormat="0" applyFont="0" applyAlignment="0" applyProtection="0"/>
    <xf numFmtId="0" fontId="66" fillId="23" borderId="131" applyNumberFormat="0" applyAlignment="0" applyProtection="0"/>
    <xf numFmtId="0" fontId="68" fillId="0" borderId="133" applyNumberFormat="0" applyFill="0" applyAlignment="0" applyProtection="0"/>
    <xf numFmtId="4" fontId="4" fillId="27" borderId="135"/>
    <xf numFmtId="0" fontId="6" fillId="22" borderId="135">
      <alignment horizontal="right" vertical="center"/>
    </xf>
    <xf numFmtId="0" fontId="68" fillId="0" borderId="133" applyNumberFormat="0" applyFill="0" applyAlignment="0" applyProtection="0"/>
    <xf numFmtId="4" fontId="6" fillId="22" borderId="137">
      <alignment horizontal="right" vertical="center"/>
    </xf>
    <xf numFmtId="0" fontId="16" fillId="23" borderId="132" applyNumberFormat="0" applyAlignment="0" applyProtection="0"/>
    <xf numFmtId="0" fontId="6" fillId="22" borderId="136">
      <alignment horizontal="right" vertical="center"/>
    </xf>
    <xf numFmtId="0" fontId="54" fillId="23" borderId="132" applyNumberFormat="0" applyAlignment="0" applyProtection="0"/>
    <xf numFmtId="0" fontId="28" fillId="0" borderId="133" applyNumberFormat="0" applyFill="0" applyAlignment="0" applyProtection="0"/>
    <xf numFmtId="0" fontId="51" fillId="28" borderId="134" applyNumberFormat="0" applyFont="0" applyAlignment="0" applyProtection="0"/>
    <xf numFmtId="4" fontId="6" fillId="22" borderId="136">
      <alignment horizontal="right" vertical="center"/>
    </xf>
    <xf numFmtId="0" fontId="4" fillId="22" borderId="138">
      <alignment horizontal="left" vertical="center" wrapText="1" indent="2"/>
    </xf>
    <xf numFmtId="0" fontId="4" fillId="27" borderId="135"/>
    <xf numFmtId="178" fontId="4" fillId="29" borderId="135" applyNumberFormat="0" applyFont="0" applyBorder="0" applyAlignment="0" applyProtection="0">
      <alignment horizontal="right" vertical="center"/>
    </xf>
    <xf numFmtId="0" fontId="4" fillId="0" borderId="135" applyNumberFormat="0" applyFill="0" applyAlignment="0" applyProtection="0"/>
    <xf numFmtId="4" fontId="4" fillId="0" borderId="135" applyFill="0" applyBorder="0" applyProtection="0">
      <alignment horizontal="right" vertical="center"/>
    </xf>
    <xf numFmtId="4" fontId="6" fillId="21" borderId="135">
      <alignment horizontal="right" vertical="center"/>
    </xf>
    <xf numFmtId="0" fontId="28" fillId="0" borderId="133" applyNumberFormat="0" applyFill="0" applyAlignment="0" applyProtection="0"/>
    <xf numFmtId="49" fontId="8" fillId="0" borderId="135" applyNumberFormat="0" applyFill="0" applyBorder="0" applyProtection="0">
      <alignment horizontal="left" vertical="center"/>
    </xf>
    <xf numFmtId="49" fontId="4" fillId="0" borderId="136" applyNumberFormat="0" applyFont="0" applyFill="0" applyBorder="0" applyProtection="0">
      <alignment horizontal="left" vertical="center" indent="5"/>
    </xf>
    <xf numFmtId="0" fontId="4" fillId="21" borderId="136">
      <alignment horizontal="left" vertical="center"/>
    </xf>
    <xf numFmtId="0" fontId="54" fillId="23" borderId="132" applyNumberFormat="0" applyAlignment="0" applyProtection="0"/>
    <xf numFmtId="4" fontId="6" fillId="22" borderId="137">
      <alignment horizontal="right" vertical="center"/>
    </xf>
    <xf numFmtId="0" fontId="62" fillId="7" borderId="132" applyNumberFormat="0" applyAlignment="0" applyProtection="0"/>
    <xf numFmtId="0" fontId="62" fillId="7" borderId="132" applyNumberFormat="0" applyAlignment="0" applyProtection="0"/>
    <xf numFmtId="0" fontId="51" fillId="28" borderId="134" applyNumberFormat="0" applyFont="0" applyAlignment="0" applyProtection="0"/>
    <xf numFmtId="0" fontId="66" fillId="23" borderId="131" applyNumberFormat="0" applyAlignment="0" applyProtection="0"/>
    <xf numFmtId="0" fontId="68" fillId="0" borderId="133" applyNumberFormat="0" applyFill="0" applyAlignment="0" applyProtection="0"/>
    <xf numFmtId="0" fontId="6" fillId="22" borderId="135">
      <alignment horizontal="right" vertical="center"/>
    </xf>
    <xf numFmtId="0" fontId="7" fillId="28" borderId="134" applyNumberFormat="0" applyFont="0" applyAlignment="0" applyProtection="0"/>
    <xf numFmtId="4" fontId="4" fillId="0" borderId="135">
      <alignment horizontal="right" vertical="center"/>
    </xf>
    <xf numFmtId="0" fontId="68" fillId="0" borderId="133" applyNumberFormat="0" applyFill="0" applyAlignment="0" applyProtection="0"/>
    <xf numFmtId="0" fontId="6" fillId="22" borderId="135">
      <alignment horizontal="right" vertical="center"/>
    </xf>
    <xf numFmtId="0" fontId="6" fillId="22" borderId="135">
      <alignment horizontal="right" vertical="center"/>
    </xf>
    <xf numFmtId="4" fontId="9" fillId="21" borderId="135">
      <alignment horizontal="right" vertical="center"/>
    </xf>
    <xf numFmtId="0" fontId="6" fillId="21" borderId="135">
      <alignment horizontal="right" vertical="center"/>
    </xf>
    <xf numFmtId="4" fontId="6" fillId="21" borderId="135">
      <alignment horizontal="right" vertical="center"/>
    </xf>
    <xf numFmtId="0" fontId="9" fillId="21" borderId="135">
      <alignment horizontal="right" vertical="center"/>
    </xf>
    <xf numFmtId="4" fontId="9" fillId="21" borderId="135">
      <alignment horizontal="right" vertical="center"/>
    </xf>
    <xf numFmtId="0" fontId="6" fillId="22" borderId="135">
      <alignment horizontal="right" vertical="center"/>
    </xf>
    <xf numFmtId="4" fontId="6" fillId="22" borderId="135">
      <alignment horizontal="right" vertical="center"/>
    </xf>
    <xf numFmtId="0" fontId="6" fillId="22" borderId="135">
      <alignment horizontal="right" vertical="center"/>
    </xf>
    <xf numFmtId="4" fontId="6" fillId="22" borderId="135">
      <alignment horizontal="right" vertical="center"/>
    </xf>
    <xf numFmtId="0" fontId="6" fillId="22" borderId="136">
      <alignment horizontal="right" vertical="center"/>
    </xf>
    <xf numFmtId="4" fontId="6" fillId="22" borderId="136">
      <alignment horizontal="right" vertical="center"/>
    </xf>
    <xf numFmtId="0" fontId="6" fillId="22" borderId="137">
      <alignment horizontal="right" vertical="center"/>
    </xf>
    <xf numFmtId="4" fontId="6" fillId="22" borderId="137">
      <alignment horizontal="right" vertical="center"/>
    </xf>
    <xf numFmtId="0" fontId="54" fillId="23" borderId="132" applyNumberFormat="0" applyAlignment="0" applyProtection="0"/>
    <xf numFmtId="0" fontId="4" fillId="22" borderId="138">
      <alignment horizontal="left" vertical="center" wrapText="1" indent="2"/>
    </xf>
    <xf numFmtId="0" fontId="4" fillId="0" borderId="138">
      <alignment horizontal="left" vertical="center" wrapText="1" indent="2"/>
    </xf>
    <xf numFmtId="0" fontId="4" fillId="21" borderId="136">
      <alignment horizontal="left" vertical="center"/>
    </xf>
    <xf numFmtId="0" fontId="62" fillId="7" borderId="132" applyNumberFormat="0" applyAlignment="0" applyProtection="0"/>
    <xf numFmtId="0" fontId="4" fillId="0" borderId="135">
      <alignment horizontal="right" vertical="center"/>
    </xf>
    <xf numFmtId="4" fontId="4" fillId="0" borderId="135">
      <alignment horizontal="right" vertical="center"/>
    </xf>
    <xf numFmtId="0" fontId="4" fillId="0" borderId="135" applyNumberFormat="0" applyFill="0" applyAlignment="0" applyProtection="0"/>
    <xf numFmtId="0" fontId="66" fillId="23" borderId="131" applyNumberFormat="0" applyAlignment="0" applyProtection="0"/>
    <xf numFmtId="178" fontId="4" fillId="29" borderId="135" applyNumberFormat="0" applyFont="0" applyBorder="0" applyAlignment="0" applyProtection="0">
      <alignment horizontal="right" vertical="center"/>
    </xf>
    <xf numFmtId="0" fontId="4" fillId="27" borderId="135"/>
    <xf numFmtId="4" fontId="4" fillId="27" borderId="135"/>
    <xf numFmtId="0" fontId="68" fillId="0" borderId="133" applyNumberFormat="0" applyFill="0" applyAlignment="0" applyProtection="0"/>
    <xf numFmtId="0" fontId="7" fillId="28" borderId="134" applyNumberFormat="0" applyFont="0" applyAlignment="0" applyProtection="0"/>
    <xf numFmtId="0" fontId="51" fillId="28" borderId="134" applyNumberFormat="0" applyFont="0" applyAlignment="0" applyProtection="0"/>
    <xf numFmtId="0" fontId="4" fillId="0" borderId="135" applyNumberFormat="0" applyFill="0" applyAlignment="0" applyProtection="0"/>
    <xf numFmtId="0" fontId="28" fillId="0" borderId="133" applyNumberFormat="0" applyFill="0" applyAlignment="0" applyProtection="0"/>
    <xf numFmtId="0" fontId="68" fillId="0" borderId="133" applyNumberFormat="0" applyFill="0" applyAlignment="0" applyProtection="0"/>
    <xf numFmtId="0" fontId="23" fillId="7" borderId="132" applyNumberFormat="0" applyAlignment="0" applyProtection="0"/>
    <xf numFmtId="0" fontId="54" fillId="23" borderId="132" applyNumberFormat="0" applyAlignment="0" applyProtection="0"/>
    <xf numFmtId="4" fontId="9" fillId="21" borderId="135">
      <alignment horizontal="right" vertical="center"/>
    </xf>
    <xf numFmtId="0" fontId="6" fillId="21" borderId="135">
      <alignment horizontal="right" vertical="center"/>
    </xf>
    <xf numFmtId="178" fontId="4" fillId="29" borderId="135" applyNumberFormat="0" applyFont="0" applyBorder="0" applyAlignment="0" applyProtection="0">
      <alignment horizontal="right" vertical="center"/>
    </xf>
    <xf numFmtId="0" fontId="28" fillId="0" borderId="133" applyNumberFormat="0" applyFill="0" applyAlignment="0" applyProtection="0"/>
    <xf numFmtId="49" fontId="4" fillId="0" borderId="135" applyNumberFormat="0" applyFont="0" applyFill="0" applyBorder="0" applyProtection="0">
      <alignment horizontal="left" vertical="center" indent="2"/>
    </xf>
    <xf numFmtId="49" fontId="4" fillId="0" borderId="136" applyNumberFormat="0" applyFont="0" applyFill="0" applyBorder="0" applyProtection="0">
      <alignment horizontal="left" vertical="center" indent="5"/>
    </xf>
    <xf numFmtId="49" fontId="4" fillId="0" borderId="135" applyNumberFormat="0" applyFont="0" applyFill="0" applyBorder="0" applyProtection="0">
      <alignment horizontal="left" vertical="center" indent="2"/>
    </xf>
    <xf numFmtId="4" fontId="4" fillId="0" borderId="135" applyFill="0" applyBorder="0" applyProtection="0">
      <alignment horizontal="right" vertical="center"/>
    </xf>
    <xf numFmtId="49" fontId="8" fillId="0" borderId="135" applyNumberFormat="0" applyFill="0" applyBorder="0" applyProtection="0">
      <alignment horizontal="left" vertical="center"/>
    </xf>
    <xf numFmtId="0" fontId="4" fillId="0" borderId="138">
      <alignment horizontal="left" vertical="center" wrapText="1" indent="2"/>
    </xf>
    <xf numFmtId="0" fontId="66" fillId="23" borderId="131" applyNumberFormat="0" applyAlignment="0" applyProtection="0"/>
    <xf numFmtId="0" fontId="6" fillId="22" borderId="137">
      <alignment horizontal="right" vertical="center"/>
    </xf>
    <xf numFmtId="0" fontId="23" fillId="7" borderId="132" applyNumberFormat="0" applyAlignment="0" applyProtection="0"/>
    <xf numFmtId="0" fontId="6" fillId="22" borderId="137">
      <alignment horizontal="right" vertical="center"/>
    </xf>
    <xf numFmtId="4" fontId="6" fillId="22" borderId="135">
      <alignment horizontal="right" vertical="center"/>
    </xf>
    <xf numFmtId="0" fontId="6" fillId="22" borderId="135">
      <alignment horizontal="right" vertical="center"/>
    </xf>
    <xf numFmtId="0" fontId="26" fillId="23" borderId="131" applyNumberFormat="0" applyAlignment="0" applyProtection="0"/>
    <xf numFmtId="0" fontId="16" fillId="23" borderId="132" applyNumberFormat="0" applyAlignment="0" applyProtection="0"/>
    <xf numFmtId="0" fontId="28" fillId="0" borderId="133" applyNumberFormat="0" applyFill="0" applyAlignment="0" applyProtection="0"/>
    <xf numFmtId="0" fontId="4" fillId="27" borderId="135"/>
    <xf numFmtId="4" fontId="4" fillId="27" borderId="135"/>
    <xf numFmtId="4" fontId="6" fillId="22" borderId="135">
      <alignment horizontal="right" vertical="center"/>
    </xf>
    <xf numFmtId="0" fontId="9" fillId="21" borderId="135">
      <alignment horizontal="right" vertical="center"/>
    </xf>
    <xf numFmtId="0" fontId="23" fillId="7" borderId="132" applyNumberFormat="0" applyAlignment="0" applyProtection="0"/>
    <xf numFmtId="0" fontId="54" fillId="23" borderId="132" applyNumberFormat="0" applyAlignment="0" applyProtection="0"/>
    <xf numFmtId="4" fontId="4" fillId="0" borderId="135">
      <alignment horizontal="right" vertical="center"/>
    </xf>
    <xf numFmtId="0" fontId="4" fillId="22" borderId="138">
      <alignment horizontal="left" vertical="center" wrapText="1" indent="2"/>
    </xf>
    <xf numFmtId="0" fontId="4" fillId="0" borderId="138">
      <alignment horizontal="left" vertical="center" wrapText="1" indent="2"/>
    </xf>
    <xf numFmtId="0" fontId="66" fillId="23" borderId="131" applyNumberFormat="0" applyAlignment="0" applyProtection="0"/>
    <xf numFmtId="0" fontId="62" fillId="7" borderId="132" applyNumberFormat="0" applyAlignment="0" applyProtection="0"/>
    <xf numFmtId="0" fontId="16" fillId="23" borderId="132" applyNumberFormat="0" applyAlignment="0" applyProtection="0"/>
    <xf numFmtId="0" fontId="26" fillId="23" borderId="131" applyNumberFormat="0" applyAlignment="0" applyProtection="0"/>
    <xf numFmtId="0" fontId="6" fillId="22" borderId="137">
      <alignment horizontal="right" vertical="center"/>
    </xf>
    <xf numFmtId="0" fontId="9" fillId="21" borderId="135">
      <alignment horizontal="right" vertical="center"/>
    </xf>
    <xf numFmtId="4" fontId="6" fillId="21" borderId="135">
      <alignment horizontal="right" vertical="center"/>
    </xf>
    <xf numFmtId="4" fontId="6" fillId="22" borderId="135">
      <alignment horizontal="right" vertical="center"/>
    </xf>
    <xf numFmtId="49" fontId="4" fillId="0" borderId="136" applyNumberFormat="0" applyFont="0" applyFill="0" applyBorder="0" applyProtection="0">
      <alignment horizontal="left" vertical="center" indent="5"/>
    </xf>
    <xf numFmtId="4" fontId="4" fillId="0" borderId="135" applyFill="0" applyBorder="0" applyProtection="0">
      <alignment horizontal="right" vertical="center"/>
    </xf>
    <xf numFmtId="4" fontId="6" fillId="21" borderId="135">
      <alignment horizontal="right" vertical="center"/>
    </xf>
    <xf numFmtId="0" fontId="62" fillId="7" borderId="132" applyNumberFormat="0" applyAlignment="0" applyProtection="0"/>
    <xf numFmtId="0" fontId="23" fillId="7" borderId="132" applyNumberFormat="0" applyAlignment="0" applyProtection="0"/>
    <xf numFmtId="0" fontId="16" fillId="23" borderId="132" applyNumberFormat="0" applyAlignment="0" applyProtection="0"/>
    <xf numFmtId="0" fontId="4" fillId="22" borderId="138">
      <alignment horizontal="left" vertical="center" wrapText="1" indent="2"/>
    </xf>
    <xf numFmtId="0" fontId="4" fillId="0" borderId="138">
      <alignment horizontal="left" vertical="center" wrapText="1" indent="2"/>
    </xf>
    <xf numFmtId="0" fontId="4" fillId="22" borderId="138">
      <alignment horizontal="left" vertical="center" wrapText="1" indent="2"/>
    </xf>
    <xf numFmtId="0" fontId="4" fillId="0" borderId="138">
      <alignment horizontal="left" vertical="center" wrapText="1" indent="2"/>
    </xf>
    <xf numFmtId="0" fontId="16" fillId="23" borderId="139" applyNumberFormat="0" applyAlignment="0" applyProtection="0"/>
    <xf numFmtId="0" fontId="68" fillId="0" borderId="140" applyNumberFormat="0" applyFill="0" applyAlignment="0" applyProtection="0"/>
    <xf numFmtId="0" fontId="62" fillId="7" borderId="139" applyNumberFormat="0" applyAlignment="0" applyProtection="0"/>
    <xf numFmtId="0" fontId="51" fillId="28" borderId="141" applyNumberFormat="0" applyFont="0" applyAlignment="0" applyProtection="0"/>
    <xf numFmtId="0" fontId="62" fillId="7" borderId="139" applyNumberFormat="0" applyAlignment="0" applyProtection="0"/>
    <xf numFmtId="0" fontId="26" fillId="23" borderId="142" applyNumberFormat="0" applyAlignment="0" applyProtection="0"/>
    <xf numFmtId="0" fontId="23" fillId="7" borderId="139" applyNumberFormat="0" applyAlignment="0" applyProtection="0"/>
    <xf numFmtId="0" fontId="54" fillId="23" borderId="139" applyNumberFormat="0" applyAlignment="0" applyProtection="0"/>
    <xf numFmtId="0" fontId="68" fillId="0" borderId="140" applyNumberFormat="0" applyFill="0" applyAlignment="0" applyProtection="0"/>
    <xf numFmtId="0" fontId="66" fillId="23" borderId="142" applyNumberFormat="0" applyAlignment="0" applyProtection="0"/>
    <xf numFmtId="0" fontId="62" fillId="7" borderId="139" applyNumberFormat="0" applyAlignment="0" applyProtection="0"/>
    <xf numFmtId="0" fontId="26" fillId="23" borderId="142" applyNumberFormat="0" applyAlignment="0" applyProtection="0"/>
    <xf numFmtId="0" fontId="16" fillId="23" borderId="139" applyNumberFormat="0" applyAlignment="0" applyProtection="0"/>
    <xf numFmtId="0" fontId="54" fillId="23" borderId="139" applyNumberFormat="0" applyAlignment="0" applyProtection="0"/>
    <xf numFmtId="0" fontId="54" fillId="23" borderId="139" applyNumberFormat="0" applyAlignment="0" applyProtection="0"/>
    <xf numFmtId="0" fontId="23" fillId="7" borderId="139" applyNumberFormat="0" applyAlignment="0" applyProtection="0"/>
    <xf numFmtId="0" fontId="28" fillId="0" borderId="140" applyNumberFormat="0" applyFill="0" applyAlignment="0" applyProtection="0"/>
    <xf numFmtId="0" fontId="68" fillId="0" borderId="140" applyNumberFormat="0" applyFill="0" applyAlignment="0" applyProtection="0"/>
    <xf numFmtId="0" fontId="51" fillId="28" borderId="141" applyNumberFormat="0" applyFont="0" applyAlignment="0" applyProtection="0"/>
    <xf numFmtId="0" fontId="62" fillId="7" borderId="139" applyNumberFormat="0" applyAlignment="0" applyProtection="0"/>
    <xf numFmtId="0" fontId="54" fillId="23" borderId="139" applyNumberFormat="0" applyAlignment="0" applyProtection="0"/>
    <xf numFmtId="0" fontId="51" fillId="28" borderId="141" applyNumberFormat="0" applyFont="0" applyAlignment="0" applyProtection="0"/>
    <xf numFmtId="0" fontId="7" fillId="28" borderId="141" applyNumberFormat="0" applyFont="0" applyAlignment="0" applyProtection="0"/>
    <xf numFmtId="0" fontId="66" fillId="23" borderId="142" applyNumberFormat="0" applyAlignment="0" applyProtection="0"/>
    <xf numFmtId="0" fontId="68" fillId="0" borderId="140" applyNumberFormat="0" applyFill="0" applyAlignment="0" applyProtection="0"/>
    <xf numFmtId="0" fontId="68" fillId="0" borderId="140" applyNumberFormat="0" applyFill="0" applyAlignment="0" applyProtection="0"/>
    <xf numFmtId="0" fontId="16" fillId="23" borderId="139" applyNumberFormat="0" applyAlignment="0" applyProtection="0"/>
    <xf numFmtId="0" fontId="54" fillId="23" borderId="139" applyNumberFormat="0" applyAlignment="0" applyProtection="0"/>
    <xf numFmtId="0" fontId="28" fillId="0" borderId="140" applyNumberFormat="0" applyFill="0" applyAlignment="0" applyProtection="0"/>
    <xf numFmtId="0" fontId="51" fillId="28" borderId="141" applyNumberFormat="0" applyFont="0" applyAlignment="0" applyProtection="0"/>
    <xf numFmtId="0" fontId="28" fillId="0" borderId="140" applyNumberFormat="0" applyFill="0" applyAlignment="0" applyProtection="0"/>
    <xf numFmtId="0" fontId="54" fillId="23" borderId="139" applyNumberFormat="0" applyAlignment="0" applyProtection="0"/>
    <xf numFmtId="0" fontId="62" fillId="7" borderId="139" applyNumberFormat="0" applyAlignment="0" applyProtection="0"/>
    <xf numFmtId="0" fontId="62" fillId="7" borderId="139" applyNumberFormat="0" applyAlignment="0" applyProtection="0"/>
    <xf numFmtId="0" fontId="51" fillId="28" borderId="141" applyNumberFormat="0" applyFont="0" applyAlignment="0" applyProtection="0"/>
    <xf numFmtId="0" fontId="66" fillId="23" borderId="142" applyNumberFormat="0" applyAlignment="0" applyProtection="0"/>
    <xf numFmtId="0" fontId="68" fillId="0" borderId="140" applyNumberFormat="0" applyFill="0" applyAlignment="0" applyProtection="0"/>
    <xf numFmtId="0" fontId="7" fillId="28" borderId="141" applyNumberFormat="0" applyFont="0" applyAlignment="0" applyProtection="0"/>
    <xf numFmtId="0" fontId="68" fillId="0" borderId="140" applyNumberFormat="0" applyFill="0" applyAlignment="0" applyProtection="0"/>
    <xf numFmtId="0" fontId="54" fillId="23" borderId="139" applyNumberFormat="0" applyAlignment="0" applyProtection="0"/>
    <xf numFmtId="0" fontId="62" fillId="7" borderId="139" applyNumberFormat="0" applyAlignment="0" applyProtection="0"/>
    <xf numFmtId="0" fontId="66" fillId="23" borderId="142" applyNumberFormat="0" applyAlignment="0" applyProtection="0"/>
    <xf numFmtId="0" fontId="68" fillId="0" borderId="140" applyNumberFormat="0" applyFill="0" applyAlignment="0" applyProtection="0"/>
    <xf numFmtId="0" fontId="7" fillId="28" borderId="141" applyNumberFormat="0" applyFont="0" applyAlignment="0" applyProtection="0"/>
    <xf numFmtId="0" fontId="51" fillId="28" borderId="141" applyNumberFormat="0" applyFont="0" applyAlignment="0" applyProtection="0"/>
    <xf numFmtId="0" fontId="28" fillId="0" borderId="140" applyNumberFormat="0" applyFill="0" applyAlignment="0" applyProtection="0"/>
    <xf numFmtId="0" fontId="68" fillId="0" borderId="140" applyNumberFormat="0" applyFill="0" applyAlignment="0" applyProtection="0"/>
    <xf numFmtId="0" fontId="23" fillId="7" borderId="139" applyNumberFormat="0" applyAlignment="0" applyProtection="0"/>
    <xf numFmtId="0" fontId="54" fillId="23" borderId="139" applyNumberFormat="0" applyAlignment="0" applyProtection="0"/>
    <xf numFmtId="0" fontId="28" fillId="0" borderId="140" applyNumberFormat="0" applyFill="0" applyAlignment="0" applyProtection="0"/>
    <xf numFmtId="0" fontId="66" fillId="23" borderId="142" applyNumberFormat="0" applyAlignment="0" applyProtection="0"/>
    <xf numFmtId="0" fontId="23" fillId="7" borderId="139" applyNumberFormat="0" applyAlignment="0" applyProtection="0"/>
    <xf numFmtId="0" fontId="26" fillId="23" borderId="142" applyNumberFormat="0" applyAlignment="0" applyProtection="0"/>
    <xf numFmtId="0" fontId="16" fillId="23" borderId="139" applyNumberFormat="0" applyAlignment="0" applyProtection="0"/>
    <xf numFmtId="0" fontId="28" fillId="0" borderId="140" applyNumberFormat="0" applyFill="0" applyAlignment="0" applyProtection="0"/>
    <xf numFmtId="0" fontId="23" fillId="7" borderId="139" applyNumberFormat="0" applyAlignment="0" applyProtection="0"/>
    <xf numFmtId="0" fontId="54" fillId="23" borderId="139" applyNumberFormat="0" applyAlignment="0" applyProtection="0"/>
    <xf numFmtId="0" fontId="66" fillId="23" borderId="142" applyNumberFormat="0" applyAlignment="0" applyProtection="0"/>
    <xf numFmtId="0" fontId="62" fillId="7" borderId="139" applyNumberFormat="0" applyAlignment="0" applyProtection="0"/>
    <xf numFmtId="0" fontId="16" fillId="23" borderId="139" applyNumberFormat="0" applyAlignment="0" applyProtection="0"/>
    <xf numFmtId="0" fontId="26" fillId="23" borderId="142" applyNumberFormat="0" applyAlignment="0" applyProtection="0"/>
    <xf numFmtId="0" fontId="62" fillId="7" borderId="139" applyNumberFormat="0" applyAlignment="0" applyProtection="0"/>
    <xf numFmtId="0" fontId="23" fillId="7" borderId="139" applyNumberFormat="0" applyAlignment="0" applyProtection="0"/>
    <xf numFmtId="0" fontId="16" fillId="23" borderId="139" applyNumberFormat="0" applyAlignment="0" applyProtection="0"/>
    <xf numFmtId="176" fontId="2" fillId="0" borderId="0" applyFont="0" applyFill="0" applyBorder="0" applyAlignment="0" applyProtection="0"/>
    <xf numFmtId="9" fontId="2" fillId="0" borderId="0" applyFont="0" applyFill="0" applyBorder="0" applyAlignment="0" applyProtection="0"/>
    <xf numFmtId="49" fontId="4" fillId="0" borderId="175" applyNumberFormat="0" applyFont="0" applyFill="0" applyBorder="0" applyProtection="0">
      <alignment horizontal="left" vertical="center" indent="2"/>
    </xf>
    <xf numFmtId="0" fontId="92" fillId="54" borderId="0" applyNumberFormat="0" applyBorder="0" applyAlignment="0" applyProtection="0"/>
    <xf numFmtId="0" fontId="7" fillId="28" borderId="174" applyNumberFormat="0" applyFont="0" applyAlignment="0" applyProtection="0"/>
    <xf numFmtId="0" fontId="6" fillId="22" borderId="177">
      <alignment horizontal="right" vertical="center"/>
    </xf>
    <xf numFmtId="4" fontId="6" fillId="22" borderId="177">
      <alignment horizontal="right" vertical="center"/>
    </xf>
    <xf numFmtId="0" fontId="28" fillId="0" borderId="173" applyNumberFormat="0" applyFill="0" applyAlignment="0" applyProtection="0"/>
    <xf numFmtId="0" fontId="62" fillId="7" borderId="172" applyNumberFormat="0" applyAlignment="0" applyProtection="0"/>
    <xf numFmtId="0" fontId="4" fillId="0" borderId="178">
      <alignment horizontal="left" vertical="center" wrapText="1" indent="2"/>
    </xf>
    <xf numFmtId="0" fontId="54" fillId="23" borderId="172" applyNumberFormat="0" applyAlignment="0" applyProtection="0"/>
    <xf numFmtId="4" fontId="6" fillId="22" borderId="175">
      <alignment horizontal="right" vertical="center"/>
    </xf>
    <xf numFmtId="0" fontId="51" fillId="28" borderId="174" applyNumberFormat="0" applyFont="0" applyAlignment="0" applyProtection="0"/>
    <xf numFmtId="0" fontId="48" fillId="53" borderId="0" applyNumberFormat="0" applyBorder="0" applyAlignment="0" applyProtection="0"/>
    <xf numFmtId="0" fontId="62" fillId="7" borderId="172" applyNumberFormat="0" applyAlignment="0" applyProtection="0"/>
    <xf numFmtId="49" fontId="8" fillId="0" borderId="175" applyNumberFormat="0" applyFill="0" applyBorder="0" applyProtection="0">
      <alignment horizontal="left" vertical="center"/>
    </xf>
    <xf numFmtId="0" fontId="4" fillId="0" borderId="175" applyNumberFormat="0" applyFill="0" applyAlignment="0" applyProtection="0"/>
    <xf numFmtId="0" fontId="16" fillId="23" borderId="172" applyNumberFormat="0" applyAlignment="0" applyProtection="0"/>
    <xf numFmtId="4" fontId="4" fillId="27" borderId="175"/>
    <xf numFmtId="0" fontId="54" fillId="23" borderId="172" applyNumberFormat="0" applyAlignment="0" applyProtection="0"/>
    <xf numFmtId="0" fontId="26" fillId="23" borderId="171" applyNumberFormat="0" applyAlignment="0" applyProtection="0"/>
    <xf numFmtId="0" fontId="6" fillId="22" borderId="175">
      <alignment horizontal="right" vertical="center"/>
    </xf>
    <xf numFmtId="0" fontId="73" fillId="0" borderId="0" applyNumberFormat="0" applyFill="0" applyBorder="0" applyAlignment="0" applyProtection="0"/>
    <xf numFmtId="0" fontId="6" fillId="22" borderId="36">
      <alignment horizontal="right" vertical="center"/>
    </xf>
    <xf numFmtId="4" fontId="6" fillId="22" borderId="177">
      <alignment horizontal="right" vertical="center"/>
    </xf>
    <xf numFmtId="0" fontId="4" fillId="0" borderId="175">
      <alignment horizontal="right" vertical="center"/>
    </xf>
    <xf numFmtId="0" fontId="48" fillId="58" borderId="0" applyNumberFormat="0" applyBorder="0" applyAlignment="0" applyProtection="0"/>
    <xf numFmtId="0" fontId="87" fillId="42" borderId="161" applyNumberFormat="0" applyAlignment="0" applyProtection="0"/>
    <xf numFmtId="0" fontId="88" fillId="42" borderId="19" applyNumberFormat="0" applyAlignment="0" applyProtection="0"/>
    <xf numFmtId="49" fontId="4" fillId="0" borderId="176" applyNumberFormat="0" applyFont="0" applyFill="0" applyBorder="0" applyProtection="0">
      <alignment horizontal="left" vertical="center" indent="5"/>
    </xf>
    <xf numFmtId="0" fontId="89" fillId="0" borderId="0" applyNumberFormat="0" applyFill="0" applyBorder="0" applyAlignment="0" applyProtection="0"/>
    <xf numFmtId="0" fontId="6" fillId="22" borderId="175">
      <alignment horizontal="right" vertical="center"/>
    </xf>
    <xf numFmtId="0" fontId="90" fillId="0" borderId="0" applyNumberFormat="0" applyFill="0" applyBorder="0" applyAlignment="0" applyProtection="0"/>
    <xf numFmtId="0" fontId="91" fillId="0" borderId="162" applyNumberFormat="0" applyFill="0" applyAlignment="0" applyProtection="0"/>
    <xf numFmtId="0" fontId="48" fillId="43" borderId="0" applyNumberFormat="0" applyBorder="0" applyAlignment="0" applyProtection="0"/>
    <xf numFmtId="0" fontId="48" fillId="44" borderId="0" applyNumberFormat="0" applyBorder="0" applyAlignment="0" applyProtection="0"/>
    <xf numFmtId="0" fontId="92" fillId="45" borderId="0" applyNumberFormat="0" applyBorder="0" applyAlignment="0" applyProtection="0"/>
    <xf numFmtId="0" fontId="48" fillId="46" borderId="0" applyNumberFormat="0" applyBorder="0" applyAlignment="0" applyProtection="0"/>
    <xf numFmtId="0" fontId="48" fillId="47" borderId="0" applyNumberFormat="0" applyBorder="0" applyAlignment="0" applyProtection="0"/>
    <xf numFmtId="0" fontId="92" fillId="48" borderId="0" applyNumberFormat="0" applyBorder="0" applyAlignment="0" applyProtection="0"/>
    <xf numFmtId="0" fontId="66" fillId="23" borderId="171" applyNumberFormat="0" applyAlignment="0" applyProtection="0"/>
    <xf numFmtId="0" fontId="48" fillId="49" borderId="0" applyNumberFormat="0" applyBorder="0" applyAlignment="0" applyProtection="0"/>
    <xf numFmtId="0" fontId="48" fillId="50" borderId="0" applyNumberFormat="0" applyBorder="0" applyAlignment="0" applyProtection="0"/>
    <xf numFmtId="0" fontId="92" fillId="51" borderId="0" applyNumberFormat="0" applyBorder="0" applyAlignment="0" applyProtection="0"/>
    <xf numFmtId="0" fontId="26" fillId="23" borderId="171" applyNumberFormat="0" applyAlignment="0" applyProtection="0"/>
    <xf numFmtId="0" fontId="48" fillId="52" borderId="0" applyNumberFormat="0" applyBorder="0" applyAlignment="0" applyProtection="0"/>
    <xf numFmtId="0" fontId="48" fillId="53" borderId="0" applyNumberFormat="0" applyBorder="0" applyAlignment="0" applyProtection="0"/>
    <xf numFmtId="0" fontId="92" fillId="54" borderId="0" applyNumberFormat="0" applyBorder="0" applyAlignment="0" applyProtection="0"/>
    <xf numFmtId="0" fontId="4" fillId="27" borderId="175"/>
    <xf numFmtId="0" fontId="48" fillId="55" borderId="0" applyNumberFormat="0" applyBorder="0" applyAlignment="0" applyProtection="0"/>
    <xf numFmtId="0" fontId="48" fillId="56" borderId="0" applyNumberFormat="0" applyBorder="0" applyAlignment="0" applyProtection="0"/>
    <xf numFmtId="0" fontId="92" fillId="57" borderId="0" applyNumberFormat="0" applyBorder="0" applyAlignment="0" applyProtection="0"/>
    <xf numFmtId="0" fontId="48" fillId="58" borderId="0" applyNumberFormat="0" applyBorder="0" applyAlignment="0" applyProtection="0"/>
    <xf numFmtId="0" fontId="48" fillId="59" borderId="0" applyNumberFormat="0" applyBorder="0" applyAlignment="0" applyProtection="0"/>
    <xf numFmtId="0" fontId="92" fillId="60" borderId="0" applyNumberFormat="0" applyBorder="0" applyAlignment="0" applyProtection="0"/>
    <xf numFmtId="0" fontId="4" fillId="0" borderId="135" applyNumberFormat="0" applyFill="0" applyAlignment="0" applyProtection="0"/>
    <xf numFmtId="0" fontId="6" fillId="22" borderId="135">
      <alignment horizontal="right" vertical="center"/>
    </xf>
    <xf numFmtId="0" fontId="6" fillId="22" borderId="135">
      <alignment horizontal="right" vertical="center"/>
    </xf>
    <xf numFmtId="4" fontId="6" fillId="22" borderId="175">
      <alignment horizontal="right" vertical="center"/>
    </xf>
    <xf numFmtId="0" fontId="7" fillId="28" borderId="174" applyNumberFormat="0" applyFont="0" applyAlignment="0" applyProtection="0"/>
    <xf numFmtId="0" fontId="4" fillId="0" borderId="135">
      <alignment horizontal="right" vertical="center"/>
    </xf>
    <xf numFmtId="0" fontId="9" fillId="21" borderId="135">
      <alignment horizontal="right" vertical="center"/>
    </xf>
    <xf numFmtId="0" fontId="4" fillId="27" borderId="135"/>
    <xf numFmtId="0" fontId="6" fillId="21" borderId="135">
      <alignment horizontal="right" vertical="center"/>
    </xf>
    <xf numFmtId="4" fontId="4" fillId="0" borderId="175" applyFill="0" applyBorder="0" applyProtection="0">
      <alignment horizontal="right" vertical="center"/>
    </xf>
    <xf numFmtId="0" fontId="62" fillId="7" borderId="172" applyNumberFormat="0" applyAlignment="0" applyProtection="0"/>
    <xf numFmtId="0" fontId="4" fillId="0" borderId="175">
      <alignment horizontal="right" vertical="center"/>
    </xf>
    <xf numFmtId="4" fontId="4" fillId="27" borderId="175"/>
    <xf numFmtId="0" fontId="9" fillId="21" borderId="175">
      <alignment horizontal="right" vertical="center"/>
    </xf>
    <xf numFmtId="0" fontId="4" fillId="0" borderId="175">
      <alignment horizontal="right" vertical="center"/>
    </xf>
    <xf numFmtId="0" fontId="4" fillId="21" borderId="176">
      <alignment horizontal="left" vertical="center"/>
    </xf>
    <xf numFmtId="0" fontId="4" fillId="21" borderId="176">
      <alignment horizontal="left" vertical="center"/>
    </xf>
    <xf numFmtId="0" fontId="54" fillId="23" borderId="172" applyNumberFormat="0" applyAlignment="0" applyProtection="0"/>
    <xf numFmtId="0" fontId="4" fillId="0" borderId="175" applyNumberFormat="0" applyFill="0" applyAlignment="0" applyProtection="0"/>
    <xf numFmtId="0" fontId="48" fillId="49" borderId="0" applyNumberFormat="0" applyBorder="0" applyAlignment="0" applyProtection="0"/>
    <xf numFmtId="0" fontId="16" fillId="23" borderId="172" applyNumberFormat="0" applyAlignment="0" applyProtection="0"/>
    <xf numFmtId="0" fontId="54" fillId="23" borderId="172" applyNumberFormat="0" applyAlignment="0" applyProtection="0"/>
    <xf numFmtId="0" fontId="6" fillId="22" borderId="177">
      <alignment horizontal="right" vertical="center"/>
    </xf>
    <xf numFmtId="0" fontId="48" fillId="43" borderId="0" applyNumberFormat="0" applyBorder="0" applyAlignment="0" applyProtection="0"/>
    <xf numFmtId="0" fontId="51" fillId="28" borderId="174" applyNumberFormat="0" applyFont="0" applyAlignment="0" applyProtection="0"/>
    <xf numFmtId="4" fontId="4" fillId="27" borderId="175"/>
    <xf numFmtId="49" fontId="8" fillId="0" borderId="175" applyNumberFormat="0" applyFill="0" applyBorder="0" applyProtection="0">
      <alignment horizontal="left" vertical="center"/>
    </xf>
    <xf numFmtId="0" fontId="51" fillId="28" borderId="174" applyNumberFormat="0" applyFont="0" applyAlignment="0" applyProtection="0"/>
    <xf numFmtId="0" fontId="4" fillId="0" borderId="178">
      <alignment horizontal="left" vertical="center" wrapText="1" indent="2"/>
    </xf>
    <xf numFmtId="0" fontId="4" fillId="0" borderId="175" applyNumberFormat="0" applyFill="0" applyAlignment="0" applyProtection="0"/>
    <xf numFmtId="0" fontId="68" fillId="0" borderId="173" applyNumberFormat="0" applyFill="0" applyAlignment="0" applyProtection="0"/>
    <xf numFmtId="0" fontId="54" fillId="23" borderId="172" applyNumberFormat="0" applyAlignment="0" applyProtection="0"/>
    <xf numFmtId="0" fontId="28" fillId="0" borderId="173" applyNumberFormat="0" applyFill="0" applyAlignment="0" applyProtection="0"/>
    <xf numFmtId="49" fontId="4" fillId="0" borderId="176" applyNumberFormat="0" applyFont="0" applyFill="0" applyBorder="0" applyProtection="0">
      <alignment horizontal="left" vertical="center" indent="5"/>
    </xf>
    <xf numFmtId="0" fontId="51" fillId="28" borderId="174" applyNumberFormat="0" applyFont="0" applyAlignment="0" applyProtection="0"/>
    <xf numFmtId="0" fontId="6" fillId="22" borderId="175">
      <alignment horizontal="right" vertical="center"/>
    </xf>
    <xf numFmtId="0" fontId="51" fillId="28" borderId="174" applyNumberFormat="0" applyFont="0" applyAlignment="0" applyProtection="0"/>
    <xf numFmtId="0" fontId="4" fillId="0" borderId="175">
      <alignment horizontal="right" vertical="center"/>
    </xf>
    <xf numFmtId="0" fontId="62" fillId="7" borderId="172" applyNumberFormat="0" applyAlignment="0" applyProtection="0"/>
    <xf numFmtId="0" fontId="68" fillId="0" borderId="173" applyNumberFormat="0" applyFill="0" applyAlignment="0" applyProtection="0"/>
    <xf numFmtId="0" fontId="6" fillId="22" borderId="176">
      <alignment horizontal="right" vertical="center"/>
    </xf>
    <xf numFmtId="0" fontId="28" fillId="0" borderId="173" applyNumberFormat="0" applyFill="0" applyAlignment="0" applyProtection="0"/>
    <xf numFmtId="0" fontId="68" fillId="0" borderId="173" applyNumberFormat="0" applyFill="0" applyAlignment="0" applyProtection="0"/>
    <xf numFmtId="4" fontId="4" fillId="0" borderId="175" applyFill="0" applyBorder="0" applyProtection="0">
      <alignment horizontal="right" vertical="center"/>
    </xf>
    <xf numFmtId="0" fontId="4" fillId="22" borderId="178">
      <alignment horizontal="left" vertical="center" wrapText="1" indent="2"/>
    </xf>
    <xf numFmtId="0" fontId="54" fillId="23" borderId="164" applyNumberFormat="0" applyAlignment="0" applyProtection="0"/>
    <xf numFmtId="176" fontId="13" fillId="0" borderId="0" applyFont="0" applyFill="0" applyBorder="0" applyAlignment="0" applyProtection="0"/>
    <xf numFmtId="0" fontId="4" fillId="27" borderId="175"/>
    <xf numFmtId="176" fontId="13" fillId="0" borderId="0" applyFont="0" applyFill="0" applyBorder="0" applyAlignment="0" applyProtection="0"/>
    <xf numFmtId="0" fontId="28" fillId="0" borderId="173" applyNumberFormat="0" applyFill="0" applyAlignment="0" applyProtection="0"/>
    <xf numFmtId="0" fontId="4" fillId="0" borderId="178">
      <alignment horizontal="left" vertical="center" wrapText="1" indent="2"/>
    </xf>
    <xf numFmtId="0" fontId="92" fillId="60" borderId="0" applyNumberFormat="0" applyBorder="0" applyAlignment="0" applyProtection="0"/>
    <xf numFmtId="4" fontId="9" fillId="21" borderId="175">
      <alignment horizontal="right" vertical="center"/>
    </xf>
    <xf numFmtId="0" fontId="62" fillId="7" borderId="164" applyNumberFormat="0" applyAlignment="0" applyProtection="0"/>
    <xf numFmtId="0" fontId="54" fillId="23" borderId="172" applyNumberFormat="0" applyAlignment="0" applyProtection="0"/>
    <xf numFmtId="0" fontId="26" fillId="23" borderId="171" applyNumberFormat="0" applyAlignment="0" applyProtection="0"/>
    <xf numFmtId="0" fontId="16" fillId="23" borderId="172" applyNumberFormat="0" applyAlignment="0" applyProtection="0"/>
    <xf numFmtId="0" fontId="48" fillId="49" borderId="0" applyNumberFormat="0" applyBorder="0" applyAlignment="0" applyProtection="0"/>
    <xf numFmtId="0" fontId="48" fillId="58" borderId="0" applyNumberFormat="0" applyBorder="0" applyAlignment="0" applyProtection="0"/>
    <xf numFmtId="0" fontId="4" fillId="0" borderId="175">
      <alignment horizontal="right" vertical="center"/>
    </xf>
    <xf numFmtId="0" fontId="4" fillId="27" borderId="175"/>
    <xf numFmtId="0" fontId="54" fillId="23" borderId="172" applyNumberFormat="0" applyAlignment="0" applyProtection="0"/>
    <xf numFmtId="0" fontId="6" fillId="22" borderId="175">
      <alignment horizontal="right" vertical="center"/>
    </xf>
    <xf numFmtId="4" fontId="4" fillId="0" borderId="135" applyFill="0" applyBorder="0" applyProtection="0">
      <alignment horizontal="right" vertical="center"/>
    </xf>
    <xf numFmtId="4" fontId="4" fillId="0" borderId="175">
      <alignment horizontal="right" vertical="center"/>
    </xf>
    <xf numFmtId="4" fontId="6" fillId="21" borderId="175">
      <alignment horizontal="right" vertical="center"/>
    </xf>
    <xf numFmtId="4" fontId="6" fillId="22" borderId="177">
      <alignment horizontal="right" vertical="center"/>
    </xf>
    <xf numFmtId="0" fontId="9" fillId="21" borderId="175">
      <alignment horizontal="right" vertical="center"/>
    </xf>
    <xf numFmtId="49" fontId="4" fillId="0" borderId="176" applyNumberFormat="0" applyFont="0" applyFill="0" applyBorder="0" applyProtection="0">
      <alignment horizontal="left" vertical="center" indent="5"/>
    </xf>
    <xf numFmtId="0" fontId="4" fillId="0" borderId="178">
      <alignment horizontal="left" vertical="center" wrapText="1" indent="2"/>
    </xf>
    <xf numFmtId="0" fontId="51" fillId="28" borderId="166" applyNumberFormat="0" applyFont="0" applyAlignment="0" applyProtection="0"/>
    <xf numFmtId="0" fontId="7" fillId="28" borderId="166" applyNumberFormat="0" applyFont="0" applyAlignment="0" applyProtection="0"/>
    <xf numFmtId="0" fontId="66" fillId="23" borderId="163" applyNumberFormat="0" applyAlignment="0" applyProtection="0"/>
    <xf numFmtId="4" fontId="6" fillId="21" borderId="175">
      <alignment horizontal="right" vertical="center"/>
    </xf>
    <xf numFmtId="0" fontId="62" fillId="7" borderId="172" applyNumberFormat="0" applyAlignment="0" applyProtection="0"/>
    <xf numFmtId="0" fontId="23" fillId="7" borderId="172" applyNumberFormat="0" applyAlignment="0" applyProtection="0"/>
    <xf numFmtId="0" fontId="68" fillId="0" borderId="173" applyNumberFormat="0" applyFill="0" applyAlignment="0" applyProtection="0"/>
    <xf numFmtId="0" fontId="68" fillId="0" borderId="165" applyNumberFormat="0" applyFill="0" applyAlignment="0" applyProtection="0"/>
    <xf numFmtId="0" fontId="7" fillId="28" borderId="174" applyNumberFormat="0" applyFont="0" applyAlignment="0" applyProtection="0"/>
    <xf numFmtId="0" fontId="26" fillId="23" borderId="171" applyNumberFormat="0" applyAlignment="0" applyProtection="0"/>
    <xf numFmtId="0" fontId="16" fillId="23" borderId="172" applyNumberFormat="0" applyAlignment="0" applyProtection="0"/>
    <xf numFmtId="0" fontId="88" fillId="42" borderId="19" applyNumberFormat="0" applyAlignment="0" applyProtection="0"/>
    <xf numFmtId="0" fontId="51" fillId="28" borderId="174" applyNumberFormat="0" applyFont="0" applyAlignment="0" applyProtection="0"/>
    <xf numFmtId="0" fontId="4" fillId="27" borderId="175"/>
    <xf numFmtId="0" fontId="4" fillId="22" borderId="178">
      <alignment horizontal="left" vertical="center" wrapText="1" indent="2"/>
    </xf>
    <xf numFmtId="0" fontId="62" fillId="7" borderId="172" applyNumberFormat="0" applyAlignment="0" applyProtection="0"/>
    <xf numFmtId="0" fontId="51" fillId="28" borderId="174" applyNumberFormat="0" applyFont="0" applyAlignment="0" applyProtection="0"/>
    <xf numFmtId="4" fontId="6" fillId="22" borderId="177">
      <alignment horizontal="right" vertical="center"/>
    </xf>
    <xf numFmtId="49" fontId="8" fillId="0" borderId="175" applyNumberFormat="0" applyFill="0" applyBorder="0" applyProtection="0">
      <alignment horizontal="left" vertical="center"/>
    </xf>
    <xf numFmtId="0" fontId="7" fillId="28" borderId="174" applyNumberFormat="0" applyFont="0" applyAlignment="0" applyProtection="0"/>
    <xf numFmtId="0" fontId="92" fillId="51" borderId="0" applyNumberFormat="0" applyBorder="0" applyAlignment="0" applyProtection="0"/>
    <xf numFmtId="0" fontId="23" fillId="7" borderId="172" applyNumberFormat="0" applyAlignment="0" applyProtection="0"/>
    <xf numFmtId="178" fontId="4" fillId="29" borderId="175" applyNumberFormat="0" applyFont="0" applyBorder="0" applyAlignment="0" applyProtection="0">
      <alignment horizontal="right" vertical="center"/>
    </xf>
    <xf numFmtId="4" fontId="4" fillId="0" borderId="175" applyFill="0" applyBorder="0" applyProtection="0">
      <alignment horizontal="right" vertical="center"/>
    </xf>
    <xf numFmtId="4" fontId="4" fillId="27" borderId="175"/>
    <xf numFmtId="0" fontId="16" fillId="23" borderId="172" applyNumberFormat="0" applyAlignment="0" applyProtection="0"/>
    <xf numFmtId="0" fontId="4" fillId="21" borderId="176">
      <alignment horizontal="left" vertical="center"/>
    </xf>
    <xf numFmtId="0" fontId="54" fillId="23" borderId="164" applyNumberFormat="0" applyAlignment="0" applyProtection="0"/>
    <xf numFmtId="0" fontId="7" fillId="28" borderId="174" applyNumberFormat="0" applyFont="0" applyAlignment="0" applyProtection="0"/>
    <xf numFmtId="0" fontId="68" fillId="0" borderId="173" applyNumberFormat="0" applyFill="0" applyAlignment="0" applyProtection="0"/>
    <xf numFmtId="0" fontId="6" fillId="22" borderId="175">
      <alignment horizontal="right" vertical="center"/>
    </xf>
    <xf numFmtId="0" fontId="62" fillId="7" borderId="164" applyNumberFormat="0" applyAlignment="0" applyProtection="0"/>
    <xf numFmtId="0" fontId="68" fillId="0" borderId="173" applyNumberFormat="0" applyFill="0" applyAlignment="0" applyProtection="0"/>
    <xf numFmtId="0" fontId="62" fillId="7" borderId="172" applyNumberFormat="0" applyAlignment="0" applyProtection="0"/>
    <xf numFmtId="0" fontId="51" fillId="28" borderId="166" applyNumberFormat="0" applyFont="0" applyAlignment="0" applyProtection="0"/>
    <xf numFmtId="0" fontId="66" fillId="23" borderId="163" applyNumberFormat="0" applyAlignment="0" applyProtection="0"/>
    <xf numFmtId="4" fontId="4" fillId="0" borderId="175">
      <alignment horizontal="right" vertical="center"/>
    </xf>
    <xf numFmtId="0" fontId="68" fillId="0" borderId="165" applyNumberFormat="0" applyFill="0" applyAlignment="0" applyProtection="0"/>
    <xf numFmtId="0" fontId="4" fillId="22" borderId="178">
      <alignment horizontal="left" vertical="center" wrapText="1" indent="2"/>
    </xf>
    <xf numFmtId="49" fontId="4" fillId="0" borderId="175" applyNumberFormat="0" applyFont="0" applyFill="0" applyBorder="0" applyProtection="0">
      <alignment horizontal="left" vertical="center" indent="2"/>
    </xf>
    <xf numFmtId="0" fontId="54" fillId="23" borderId="172" applyNumberFormat="0" applyAlignment="0" applyProtection="0"/>
    <xf numFmtId="0" fontId="51" fillId="28" borderId="174" applyNumberFormat="0" applyFont="0" applyAlignment="0" applyProtection="0"/>
    <xf numFmtId="4" fontId="6" fillId="22" borderId="175">
      <alignment horizontal="right" vertical="center"/>
    </xf>
    <xf numFmtId="0" fontId="62" fillId="7" borderId="172" applyNumberFormat="0" applyAlignment="0" applyProtection="0"/>
    <xf numFmtId="0" fontId="92" fillId="48" borderId="0" applyNumberFormat="0" applyBorder="0" applyAlignment="0" applyProtection="0"/>
    <xf numFmtId="0" fontId="28" fillId="0" borderId="173" applyNumberFormat="0" applyFill="0" applyAlignment="0" applyProtection="0"/>
    <xf numFmtId="0" fontId="4" fillId="0" borderId="178">
      <alignment horizontal="left" vertical="center" wrapText="1" indent="2"/>
    </xf>
    <xf numFmtId="0" fontId="6" fillId="22" borderId="175">
      <alignment horizontal="right" vertical="center"/>
    </xf>
    <xf numFmtId="0" fontId="51" fillId="28" borderId="174" applyNumberFormat="0" applyFont="0" applyAlignment="0" applyProtection="0"/>
    <xf numFmtId="0" fontId="54" fillId="23" borderId="172" applyNumberFormat="0" applyAlignment="0" applyProtection="0"/>
    <xf numFmtId="0" fontId="6" fillId="22" borderId="177">
      <alignment horizontal="right" vertical="center"/>
    </xf>
    <xf numFmtId="0" fontId="6" fillId="21" borderId="167">
      <alignment horizontal="right" vertical="center"/>
    </xf>
    <xf numFmtId="4" fontId="6" fillId="21" borderId="167">
      <alignment horizontal="right" vertical="center"/>
    </xf>
    <xf numFmtId="0" fontId="9" fillId="21" borderId="167">
      <alignment horizontal="right" vertical="center"/>
    </xf>
    <xf numFmtId="4" fontId="9" fillId="21" borderId="167">
      <alignment horizontal="right" vertical="center"/>
    </xf>
    <xf numFmtId="0" fontId="6" fillId="22" borderId="167">
      <alignment horizontal="right" vertical="center"/>
    </xf>
    <xf numFmtId="4" fontId="6" fillId="22" borderId="167">
      <alignment horizontal="right" vertical="center"/>
    </xf>
    <xf numFmtId="0" fontId="6" fillId="22" borderId="167">
      <alignment horizontal="right" vertical="center"/>
    </xf>
    <xf numFmtId="4" fontId="6" fillId="22" borderId="167">
      <alignment horizontal="right" vertical="center"/>
    </xf>
    <xf numFmtId="0" fontId="6" fillId="22" borderId="168">
      <alignment horizontal="right" vertical="center"/>
    </xf>
    <xf numFmtId="4" fontId="6" fillId="22" borderId="168">
      <alignment horizontal="right" vertical="center"/>
    </xf>
    <xf numFmtId="0" fontId="6" fillId="22" borderId="169">
      <alignment horizontal="right" vertical="center"/>
    </xf>
    <xf numFmtId="4" fontId="6" fillId="22" borderId="169">
      <alignment horizontal="right" vertical="center"/>
    </xf>
    <xf numFmtId="0" fontId="54" fillId="23" borderId="164" applyNumberFormat="0" applyAlignment="0" applyProtection="0"/>
    <xf numFmtId="0" fontId="4" fillId="22" borderId="170">
      <alignment horizontal="left" vertical="center" wrapText="1" indent="2"/>
    </xf>
    <xf numFmtId="0" fontId="4" fillId="0" borderId="170">
      <alignment horizontal="left" vertical="center" wrapText="1" indent="2"/>
    </xf>
    <xf numFmtId="0" fontId="4" fillId="21" borderId="168">
      <alignment horizontal="left" vertical="center"/>
    </xf>
    <xf numFmtId="0" fontId="62" fillId="7" borderId="164" applyNumberFormat="0" applyAlignment="0" applyProtection="0"/>
    <xf numFmtId="0" fontId="4" fillId="0" borderId="167">
      <alignment horizontal="right" vertical="center"/>
    </xf>
    <xf numFmtId="4" fontId="4" fillId="0" borderId="167">
      <alignment horizontal="right" vertical="center"/>
    </xf>
    <xf numFmtId="4" fontId="6" fillId="22" borderId="175">
      <alignment horizontal="right" vertical="center"/>
    </xf>
    <xf numFmtId="0" fontId="4" fillId="0" borderId="167" applyNumberFormat="0" applyFill="0" applyAlignment="0" applyProtection="0"/>
    <xf numFmtId="0" fontId="66" fillId="23" borderId="163" applyNumberFormat="0" applyAlignment="0" applyProtection="0"/>
    <xf numFmtId="178" fontId="4" fillId="29" borderId="167" applyNumberFormat="0" applyFont="0" applyBorder="0" applyAlignment="0" applyProtection="0">
      <alignment horizontal="right" vertical="center"/>
    </xf>
    <xf numFmtId="0" fontId="4" fillId="27" borderId="167"/>
    <xf numFmtId="4" fontId="4" fillId="27" borderId="167"/>
    <xf numFmtId="0" fontId="68" fillId="0" borderId="165" applyNumberFormat="0" applyFill="0" applyAlignment="0" applyProtection="0"/>
    <xf numFmtId="0" fontId="6" fillId="22" borderId="177">
      <alignment horizontal="right" vertical="center"/>
    </xf>
    <xf numFmtId="0" fontId="92" fillId="45" borderId="0" applyNumberFormat="0" applyBorder="0" applyAlignment="0" applyProtection="0"/>
    <xf numFmtId="0" fontId="92" fillId="57" borderId="0" applyNumberFormat="0" applyBorder="0" applyAlignment="0" applyProtection="0"/>
    <xf numFmtId="4" fontId="9" fillId="21" borderId="175">
      <alignment horizontal="right" vertical="center"/>
    </xf>
    <xf numFmtId="0" fontId="48" fillId="43" borderId="0" applyNumberFormat="0" applyBorder="0" applyAlignment="0" applyProtection="0"/>
    <xf numFmtId="4" fontId="6" fillId="21" borderId="175">
      <alignment horizontal="right" vertical="center"/>
    </xf>
    <xf numFmtId="0" fontId="48" fillId="56" borderId="0" applyNumberFormat="0" applyBorder="0" applyAlignment="0" applyProtection="0"/>
    <xf numFmtId="4" fontId="4" fillId="27" borderId="175"/>
    <xf numFmtId="0" fontId="6" fillId="22" borderId="176">
      <alignment horizontal="right" vertical="center"/>
    </xf>
    <xf numFmtId="0" fontId="66" fillId="23" borderId="171" applyNumberFormat="0" applyAlignment="0" applyProtection="0"/>
    <xf numFmtId="4" fontId="9" fillId="21" borderId="175">
      <alignment horizontal="right" vertical="center"/>
    </xf>
    <xf numFmtId="0" fontId="91" fillId="0" borderId="162" applyNumberFormat="0" applyFill="0" applyAlignment="0" applyProtection="0"/>
    <xf numFmtId="0" fontId="68" fillId="0" borderId="173" applyNumberFormat="0" applyFill="0" applyAlignment="0" applyProtection="0"/>
    <xf numFmtId="0" fontId="88" fillId="42" borderId="19" applyNumberFormat="0" applyAlignment="0" applyProtection="0"/>
    <xf numFmtId="0" fontId="48" fillId="50" borderId="0" applyNumberFormat="0" applyBorder="0" applyAlignment="0" applyProtection="0"/>
    <xf numFmtId="0" fontId="48" fillId="55" borderId="0" applyNumberFormat="0" applyBorder="0" applyAlignment="0" applyProtection="0"/>
    <xf numFmtId="0" fontId="62" fillId="7" borderId="172" applyNumberFormat="0" applyAlignment="0" applyProtection="0"/>
    <xf numFmtId="0" fontId="6" fillId="22" borderId="176">
      <alignment horizontal="right" vertical="center"/>
    </xf>
    <xf numFmtId="0" fontId="6" fillId="21" borderId="175">
      <alignment horizontal="right" vertical="center"/>
    </xf>
    <xf numFmtId="4" fontId="6" fillId="22" borderId="177">
      <alignment horizontal="right" vertical="center"/>
    </xf>
    <xf numFmtId="0" fontId="92" fillId="60" borderId="0" applyNumberFormat="0" applyBorder="0" applyAlignment="0" applyProtection="0"/>
    <xf numFmtId="49" fontId="4" fillId="0" borderId="175" applyNumberFormat="0" applyFont="0" applyFill="0" applyBorder="0" applyProtection="0">
      <alignment horizontal="left" vertical="center" indent="2"/>
    </xf>
    <xf numFmtId="49" fontId="8" fillId="0" borderId="175" applyNumberFormat="0" applyFill="0" applyBorder="0" applyProtection="0">
      <alignment horizontal="left" vertical="center"/>
    </xf>
    <xf numFmtId="0" fontId="7" fillId="28" borderId="174" applyNumberFormat="0" applyFont="0" applyAlignment="0" applyProtection="0"/>
    <xf numFmtId="0" fontId="90" fillId="0" borderId="0" applyNumberFormat="0" applyFill="0" applyBorder="0" applyAlignment="0" applyProtection="0"/>
    <xf numFmtId="0" fontId="48" fillId="47" borderId="0" applyNumberFormat="0" applyBorder="0" applyAlignment="0" applyProtection="0"/>
    <xf numFmtId="0" fontId="48" fillId="52" borderId="0" applyNumberFormat="0" applyBorder="0" applyAlignment="0" applyProtection="0"/>
    <xf numFmtId="0" fontId="48" fillId="49" borderId="0" applyNumberFormat="0" applyBorder="0" applyAlignment="0" applyProtection="0"/>
    <xf numFmtId="0" fontId="89" fillId="0" borderId="0" applyNumberFormat="0" applyFill="0" applyBorder="0" applyAlignment="0" applyProtection="0"/>
    <xf numFmtId="0" fontId="91" fillId="0" borderId="162" applyNumberFormat="0" applyFill="0" applyAlignment="0" applyProtection="0"/>
    <xf numFmtId="0" fontId="87" fillId="42" borderId="161" applyNumberFormat="0" applyAlignment="0" applyProtection="0"/>
    <xf numFmtId="0" fontId="28" fillId="0" borderId="173" applyNumberFormat="0" applyFill="0" applyAlignment="0" applyProtection="0"/>
    <xf numFmtId="4" fontId="4" fillId="0" borderId="175" applyFill="0" applyBorder="0" applyProtection="0">
      <alignment horizontal="right" vertical="center"/>
    </xf>
    <xf numFmtId="0" fontId="4" fillId="0" borderId="178">
      <alignment horizontal="left" vertical="center" wrapText="1" indent="2"/>
    </xf>
    <xf numFmtId="49" fontId="4" fillId="0" borderId="167" applyNumberFormat="0" applyFont="0" applyFill="0" applyBorder="0" applyProtection="0">
      <alignment horizontal="left" vertical="center" indent="2"/>
    </xf>
    <xf numFmtId="49" fontId="4" fillId="0" borderId="168" applyNumberFormat="0" applyFont="0" applyFill="0" applyBorder="0" applyProtection="0">
      <alignment horizontal="left" vertical="center" indent="5"/>
    </xf>
    <xf numFmtId="0" fontId="23" fillId="7" borderId="172" applyNumberFormat="0" applyAlignment="0" applyProtection="0"/>
    <xf numFmtId="0" fontId="68" fillId="0" borderId="173" applyNumberFormat="0" applyFill="0" applyAlignment="0" applyProtection="0"/>
    <xf numFmtId="178" fontId="4" fillId="29" borderId="175" applyNumberFormat="0" applyFont="0" applyBorder="0" applyAlignment="0" applyProtection="0">
      <alignment horizontal="right" vertical="center"/>
    </xf>
    <xf numFmtId="0" fontId="6" fillId="21" borderId="175">
      <alignment horizontal="right" vertical="center"/>
    </xf>
    <xf numFmtId="0" fontId="66" fillId="23" borderId="171" applyNumberFormat="0" applyAlignment="0" applyProtection="0"/>
    <xf numFmtId="4" fontId="4" fillId="0" borderId="167" applyFill="0" applyBorder="0" applyProtection="0">
      <alignment horizontal="right" vertical="center"/>
    </xf>
    <xf numFmtId="49" fontId="8" fillId="0" borderId="167" applyNumberFormat="0" applyFill="0" applyBorder="0" applyProtection="0">
      <alignment horizontal="left" vertical="center"/>
    </xf>
    <xf numFmtId="0" fontId="9" fillId="21" borderId="175">
      <alignment horizontal="right" vertical="center"/>
    </xf>
    <xf numFmtId="49" fontId="4" fillId="0" borderId="175" applyNumberFormat="0" applyFont="0" applyFill="0" applyBorder="0" applyProtection="0">
      <alignment horizontal="left" vertical="center" indent="2"/>
    </xf>
    <xf numFmtId="0" fontId="6" fillId="21" borderId="175">
      <alignment horizontal="right" vertical="center"/>
    </xf>
    <xf numFmtId="178" fontId="4" fillId="29" borderId="175" applyNumberFormat="0" applyFont="0" applyBorder="0" applyAlignment="0" applyProtection="0">
      <alignment horizontal="right" vertical="center"/>
    </xf>
    <xf numFmtId="0" fontId="88" fillId="42" borderId="19" applyNumberFormat="0" applyAlignment="0" applyProtection="0"/>
    <xf numFmtId="0" fontId="6" fillId="22" borderId="175">
      <alignment horizontal="right" vertical="center"/>
    </xf>
    <xf numFmtId="4" fontId="4" fillId="0" borderId="175" applyFill="0" applyBorder="0" applyProtection="0">
      <alignment horizontal="right" vertical="center"/>
    </xf>
    <xf numFmtId="4" fontId="4" fillId="0" borderId="175">
      <alignment horizontal="right" vertical="center"/>
    </xf>
    <xf numFmtId="0" fontId="6" fillId="22" borderId="175">
      <alignment horizontal="right" vertical="center"/>
    </xf>
    <xf numFmtId="0" fontId="4" fillId="22" borderId="178">
      <alignment horizontal="left" vertical="center" wrapText="1" indent="2"/>
    </xf>
    <xf numFmtId="0" fontId="4" fillId="22" borderId="178">
      <alignment horizontal="left" vertical="center" wrapText="1" indent="2"/>
    </xf>
    <xf numFmtId="4" fontId="6" fillId="22" borderId="176">
      <alignment horizontal="right" vertical="center"/>
    </xf>
    <xf numFmtId="0" fontId="66" fillId="23" borderId="171" applyNumberFormat="0" applyAlignment="0" applyProtection="0"/>
    <xf numFmtId="0" fontId="16" fillId="23" borderId="172" applyNumberFormat="0" applyAlignment="0" applyProtection="0"/>
    <xf numFmtId="0" fontId="6" fillId="22" borderId="175">
      <alignment horizontal="right" vertical="center"/>
    </xf>
    <xf numFmtId="49" fontId="8" fillId="0" borderId="175" applyNumberFormat="0" applyFill="0" applyBorder="0" applyProtection="0">
      <alignment horizontal="left" vertical="center"/>
    </xf>
    <xf numFmtId="0" fontId="68" fillId="0" borderId="173" applyNumberFormat="0" applyFill="0" applyAlignment="0" applyProtection="0"/>
    <xf numFmtId="0" fontId="26" fillId="23" borderId="163" applyNumberFormat="0" applyAlignment="0" applyProtection="0"/>
    <xf numFmtId="0" fontId="16" fillId="23" borderId="164" applyNumberFormat="0" applyAlignment="0" applyProtection="0"/>
    <xf numFmtId="0" fontId="28" fillId="0" borderId="165" applyNumberFormat="0" applyFill="0" applyAlignment="0" applyProtection="0"/>
    <xf numFmtId="0" fontId="4" fillId="22" borderId="178">
      <alignment horizontal="left" vertical="center" wrapText="1" indent="2"/>
    </xf>
    <xf numFmtId="0" fontId="51" fillId="28" borderId="174" applyNumberFormat="0" applyFont="0" applyAlignment="0" applyProtection="0"/>
    <xf numFmtId="0" fontId="4" fillId="27" borderId="175"/>
    <xf numFmtId="0" fontId="48" fillId="59" borderId="0" applyNumberFormat="0" applyBorder="0" applyAlignment="0" applyProtection="0"/>
    <xf numFmtId="4" fontId="6" fillId="22" borderId="175">
      <alignment horizontal="right" vertical="center"/>
    </xf>
    <xf numFmtId="4" fontId="6" fillId="22" borderId="175">
      <alignment horizontal="right" vertical="center"/>
    </xf>
    <xf numFmtId="0" fontId="62" fillId="7" borderId="172" applyNumberFormat="0" applyAlignment="0" applyProtection="0"/>
    <xf numFmtId="0" fontId="66" fillId="23" borderId="171" applyNumberFormat="0" applyAlignment="0" applyProtection="0"/>
    <xf numFmtId="4" fontId="6" fillId="21" borderId="175">
      <alignment horizontal="right" vertical="center"/>
    </xf>
    <xf numFmtId="0" fontId="28" fillId="0" borderId="173" applyNumberFormat="0" applyFill="0" applyAlignment="0" applyProtection="0"/>
    <xf numFmtId="4" fontId="6" fillId="22" borderId="175">
      <alignment horizontal="right" vertical="center"/>
    </xf>
    <xf numFmtId="0" fontId="92" fillId="57" borderId="0" applyNumberFormat="0" applyBorder="0" applyAlignment="0" applyProtection="0"/>
    <xf numFmtId="0" fontId="4" fillId="22" borderId="178">
      <alignment horizontal="left" vertical="center" wrapText="1" indent="2"/>
    </xf>
    <xf numFmtId="4" fontId="6" fillId="22" borderId="175">
      <alignment horizontal="right" vertical="center"/>
    </xf>
    <xf numFmtId="0" fontId="66" fillId="23" borderId="171" applyNumberFormat="0" applyAlignment="0" applyProtection="0"/>
    <xf numFmtId="0" fontId="23" fillId="7" borderId="172" applyNumberFormat="0" applyAlignment="0" applyProtection="0"/>
    <xf numFmtId="0" fontId="68" fillId="0" borderId="173" applyNumberFormat="0" applyFill="0" applyAlignment="0" applyProtection="0"/>
    <xf numFmtId="0" fontId="23" fillId="7" borderId="164" applyNumberFormat="0" applyAlignment="0" applyProtection="0"/>
    <xf numFmtId="4" fontId="9" fillId="21" borderId="175">
      <alignment horizontal="right" vertical="center"/>
    </xf>
    <xf numFmtId="0" fontId="9" fillId="21" borderId="175">
      <alignment horizontal="right" vertical="center"/>
    </xf>
    <xf numFmtId="4" fontId="4" fillId="27" borderId="175"/>
    <xf numFmtId="0" fontId="4" fillId="0" borderId="175" applyNumberFormat="0" applyFill="0" applyAlignment="0" applyProtection="0"/>
    <xf numFmtId="0" fontId="28" fillId="0" borderId="173" applyNumberFormat="0" applyFill="0" applyAlignment="0" applyProtection="0"/>
    <xf numFmtId="0" fontId="6" fillId="22" borderId="175">
      <alignment horizontal="right" vertical="center"/>
    </xf>
    <xf numFmtId="4" fontId="4" fillId="0" borderId="175">
      <alignment horizontal="right" vertical="center"/>
    </xf>
    <xf numFmtId="49" fontId="4" fillId="0" borderId="175" applyNumberFormat="0" applyFont="0" applyFill="0" applyBorder="0" applyProtection="0">
      <alignment horizontal="left" vertical="center" indent="2"/>
    </xf>
    <xf numFmtId="0" fontId="4" fillId="27" borderId="175"/>
    <xf numFmtId="0" fontId="4" fillId="0" borderId="178">
      <alignment horizontal="left" vertical="center" wrapText="1" indent="2"/>
    </xf>
    <xf numFmtId="0" fontId="54" fillId="23" borderId="172" applyNumberFormat="0" applyAlignment="0" applyProtection="0"/>
    <xf numFmtId="0" fontId="68" fillId="0" borderId="173" applyNumberFormat="0" applyFill="0" applyAlignment="0" applyProtection="0"/>
    <xf numFmtId="0" fontId="4" fillId="22" borderId="170">
      <alignment horizontal="left" vertical="center" wrapText="1" indent="2"/>
    </xf>
    <xf numFmtId="0" fontId="4" fillId="0" borderId="170">
      <alignment horizontal="left" vertical="center" wrapText="1" indent="2"/>
    </xf>
    <xf numFmtId="49" fontId="4" fillId="0" borderId="175" applyNumberFormat="0" applyFont="0" applyFill="0" applyBorder="0" applyProtection="0">
      <alignment horizontal="left" vertical="center" indent="2"/>
    </xf>
    <xf numFmtId="0" fontId="62" fillId="7" borderId="172" applyNumberFormat="0" applyAlignment="0" applyProtection="0"/>
    <xf numFmtId="4" fontId="6" fillId="22" borderId="176">
      <alignment horizontal="right" vertical="center"/>
    </xf>
    <xf numFmtId="0" fontId="4" fillId="21" borderId="176">
      <alignment horizontal="left" vertical="center"/>
    </xf>
    <xf numFmtId="4" fontId="6" fillId="22" borderId="176">
      <alignment horizontal="right" vertical="center"/>
    </xf>
    <xf numFmtId="4" fontId="6" fillId="22" borderId="176">
      <alignment horizontal="right" vertical="center"/>
    </xf>
    <xf numFmtId="49" fontId="4" fillId="0" borderId="175" applyNumberFormat="0" applyFont="0" applyFill="0" applyBorder="0" applyProtection="0">
      <alignment horizontal="left" vertical="center" indent="2"/>
    </xf>
    <xf numFmtId="0" fontId="66" fillId="23" borderId="171" applyNumberFormat="0" applyAlignment="0" applyProtection="0"/>
    <xf numFmtId="0" fontId="23" fillId="7" borderId="172" applyNumberFormat="0" applyAlignment="0" applyProtection="0"/>
    <xf numFmtId="0" fontId="68" fillId="0" borderId="173" applyNumberFormat="0" applyFill="0" applyAlignment="0" applyProtection="0"/>
    <xf numFmtId="0" fontId="28" fillId="0" borderId="173" applyNumberFormat="0" applyFill="0" applyAlignment="0" applyProtection="0"/>
    <xf numFmtId="0" fontId="6" fillId="22" borderId="175">
      <alignment horizontal="right" vertical="center"/>
    </xf>
    <xf numFmtId="4" fontId="6" fillId="22" borderId="175">
      <alignment horizontal="right" vertical="center"/>
    </xf>
    <xf numFmtId="49" fontId="8" fillId="0" borderId="175" applyNumberFormat="0" applyFill="0" applyBorder="0" applyProtection="0">
      <alignment horizontal="left" vertical="center"/>
    </xf>
    <xf numFmtId="4" fontId="4" fillId="0" borderId="175" applyFill="0" applyBorder="0" applyProtection="0">
      <alignment horizontal="right" vertical="center"/>
    </xf>
    <xf numFmtId="0" fontId="4" fillId="0" borderId="178">
      <alignment horizontal="left" vertical="center" wrapText="1" indent="2"/>
    </xf>
    <xf numFmtId="0" fontId="68" fillId="0" borderId="173" applyNumberFormat="0" applyFill="0" applyAlignment="0" applyProtection="0"/>
    <xf numFmtId="0" fontId="16" fillId="23" borderId="172" applyNumberFormat="0" applyAlignment="0" applyProtection="0"/>
    <xf numFmtId="0" fontId="48" fillId="52" borderId="0" applyNumberFormat="0" applyBorder="0" applyAlignment="0" applyProtection="0"/>
    <xf numFmtId="178" fontId="4" fillId="29" borderId="175" applyNumberFormat="0" applyFont="0" applyBorder="0" applyAlignment="0" applyProtection="0">
      <alignment horizontal="right" vertical="center"/>
    </xf>
    <xf numFmtId="0" fontId="66" fillId="23" borderId="171" applyNumberFormat="0" applyAlignment="0" applyProtection="0"/>
    <xf numFmtId="0" fontId="62" fillId="7" borderId="172" applyNumberFormat="0" applyAlignment="0" applyProtection="0"/>
    <xf numFmtId="4" fontId="4" fillId="0" borderId="175">
      <alignment horizontal="right" vertical="center"/>
    </xf>
    <xf numFmtId="0" fontId="68" fillId="0" borderId="173" applyNumberFormat="0" applyFill="0" applyAlignment="0" applyProtection="0"/>
    <xf numFmtId="0" fontId="92" fillId="60" borderId="0" applyNumberFormat="0" applyBorder="0" applyAlignment="0" applyProtection="0"/>
    <xf numFmtId="0" fontId="48" fillId="58" borderId="0" applyNumberFormat="0" applyBorder="0" applyAlignment="0" applyProtection="0"/>
    <xf numFmtId="0" fontId="48" fillId="44" borderId="0" applyNumberFormat="0" applyBorder="0" applyAlignment="0" applyProtection="0"/>
    <xf numFmtId="0" fontId="92" fillId="51" borderId="0" applyNumberFormat="0" applyBorder="0" applyAlignment="0" applyProtection="0"/>
    <xf numFmtId="0" fontId="48" fillId="53" borderId="0" applyNumberFormat="0" applyBorder="0" applyAlignment="0" applyProtection="0"/>
    <xf numFmtId="0" fontId="92" fillId="54" borderId="0" applyNumberFormat="0" applyBorder="0" applyAlignment="0" applyProtection="0"/>
    <xf numFmtId="0" fontId="4" fillId="21" borderId="176">
      <alignment horizontal="left" vertical="center"/>
    </xf>
    <xf numFmtId="0" fontId="92" fillId="48" borderId="0" applyNumberFormat="0" applyBorder="0" applyAlignment="0" applyProtection="0"/>
    <xf numFmtId="4" fontId="6" fillId="22" borderId="177">
      <alignment horizontal="right" vertical="center"/>
    </xf>
    <xf numFmtId="0" fontId="48" fillId="46" borderId="0" applyNumberFormat="0" applyBorder="0" applyAlignment="0" applyProtection="0"/>
    <xf numFmtId="0" fontId="92" fillId="45" borderId="0" applyNumberFormat="0" applyBorder="0" applyAlignment="0" applyProtection="0"/>
    <xf numFmtId="0" fontId="90" fillId="0" borderId="0" applyNumberFormat="0" applyFill="0" applyBorder="0" applyAlignment="0" applyProtection="0"/>
    <xf numFmtId="0" fontId="48" fillId="50" borderId="0" applyNumberFormat="0" applyBorder="0" applyAlignment="0" applyProtection="0"/>
    <xf numFmtId="0" fontId="66" fillId="23" borderId="171" applyNumberFormat="0" applyAlignment="0" applyProtection="0"/>
    <xf numFmtId="0" fontId="4" fillId="22" borderId="178">
      <alignment horizontal="left" vertical="center" wrapText="1" indent="2"/>
    </xf>
    <xf numFmtId="0" fontId="62" fillId="7" borderId="172" applyNumberFormat="0" applyAlignment="0" applyProtection="0"/>
    <xf numFmtId="4" fontId="6" fillId="22" borderId="175">
      <alignment horizontal="right" vertical="center"/>
    </xf>
    <xf numFmtId="4" fontId="6" fillId="22" borderId="177">
      <alignment horizontal="right" vertical="center"/>
    </xf>
    <xf numFmtId="0" fontId="87" fillId="42" borderId="161" applyNumberFormat="0" applyAlignment="0" applyProtection="0"/>
    <xf numFmtId="4" fontId="6" fillId="22" borderId="167">
      <alignment horizontal="right" vertical="center"/>
    </xf>
    <xf numFmtId="0" fontId="4" fillId="27" borderId="167"/>
    <xf numFmtId="0" fontId="16" fillId="23" borderId="164" applyNumberFormat="0" applyAlignment="0" applyProtection="0"/>
    <xf numFmtId="0" fontId="6" fillId="21" borderId="167">
      <alignment horizontal="right" vertical="center"/>
    </xf>
    <xf numFmtId="0" fontId="4" fillId="0" borderId="167">
      <alignment horizontal="right" vertical="center"/>
    </xf>
    <xf numFmtId="0" fontId="68" fillId="0" borderId="165" applyNumberFormat="0" applyFill="0" applyAlignment="0" applyProtection="0"/>
    <xf numFmtId="0" fontId="4" fillId="21" borderId="168">
      <alignment horizontal="left" vertical="center"/>
    </xf>
    <xf numFmtId="0" fontId="62" fillId="7" borderId="164" applyNumberFormat="0" applyAlignment="0" applyProtection="0"/>
    <xf numFmtId="178" fontId="4" fillId="29" borderId="167" applyNumberFormat="0" applyFont="0" applyBorder="0" applyAlignment="0" applyProtection="0">
      <alignment horizontal="right" vertical="center"/>
    </xf>
    <xf numFmtId="0" fontId="51" fillId="28" borderId="166" applyNumberFormat="0" applyFont="0" applyAlignment="0" applyProtection="0"/>
    <xf numFmtId="0" fontId="4" fillId="0" borderId="170">
      <alignment horizontal="left" vertical="center" wrapText="1" indent="2"/>
    </xf>
    <xf numFmtId="4" fontId="4" fillId="27" borderId="167"/>
    <xf numFmtId="49" fontId="8" fillId="0" borderId="167" applyNumberFormat="0" applyFill="0" applyBorder="0" applyProtection="0">
      <alignment horizontal="left" vertical="center"/>
    </xf>
    <xf numFmtId="0" fontId="4" fillId="0" borderId="167">
      <alignment horizontal="right" vertical="center"/>
    </xf>
    <xf numFmtId="4" fontId="6" fillId="22" borderId="169">
      <alignment horizontal="right" vertical="center"/>
    </xf>
    <xf numFmtId="4" fontId="6" fillId="22" borderId="167">
      <alignment horizontal="right" vertical="center"/>
    </xf>
    <xf numFmtId="4" fontId="6" fillId="22" borderId="167">
      <alignment horizontal="right" vertical="center"/>
    </xf>
    <xf numFmtId="0" fontId="9" fillId="21" borderId="167">
      <alignment horizontal="right" vertical="center"/>
    </xf>
    <xf numFmtId="0" fontId="6" fillId="21" borderId="167">
      <alignment horizontal="right" vertical="center"/>
    </xf>
    <xf numFmtId="49" fontId="4" fillId="0" borderId="167" applyNumberFormat="0" applyFont="0" applyFill="0" applyBorder="0" applyProtection="0">
      <alignment horizontal="left" vertical="center" indent="2"/>
    </xf>
    <xf numFmtId="0" fontId="62" fillId="7" borderId="164" applyNumberFormat="0" applyAlignment="0" applyProtection="0"/>
    <xf numFmtId="0" fontId="26" fillId="23" borderId="163" applyNumberFormat="0" applyAlignment="0" applyProtection="0"/>
    <xf numFmtId="49" fontId="4" fillId="0" borderId="167" applyNumberFormat="0" applyFont="0" applyFill="0" applyBorder="0" applyProtection="0">
      <alignment horizontal="left" vertical="center" indent="2"/>
    </xf>
    <xf numFmtId="0" fontId="23" fillId="7" borderId="164" applyNumberFormat="0" applyAlignment="0" applyProtection="0"/>
    <xf numFmtId="4" fontId="4" fillId="0" borderId="167" applyFill="0" applyBorder="0" applyProtection="0">
      <alignment horizontal="right" vertical="center"/>
    </xf>
    <xf numFmtId="0" fontId="54" fillId="23" borderId="164" applyNumberFormat="0" applyAlignment="0" applyProtection="0"/>
    <xf numFmtId="0" fontId="68" fillId="0" borderId="165" applyNumberFormat="0" applyFill="0" applyAlignment="0" applyProtection="0"/>
    <xf numFmtId="0" fontId="66" fillId="23" borderId="163" applyNumberFormat="0" applyAlignment="0" applyProtection="0"/>
    <xf numFmtId="0" fontId="4" fillId="0" borderId="167" applyNumberFormat="0" applyFill="0" applyAlignment="0" applyProtection="0"/>
    <xf numFmtId="4" fontId="4" fillId="0" borderId="167">
      <alignment horizontal="right" vertical="center"/>
    </xf>
    <xf numFmtId="0" fontId="4" fillId="0" borderId="167">
      <alignment horizontal="right" vertical="center"/>
    </xf>
    <xf numFmtId="0" fontId="62" fillId="7" borderId="164" applyNumberFormat="0" applyAlignment="0" applyProtection="0"/>
    <xf numFmtId="0" fontId="26" fillId="23" borderId="163" applyNumberFormat="0" applyAlignment="0" applyProtection="0"/>
    <xf numFmtId="0" fontId="16" fillId="23" borderId="164" applyNumberFormat="0" applyAlignment="0" applyProtection="0"/>
    <xf numFmtId="0" fontId="4" fillId="22" borderId="170">
      <alignment horizontal="left" vertical="center" wrapText="1" indent="2"/>
    </xf>
    <xf numFmtId="0" fontId="54" fillId="23" borderId="164" applyNumberFormat="0" applyAlignment="0" applyProtection="0"/>
    <xf numFmtId="0" fontId="54" fillId="23" borderId="164" applyNumberFormat="0" applyAlignment="0" applyProtection="0"/>
    <xf numFmtId="4" fontId="6" fillId="22" borderId="168">
      <alignment horizontal="right" vertical="center"/>
    </xf>
    <xf numFmtId="0" fontId="6" fillId="22" borderId="168">
      <alignment horizontal="right" vertical="center"/>
    </xf>
    <xf numFmtId="0" fontId="6" fillId="22" borderId="167">
      <alignment horizontal="right" vertical="center"/>
    </xf>
    <xf numFmtId="4" fontId="9" fillId="21" borderId="167">
      <alignment horizontal="right" vertical="center"/>
    </xf>
    <xf numFmtId="0" fontId="23" fillId="7" borderId="164" applyNumberFormat="0" applyAlignment="0" applyProtection="0"/>
    <xf numFmtId="0" fontId="28" fillId="0" borderId="165" applyNumberFormat="0" applyFill="0" applyAlignment="0" applyProtection="0"/>
    <xf numFmtId="0" fontId="68" fillId="0" borderId="165" applyNumberFormat="0" applyFill="0" applyAlignment="0" applyProtection="0"/>
    <xf numFmtId="0" fontId="51" fillId="28" borderId="166" applyNumberFormat="0" applyFont="0" applyAlignment="0" applyProtection="0"/>
    <xf numFmtId="0" fontId="62" fillId="7" borderId="164" applyNumberFormat="0" applyAlignment="0" applyProtection="0"/>
    <xf numFmtId="49" fontId="8" fillId="0" borderId="167" applyNumberFormat="0" applyFill="0" applyBorder="0" applyProtection="0">
      <alignment horizontal="left" vertical="center"/>
    </xf>
    <xf numFmtId="0" fontId="4" fillId="22" borderId="170">
      <alignment horizontal="left" vertical="center" wrapText="1" indent="2"/>
    </xf>
    <xf numFmtId="0" fontId="54" fillId="23" borderId="164" applyNumberFormat="0" applyAlignment="0" applyProtection="0"/>
    <xf numFmtId="0" fontId="4" fillId="0" borderId="170">
      <alignment horizontal="left" vertical="center" wrapText="1" indent="2"/>
    </xf>
    <xf numFmtId="0" fontId="51" fillId="28" borderId="166" applyNumberFormat="0" applyFont="0" applyAlignment="0" applyProtection="0"/>
    <xf numFmtId="0" fontId="7"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4" fontId="4" fillId="27" borderId="167"/>
    <xf numFmtId="0" fontId="6" fillId="22" borderId="167">
      <alignment horizontal="right" vertical="center"/>
    </xf>
    <xf numFmtId="0" fontId="68" fillId="0" borderId="165" applyNumberFormat="0" applyFill="0" applyAlignment="0" applyProtection="0"/>
    <xf numFmtId="4" fontId="6" fillId="22" borderId="169">
      <alignment horizontal="right" vertical="center"/>
    </xf>
    <xf numFmtId="0" fontId="16" fillId="23" borderId="164" applyNumberFormat="0" applyAlignment="0" applyProtection="0"/>
    <xf numFmtId="0" fontId="6" fillId="22" borderId="168">
      <alignment horizontal="right" vertical="center"/>
    </xf>
    <xf numFmtId="0" fontId="54" fillId="23" borderId="164" applyNumberFormat="0" applyAlignment="0" applyProtection="0"/>
    <xf numFmtId="0" fontId="28" fillId="0" borderId="165" applyNumberFormat="0" applyFill="0" applyAlignment="0" applyProtection="0"/>
    <xf numFmtId="0" fontId="51" fillId="28" borderId="166" applyNumberFormat="0" applyFont="0" applyAlignment="0" applyProtection="0"/>
    <xf numFmtId="4" fontId="6" fillId="22" borderId="168">
      <alignment horizontal="right" vertical="center"/>
    </xf>
    <xf numFmtId="0" fontId="4" fillId="22" borderId="170">
      <alignment horizontal="left" vertical="center" wrapText="1" indent="2"/>
    </xf>
    <xf numFmtId="0" fontId="4" fillId="27" borderId="167"/>
    <xf numFmtId="178" fontId="4" fillId="29" borderId="167" applyNumberFormat="0" applyFont="0" applyBorder="0" applyAlignment="0" applyProtection="0">
      <alignment horizontal="right" vertical="center"/>
    </xf>
    <xf numFmtId="0" fontId="4" fillId="0" borderId="167" applyNumberFormat="0" applyFill="0" applyAlignment="0" applyProtection="0"/>
    <xf numFmtId="4" fontId="4" fillId="0" borderId="167" applyFill="0" applyBorder="0" applyProtection="0">
      <alignment horizontal="right" vertical="center"/>
    </xf>
    <xf numFmtId="4" fontId="6" fillId="21" borderId="167">
      <alignment horizontal="right" vertical="center"/>
    </xf>
    <xf numFmtId="0" fontId="28" fillId="0" borderId="165" applyNumberFormat="0" applyFill="0" applyAlignment="0" applyProtection="0"/>
    <xf numFmtId="49" fontId="8" fillId="0" borderId="167" applyNumberFormat="0" applyFill="0" applyBorder="0" applyProtection="0">
      <alignment horizontal="left" vertical="center"/>
    </xf>
    <xf numFmtId="49" fontId="4" fillId="0" borderId="168" applyNumberFormat="0" applyFont="0" applyFill="0" applyBorder="0" applyProtection="0">
      <alignment horizontal="left" vertical="center" indent="5"/>
    </xf>
    <xf numFmtId="0" fontId="4" fillId="21" borderId="168">
      <alignment horizontal="left" vertical="center"/>
    </xf>
    <xf numFmtId="0" fontId="54" fillId="23" borderId="164" applyNumberFormat="0" applyAlignment="0" applyProtection="0"/>
    <xf numFmtId="4" fontId="6" fillId="22" borderId="169">
      <alignment horizontal="right" vertical="center"/>
    </xf>
    <xf numFmtId="0" fontId="62" fillId="7" borderId="164" applyNumberFormat="0" applyAlignment="0" applyProtection="0"/>
    <xf numFmtId="0" fontId="62" fillId="7" borderId="164" applyNumberFormat="0" applyAlignment="0" applyProtection="0"/>
    <xf numFmtId="0" fontId="51"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0" fontId="6" fillId="22" borderId="167">
      <alignment horizontal="right" vertical="center"/>
    </xf>
    <xf numFmtId="0" fontId="7" fillId="28" borderId="166" applyNumberFormat="0" applyFont="0" applyAlignment="0" applyProtection="0"/>
    <xf numFmtId="4" fontId="4" fillId="0" borderId="167">
      <alignment horizontal="right" vertical="center"/>
    </xf>
    <xf numFmtId="0" fontId="68" fillId="0" borderId="165" applyNumberFormat="0" applyFill="0" applyAlignment="0" applyProtection="0"/>
    <xf numFmtId="0" fontId="6" fillId="22" borderId="167">
      <alignment horizontal="right" vertical="center"/>
    </xf>
    <xf numFmtId="0" fontId="6" fillId="22" borderId="167">
      <alignment horizontal="right" vertical="center"/>
    </xf>
    <xf numFmtId="4" fontId="9" fillId="21" borderId="167">
      <alignment horizontal="right" vertical="center"/>
    </xf>
    <xf numFmtId="0" fontId="6" fillId="21" borderId="167">
      <alignment horizontal="right" vertical="center"/>
    </xf>
    <xf numFmtId="4" fontId="6" fillId="21" borderId="167">
      <alignment horizontal="right" vertical="center"/>
    </xf>
    <xf numFmtId="0" fontId="9" fillId="21" borderId="167">
      <alignment horizontal="right" vertical="center"/>
    </xf>
    <xf numFmtId="4" fontId="9" fillId="21" borderId="167">
      <alignment horizontal="right" vertical="center"/>
    </xf>
    <xf numFmtId="0" fontId="6" fillId="22" borderId="167">
      <alignment horizontal="right" vertical="center"/>
    </xf>
    <xf numFmtId="4" fontId="6" fillId="22" borderId="167">
      <alignment horizontal="right" vertical="center"/>
    </xf>
    <xf numFmtId="0" fontId="6" fillId="22" borderId="167">
      <alignment horizontal="right" vertical="center"/>
    </xf>
    <xf numFmtId="4" fontId="6" fillId="22" borderId="167">
      <alignment horizontal="right" vertical="center"/>
    </xf>
    <xf numFmtId="0" fontId="6" fillId="22" borderId="168">
      <alignment horizontal="right" vertical="center"/>
    </xf>
    <xf numFmtId="4" fontId="6" fillId="22" borderId="168">
      <alignment horizontal="right" vertical="center"/>
    </xf>
    <xf numFmtId="0" fontId="6" fillId="22" borderId="169">
      <alignment horizontal="right" vertical="center"/>
    </xf>
    <xf numFmtId="4" fontId="6" fillId="22" borderId="169">
      <alignment horizontal="right" vertical="center"/>
    </xf>
    <xf numFmtId="0" fontId="54" fillId="23" borderId="164" applyNumberFormat="0" applyAlignment="0" applyProtection="0"/>
    <xf numFmtId="0" fontId="4" fillId="22" borderId="170">
      <alignment horizontal="left" vertical="center" wrapText="1" indent="2"/>
    </xf>
    <xf numFmtId="0" fontId="4" fillId="0" borderId="170">
      <alignment horizontal="left" vertical="center" wrapText="1" indent="2"/>
    </xf>
    <xf numFmtId="0" fontId="4" fillId="21" borderId="168">
      <alignment horizontal="left" vertical="center"/>
    </xf>
    <xf numFmtId="0" fontId="62" fillId="7" borderId="164" applyNumberFormat="0" applyAlignment="0" applyProtection="0"/>
    <xf numFmtId="0" fontId="4" fillId="0" borderId="167">
      <alignment horizontal="right" vertical="center"/>
    </xf>
    <xf numFmtId="4" fontId="4" fillId="0" borderId="167">
      <alignment horizontal="right" vertical="center"/>
    </xf>
    <xf numFmtId="0" fontId="4" fillId="0" borderId="167" applyNumberFormat="0" applyFill="0" applyAlignment="0" applyProtection="0"/>
    <xf numFmtId="0" fontId="66" fillId="23" borderId="163" applyNumberFormat="0" applyAlignment="0" applyProtection="0"/>
    <xf numFmtId="178" fontId="4" fillId="29" borderId="167" applyNumberFormat="0" applyFont="0" applyBorder="0" applyAlignment="0" applyProtection="0">
      <alignment horizontal="right" vertical="center"/>
    </xf>
    <xf numFmtId="0" fontId="4" fillId="27" borderId="167"/>
    <xf numFmtId="4" fontId="4" fillId="27" borderId="167"/>
    <xf numFmtId="0" fontId="68" fillId="0" borderId="165" applyNumberFormat="0" applyFill="0" applyAlignment="0" applyProtection="0"/>
    <xf numFmtId="0" fontId="7" fillId="28" borderId="166" applyNumberFormat="0" applyFont="0" applyAlignment="0" applyProtection="0"/>
    <xf numFmtId="0" fontId="51" fillId="28" borderId="166" applyNumberFormat="0" applyFont="0" applyAlignment="0" applyProtection="0"/>
    <xf numFmtId="0" fontId="4" fillId="0" borderId="167" applyNumberFormat="0" applyFill="0" applyAlignment="0" applyProtection="0"/>
    <xf numFmtId="0" fontId="28" fillId="0" borderId="165" applyNumberFormat="0" applyFill="0" applyAlignment="0" applyProtection="0"/>
    <xf numFmtId="0" fontId="68" fillId="0" borderId="165" applyNumberFormat="0" applyFill="0" applyAlignment="0" applyProtection="0"/>
    <xf numFmtId="0" fontId="23" fillId="7" borderId="164" applyNumberFormat="0" applyAlignment="0" applyProtection="0"/>
    <xf numFmtId="0" fontId="54" fillId="23" borderId="164" applyNumberFormat="0" applyAlignment="0" applyProtection="0"/>
    <xf numFmtId="4" fontId="9" fillId="21" borderId="167">
      <alignment horizontal="right" vertical="center"/>
    </xf>
    <xf numFmtId="0" fontId="6" fillId="21" borderId="167">
      <alignment horizontal="right" vertical="center"/>
    </xf>
    <xf numFmtId="178" fontId="4" fillId="29" borderId="167" applyNumberFormat="0" applyFont="0" applyBorder="0" applyAlignment="0" applyProtection="0">
      <alignment horizontal="right" vertical="center"/>
    </xf>
    <xf numFmtId="0" fontId="28" fillId="0" borderId="165" applyNumberFormat="0" applyFill="0" applyAlignment="0" applyProtection="0"/>
    <xf numFmtId="49" fontId="4" fillId="0" borderId="167" applyNumberFormat="0" applyFont="0" applyFill="0" applyBorder="0" applyProtection="0">
      <alignment horizontal="left" vertical="center" indent="2"/>
    </xf>
    <xf numFmtId="49" fontId="4" fillId="0" borderId="168" applyNumberFormat="0" applyFont="0" applyFill="0" applyBorder="0" applyProtection="0">
      <alignment horizontal="left" vertical="center" indent="5"/>
    </xf>
    <xf numFmtId="49" fontId="4" fillId="0" borderId="167" applyNumberFormat="0" applyFont="0" applyFill="0" applyBorder="0" applyProtection="0">
      <alignment horizontal="left" vertical="center" indent="2"/>
    </xf>
    <xf numFmtId="4" fontId="4" fillId="0" borderId="167" applyFill="0" applyBorder="0" applyProtection="0">
      <alignment horizontal="right" vertical="center"/>
    </xf>
    <xf numFmtId="49" fontId="8" fillId="0" borderId="167" applyNumberFormat="0" applyFill="0" applyBorder="0" applyProtection="0">
      <alignment horizontal="left" vertical="center"/>
    </xf>
    <xf numFmtId="0" fontId="4" fillId="0" borderId="170">
      <alignment horizontal="left" vertical="center" wrapText="1" indent="2"/>
    </xf>
    <xf numFmtId="0" fontId="66" fillId="23" borderId="163" applyNumberFormat="0" applyAlignment="0" applyProtection="0"/>
    <xf numFmtId="0" fontId="6" fillId="22" borderId="169">
      <alignment horizontal="right" vertical="center"/>
    </xf>
    <xf numFmtId="0" fontId="23" fillId="7" borderId="164" applyNumberFormat="0" applyAlignment="0" applyProtection="0"/>
    <xf numFmtId="0" fontId="6" fillId="22" borderId="169">
      <alignment horizontal="right" vertical="center"/>
    </xf>
    <xf numFmtId="4" fontId="6" fillId="22" borderId="167">
      <alignment horizontal="right" vertical="center"/>
    </xf>
    <xf numFmtId="0" fontId="6" fillId="22" borderId="167">
      <alignment horizontal="right" vertical="center"/>
    </xf>
    <xf numFmtId="0" fontId="26" fillId="23" borderId="163" applyNumberFormat="0" applyAlignment="0" applyProtection="0"/>
    <xf numFmtId="0" fontId="16" fillId="23" borderId="164" applyNumberFormat="0" applyAlignment="0" applyProtection="0"/>
    <xf numFmtId="0" fontId="28" fillId="0" borderId="165" applyNumberFormat="0" applyFill="0" applyAlignment="0" applyProtection="0"/>
    <xf numFmtId="0" fontId="4" fillId="27" borderId="167"/>
    <xf numFmtId="4" fontId="4" fillId="27" borderId="167"/>
    <xf numFmtId="4" fontId="6" fillId="22" borderId="167">
      <alignment horizontal="right" vertical="center"/>
    </xf>
    <xf numFmtId="0" fontId="9" fillId="21" borderId="167">
      <alignment horizontal="right" vertical="center"/>
    </xf>
    <xf numFmtId="0" fontId="23" fillId="7" borderId="164" applyNumberFormat="0" applyAlignment="0" applyProtection="0"/>
    <xf numFmtId="0" fontId="54" fillId="23" borderId="164" applyNumberFormat="0" applyAlignment="0" applyProtection="0"/>
    <xf numFmtId="4" fontId="4" fillId="0" borderId="167">
      <alignment horizontal="right" vertical="center"/>
    </xf>
    <xf numFmtId="0" fontId="4" fillId="22" borderId="170">
      <alignment horizontal="left" vertical="center" wrapText="1" indent="2"/>
    </xf>
    <xf numFmtId="0" fontId="4" fillId="0" borderId="170">
      <alignment horizontal="left" vertical="center" wrapText="1" indent="2"/>
    </xf>
    <xf numFmtId="0" fontId="66" fillId="23" borderId="163" applyNumberFormat="0" applyAlignment="0" applyProtection="0"/>
    <xf numFmtId="0" fontId="62" fillId="7" borderId="164" applyNumberFormat="0" applyAlignment="0" applyProtection="0"/>
    <xf numFmtId="0" fontId="16" fillId="23" borderId="164" applyNumberFormat="0" applyAlignment="0" applyProtection="0"/>
    <xf numFmtId="0" fontId="26" fillId="23" borderId="163" applyNumberFormat="0" applyAlignment="0" applyProtection="0"/>
    <xf numFmtId="0" fontId="6" fillId="22" borderId="169">
      <alignment horizontal="right" vertical="center"/>
    </xf>
    <xf numFmtId="0" fontId="9" fillId="21" borderId="167">
      <alignment horizontal="right" vertical="center"/>
    </xf>
    <xf numFmtId="4" fontId="6" fillId="21" borderId="167">
      <alignment horizontal="right" vertical="center"/>
    </xf>
    <xf numFmtId="4" fontId="6" fillId="22" borderId="167">
      <alignment horizontal="right" vertical="center"/>
    </xf>
    <xf numFmtId="49" fontId="4" fillId="0" borderId="168" applyNumberFormat="0" applyFont="0" applyFill="0" applyBorder="0" applyProtection="0">
      <alignment horizontal="left" vertical="center" indent="5"/>
    </xf>
    <xf numFmtId="4" fontId="4" fillId="0" borderId="167" applyFill="0" applyBorder="0" applyProtection="0">
      <alignment horizontal="right" vertical="center"/>
    </xf>
    <xf numFmtId="4" fontId="6" fillId="21" borderId="167">
      <alignment horizontal="right" vertical="center"/>
    </xf>
    <xf numFmtId="0" fontId="62" fillId="7" borderId="164" applyNumberFormat="0" applyAlignment="0" applyProtection="0"/>
    <xf numFmtId="0" fontId="23" fillId="7" borderId="164" applyNumberFormat="0" applyAlignment="0" applyProtection="0"/>
    <xf numFmtId="0" fontId="16" fillId="23" borderId="164" applyNumberFormat="0" applyAlignment="0" applyProtection="0"/>
    <xf numFmtId="0" fontId="4" fillId="22" borderId="170">
      <alignment horizontal="left" vertical="center" wrapText="1" indent="2"/>
    </xf>
    <xf numFmtId="0" fontId="4" fillId="0" borderId="170">
      <alignment horizontal="left" vertical="center" wrapText="1" indent="2"/>
    </xf>
    <xf numFmtId="0" fontId="4" fillId="22" borderId="170">
      <alignment horizontal="left" vertical="center" wrapText="1" indent="2"/>
    </xf>
    <xf numFmtId="0" fontId="4" fillId="0" borderId="170">
      <alignment horizontal="left" vertical="center" wrapText="1" indent="2"/>
    </xf>
    <xf numFmtId="0" fontId="26" fillId="23" borderId="163" applyNumberFormat="0" applyAlignment="0" applyProtection="0"/>
    <xf numFmtId="0" fontId="16" fillId="23" borderId="164" applyNumberFormat="0" applyAlignment="0" applyProtection="0"/>
    <xf numFmtId="0" fontId="54" fillId="23" borderId="164" applyNumberFormat="0" applyAlignment="0" applyProtection="0"/>
    <xf numFmtId="0" fontId="23" fillId="7" borderId="164" applyNumberFormat="0" applyAlignment="0" applyProtection="0"/>
    <xf numFmtId="0" fontId="28" fillId="0" borderId="165" applyNumberFormat="0" applyFill="0" applyAlignment="0" applyProtection="0"/>
    <xf numFmtId="0" fontId="62" fillId="7" borderId="164" applyNumberFormat="0" applyAlignment="0" applyProtection="0"/>
    <xf numFmtId="0" fontId="51" fillId="28" borderId="166" applyNumberFormat="0" applyFont="0" applyAlignment="0" applyProtection="0"/>
    <xf numFmtId="0" fontId="7"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0" fontId="54" fillId="23" borderId="164" applyNumberFormat="0" applyAlignment="0" applyProtection="0"/>
    <xf numFmtId="0" fontId="62" fillId="7" borderId="164" applyNumberFormat="0" applyAlignment="0" applyProtection="0"/>
    <xf numFmtId="0" fontId="51"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0" fontId="6" fillId="22" borderId="34">
      <alignment horizontal="right" vertical="center"/>
    </xf>
    <xf numFmtId="4" fontId="6" fillId="22" borderId="34">
      <alignment horizontal="right" vertical="center"/>
    </xf>
    <xf numFmtId="0" fontId="6" fillId="22" borderId="36">
      <alignment horizontal="right" vertical="center"/>
    </xf>
    <xf numFmtId="4" fontId="6" fillId="22" borderId="36">
      <alignment horizontal="right" vertical="center"/>
    </xf>
    <xf numFmtId="0" fontId="54" fillId="23" borderId="164" applyNumberFormat="0" applyAlignment="0" applyProtection="0"/>
    <xf numFmtId="0" fontId="4" fillId="22" borderId="37">
      <alignment horizontal="left" vertical="center" wrapText="1" indent="2"/>
    </xf>
    <xf numFmtId="0" fontId="4" fillId="0" borderId="37">
      <alignment horizontal="left" vertical="center" wrapText="1" indent="2"/>
    </xf>
    <xf numFmtId="0" fontId="4" fillId="21" borderId="34">
      <alignment horizontal="left" vertical="center"/>
    </xf>
    <xf numFmtId="0" fontId="62" fillId="7" borderId="164" applyNumberFormat="0" applyAlignment="0" applyProtection="0"/>
    <xf numFmtId="0" fontId="66" fillId="23" borderId="163" applyNumberFormat="0" applyAlignment="0" applyProtection="0"/>
    <xf numFmtId="0" fontId="68" fillId="0" borderId="165" applyNumberFormat="0" applyFill="0" applyAlignment="0" applyProtection="0"/>
    <xf numFmtId="49" fontId="4" fillId="0" borderId="34" applyNumberFormat="0" applyFont="0" applyFill="0" applyBorder="0" applyProtection="0">
      <alignment horizontal="left" vertical="center" indent="5"/>
    </xf>
    <xf numFmtId="0" fontId="26" fillId="23" borderId="163" applyNumberFormat="0" applyAlignment="0" applyProtection="0"/>
    <xf numFmtId="0" fontId="16" fillId="23" borderId="164" applyNumberFormat="0" applyAlignment="0" applyProtection="0"/>
    <xf numFmtId="0" fontId="28" fillId="0" borderId="165" applyNumberFormat="0" applyFill="0" applyAlignment="0" applyProtection="0"/>
    <xf numFmtId="49" fontId="4" fillId="0" borderId="167" applyNumberFormat="0" applyFont="0" applyFill="0" applyBorder="0" applyProtection="0">
      <alignment horizontal="left" vertical="center" indent="2"/>
    </xf>
    <xf numFmtId="0" fontId="6" fillId="21" borderId="167">
      <alignment horizontal="right" vertical="center"/>
    </xf>
    <xf numFmtId="4" fontId="6" fillId="21" borderId="167">
      <alignment horizontal="right" vertical="center"/>
    </xf>
    <xf numFmtId="0" fontId="9" fillId="21" borderId="167">
      <alignment horizontal="right" vertical="center"/>
    </xf>
    <xf numFmtId="4" fontId="9" fillId="21" borderId="167">
      <alignment horizontal="right" vertical="center"/>
    </xf>
    <xf numFmtId="0" fontId="6" fillId="22" borderId="167">
      <alignment horizontal="right" vertical="center"/>
    </xf>
    <xf numFmtId="4" fontId="6" fillId="22" borderId="167">
      <alignment horizontal="right" vertical="center"/>
    </xf>
    <xf numFmtId="0" fontId="6" fillId="22" borderId="167">
      <alignment horizontal="right" vertical="center"/>
    </xf>
    <xf numFmtId="4" fontId="6" fillId="22" borderId="167">
      <alignment horizontal="right" vertical="center"/>
    </xf>
    <xf numFmtId="0" fontId="23" fillId="7" borderId="164" applyNumberFormat="0" applyAlignment="0" applyProtection="0"/>
    <xf numFmtId="0" fontId="4" fillId="0" borderId="167">
      <alignment horizontal="right" vertical="center"/>
    </xf>
    <xf numFmtId="4" fontId="4" fillId="0" borderId="167">
      <alignment horizontal="right" vertical="center"/>
    </xf>
    <xf numFmtId="4" fontId="4" fillId="0" borderId="167" applyFill="0" applyBorder="0" applyProtection="0">
      <alignment horizontal="right" vertical="center"/>
    </xf>
    <xf numFmtId="49" fontId="8" fillId="0" borderId="167" applyNumberFormat="0" applyFill="0" applyBorder="0" applyProtection="0">
      <alignment horizontal="left" vertical="center"/>
    </xf>
    <xf numFmtId="0" fontId="4" fillId="0" borderId="167" applyNumberFormat="0" applyFill="0" applyAlignment="0" applyProtection="0"/>
    <xf numFmtId="178" fontId="4" fillId="29" borderId="167" applyNumberFormat="0" applyFont="0" applyBorder="0" applyAlignment="0" applyProtection="0">
      <alignment horizontal="right" vertical="center"/>
    </xf>
    <xf numFmtId="0" fontId="4" fillId="27" borderId="167"/>
    <xf numFmtId="4" fontId="4" fillId="27" borderId="167"/>
    <xf numFmtId="4" fontId="6" fillId="22" borderId="167">
      <alignment horizontal="right" vertical="center"/>
    </xf>
    <xf numFmtId="0" fontId="4" fillId="27" borderId="167"/>
    <xf numFmtId="0" fontId="16" fillId="23" borderId="164" applyNumberFormat="0" applyAlignment="0" applyProtection="0"/>
    <xf numFmtId="0" fontId="6" fillId="21" borderId="167">
      <alignment horizontal="right" vertical="center"/>
    </xf>
    <xf numFmtId="0" fontId="4" fillId="0" borderId="167">
      <alignment horizontal="right" vertical="center"/>
    </xf>
    <xf numFmtId="0" fontId="68" fillId="0" borderId="165" applyNumberFormat="0" applyFill="0" applyAlignment="0" applyProtection="0"/>
    <xf numFmtId="0" fontId="4" fillId="21" borderId="168">
      <alignment horizontal="left" vertical="center"/>
    </xf>
    <xf numFmtId="0" fontId="62" fillId="7" borderId="164" applyNumberFormat="0" applyAlignment="0" applyProtection="0"/>
    <xf numFmtId="178" fontId="4" fillId="29" borderId="167" applyNumberFormat="0" applyFont="0" applyBorder="0" applyAlignment="0" applyProtection="0">
      <alignment horizontal="right" vertical="center"/>
    </xf>
    <xf numFmtId="0" fontId="51" fillId="28" borderId="166" applyNumberFormat="0" applyFont="0" applyAlignment="0" applyProtection="0"/>
    <xf numFmtId="0" fontId="4" fillId="0" borderId="170">
      <alignment horizontal="left" vertical="center" wrapText="1" indent="2"/>
    </xf>
    <xf numFmtId="4" fontId="4" fillId="27" borderId="167"/>
    <xf numFmtId="49" fontId="8" fillId="0" borderId="167" applyNumberFormat="0" applyFill="0" applyBorder="0" applyProtection="0">
      <alignment horizontal="left" vertical="center"/>
    </xf>
    <xf numFmtId="0" fontId="4" fillId="0" borderId="167">
      <alignment horizontal="right" vertical="center"/>
    </xf>
    <xf numFmtId="4" fontId="6" fillId="22" borderId="169">
      <alignment horizontal="right" vertical="center"/>
    </xf>
    <xf numFmtId="4" fontId="6" fillId="22" borderId="167">
      <alignment horizontal="right" vertical="center"/>
    </xf>
    <xf numFmtId="4" fontId="6" fillId="22" borderId="167">
      <alignment horizontal="right" vertical="center"/>
    </xf>
    <xf numFmtId="0" fontId="9" fillId="21" borderId="167">
      <alignment horizontal="right" vertical="center"/>
    </xf>
    <xf numFmtId="0" fontId="6" fillId="21" borderId="167">
      <alignment horizontal="right" vertical="center"/>
    </xf>
    <xf numFmtId="49" fontId="4" fillId="0" borderId="167" applyNumberFormat="0" applyFont="0" applyFill="0" applyBorder="0" applyProtection="0">
      <alignment horizontal="left" vertical="center" indent="2"/>
    </xf>
    <xf numFmtId="0" fontId="62" fillId="7" borderId="164" applyNumberFormat="0" applyAlignment="0" applyProtection="0"/>
    <xf numFmtId="0" fontId="26" fillId="23" borderId="163" applyNumberFormat="0" applyAlignment="0" applyProtection="0"/>
    <xf numFmtId="49" fontId="4" fillId="0" borderId="167" applyNumberFormat="0" applyFont="0" applyFill="0" applyBorder="0" applyProtection="0">
      <alignment horizontal="left" vertical="center" indent="2"/>
    </xf>
    <xf numFmtId="0" fontId="23" fillId="7" borderId="164" applyNumberFormat="0" applyAlignment="0" applyProtection="0"/>
    <xf numFmtId="4" fontId="4" fillId="0" borderId="167" applyFill="0" applyBorder="0" applyProtection="0">
      <alignment horizontal="right" vertical="center"/>
    </xf>
    <xf numFmtId="0" fontId="54" fillId="23" borderId="164" applyNumberFormat="0" applyAlignment="0" applyProtection="0"/>
    <xf numFmtId="0" fontId="68" fillId="0" borderId="165" applyNumberFormat="0" applyFill="0" applyAlignment="0" applyProtection="0"/>
    <xf numFmtId="0" fontId="66" fillId="23" borderId="163" applyNumberFormat="0" applyAlignment="0" applyProtection="0"/>
    <xf numFmtId="0" fontId="4" fillId="0" borderId="167" applyNumberFormat="0" applyFill="0" applyAlignment="0" applyProtection="0"/>
    <xf numFmtId="4" fontId="4" fillId="0" borderId="167">
      <alignment horizontal="right" vertical="center"/>
    </xf>
    <xf numFmtId="0" fontId="4" fillId="0" borderId="167">
      <alignment horizontal="right" vertical="center"/>
    </xf>
    <xf numFmtId="0" fontId="62" fillId="7" borderId="164" applyNumberFormat="0" applyAlignment="0" applyProtection="0"/>
    <xf numFmtId="0" fontId="26" fillId="23" borderId="163" applyNumberFormat="0" applyAlignment="0" applyProtection="0"/>
    <xf numFmtId="0" fontId="16" fillId="23" borderId="164" applyNumberFormat="0" applyAlignment="0" applyProtection="0"/>
    <xf numFmtId="0" fontId="4" fillId="22" borderId="170">
      <alignment horizontal="left" vertical="center" wrapText="1" indent="2"/>
    </xf>
    <xf numFmtId="0" fontId="54" fillId="23" borderId="164" applyNumberFormat="0" applyAlignment="0" applyProtection="0"/>
    <xf numFmtId="0" fontId="54" fillId="23" borderId="164" applyNumberFormat="0" applyAlignment="0" applyProtection="0"/>
    <xf numFmtId="4" fontId="6" fillId="22" borderId="168">
      <alignment horizontal="right" vertical="center"/>
    </xf>
    <xf numFmtId="0" fontId="6" fillId="22" borderId="168">
      <alignment horizontal="right" vertical="center"/>
    </xf>
    <xf numFmtId="0" fontId="6" fillId="22" borderId="167">
      <alignment horizontal="right" vertical="center"/>
    </xf>
    <xf numFmtId="4" fontId="9" fillId="21" borderId="167">
      <alignment horizontal="right" vertical="center"/>
    </xf>
    <xf numFmtId="0" fontId="23" fillId="7" borderId="164" applyNumberFormat="0" applyAlignment="0" applyProtection="0"/>
    <xf numFmtId="0" fontId="28" fillId="0" borderId="165" applyNumberFormat="0" applyFill="0" applyAlignment="0" applyProtection="0"/>
    <xf numFmtId="0" fontId="68" fillId="0" borderId="165" applyNumberFormat="0" applyFill="0" applyAlignment="0" applyProtection="0"/>
    <xf numFmtId="0" fontId="51" fillId="28" borderId="166" applyNumberFormat="0" applyFont="0" applyAlignment="0" applyProtection="0"/>
    <xf numFmtId="0" fontId="62" fillId="7" borderId="164" applyNumberFormat="0" applyAlignment="0" applyProtection="0"/>
    <xf numFmtId="49" fontId="8" fillId="0" borderId="167" applyNumberFormat="0" applyFill="0" applyBorder="0" applyProtection="0">
      <alignment horizontal="left" vertical="center"/>
    </xf>
    <xf numFmtId="0" fontId="4" fillId="22" borderId="170">
      <alignment horizontal="left" vertical="center" wrapText="1" indent="2"/>
    </xf>
    <xf numFmtId="0" fontId="54" fillId="23" borderId="164" applyNumberFormat="0" applyAlignment="0" applyProtection="0"/>
    <xf numFmtId="0" fontId="4" fillId="0" borderId="170">
      <alignment horizontal="left" vertical="center" wrapText="1" indent="2"/>
    </xf>
    <xf numFmtId="0" fontId="51" fillId="28" borderId="166" applyNumberFormat="0" applyFont="0" applyAlignment="0" applyProtection="0"/>
    <xf numFmtId="0" fontId="7"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4" fontId="4" fillId="27" borderId="167"/>
    <xf numFmtId="0" fontId="6" fillId="22" borderId="167">
      <alignment horizontal="right" vertical="center"/>
    </xf>
    <xf numFmtId="0" fontId="68" fillId="0" borderId="165" applyNumberFormat="0" applyFill="0" applyAlignment="0" applyProtection="0"/>
    <xf numFmtId="4" fontId="6" fillId="22" borderId="169">
      <alignment horizontal="right" vertical="center"/>
    </xf>
    <xf numFmtId="0" fontId="16" fillId="23" borderId="164" applyNumberFormat="0" applyAlignment="0" applyProtection="0"/>
    <xf numFmtId="0" fontId="6" fillId="22" borderId="168">
      <alignment horizontal="right" vertical="center"/>
    </xf>
    <xf numFmtId="0" fontId="54" fillId="23" borderId="164" applyNumberFormat="0" applyAlignment="0" applyProtection="0"/>
    <xf numFmtId="0" fontId="28" fillId="0" borderId="165" applyNumberFormat="0" applyFill="0" applyAlignment="0" applyProtection="0"/>
    <xf numFmtId="0" fontId="51" fillId="28" borderId="166" applyNumberFormat="0" applyFont="0" applyAlignment="0" applyProtection="0"/>
    <xf numFmtId="4" fontId="6" fillId="22" borderId="168">
      <alignment horizontal="right" vertical="center"/>
    </xf>
    <xf numFmtId="0" fontId="4" fillId="22" borderId="170">
      <alignment horizontal="left" vertical="center" wrapText="1" indent="2"/>
    </xf>
    <xf numFmtId="0" fontId="4" fillId="27" borderId="167"/>
    <xf numFmtId="178" fontId="4" fillId="29" borderId="167" applyNumberFormat="0" applyFont="0" applyBorder="0" applyAlignment="0" applyProtection="0">
      <alignment horizontal="right" vertical="center"/>
    </xf>
    <xf numFmtId="0" fontId="4" fillId="0" borderId="167" applyNumberFormat="0" applyFill="0" applyAlignment="0" applyProtection="0"/>
    <xf numFmtId="4" fontId="4" fillId="0" borderId="167" applyFill="0" applyBorder="0" applyProtection="0">
      <alignment horizontal="right" vertical="center"/>
    </xf>
    <xf numFmtId="4" fontId="6" fillId="21" borderId="167">
      <alignment horizontal="right" vertical="center"/>
    </xf>
    <xf numFmtId="0" fontId="28" fillId="0" borderId="165" applyNumberFormat="0" applyFill="0" applyAlignment="0" applyProtection="0"/>
    <xf numFmtId="49" fontId="8" fillId="0" borderId="167" applyNumberFormat="0" applyFill="0" applyBorder="0" applyProtection="0">
      <alignment horizontal="left" vertical="center"/>
    </xf>
    <xf numFmtId="49" fontId="4" fillId="0" borderId="168" applyNumberFormat="0" applyFont="0" applyFill="0" applyBorder="0" applyProtection="0">
      <alignment horizontal="left" vertical="center" indent="5"/>
    </xf>
    <xf numFmtId="0" fontId="4" fillId="21" borderId="168">
      <alignment horizontal="left" vertical="center"/>
    </xf>
    <xf numFmtId="0" fontId="54" fillId="23" borderId="164" applyNumberFormat="0" applyAlignment="0" applyProtection="0"/>
    <xf numFmtId="4" fontId="6" fillId="22" borderId="169">
      <alignment horizontal="right" vertical="center"/>
    </xf>
    <xf numFmtId="0" fontId="62" fillId="7" borderId="164" applyNumberFormat="0" applyAlignment="0" applyProtection="0"/>
    <xf numFmtId="0" fontId="62" fillId="7" borderId="164" applyNumberFormat="0" applyAlignment="0" applyProtection="0"/>
    <xf numFmtId="0" fontId="51" fillId="28" borderId="166" applyNumberFormat="0" applyFont="0" applyAlignment="0" applyProtection="0"/>
    <xf numFmtId="0" fontId="66" fillId="23" borderId="163" applyNumberFormat="0" applyAlignment="0" applyProtection="0"/>
    <xf numFmtId="0" fontId="68" fillId="0" borderId="165" applyNumberFormat="0" applyFill="0" applyAlignment="0" applyProtection="0"/>
    <xf numFmtId="0" fontId="6" fillId="22" borderId="167">
      <alignment horizontal="right" vertical="center"/>
    </xf>
    <xf numFmtId="0" fontId="7" fillId="28" borderId="166" applyNumberFormat="0" applyFont="0" applyAlignment="0" applyProtection="0"/>
    <xf numFmtId="4" fontId="4" fillId="0" borderId="167">
      <alignment horizontal="right" vertical="center"/>
    </xf>
    <xf numFmtId="0" fontId="68" fillId="0" borderId="165" applyNumberFormat="0" applyFill="0" applyAlignment="0" applyProtection="0"/>
    <xf numFmtId="0" fontId="6" fillId="22" borderId="167">
      <alignment horizontal="right" vertical="center"/>
    </xf>
    <xf numFmtId="0" fontId="6" fillId="22" borderId="167">
      <alignment horizontal="right" vertical="center"/>
    </xf>
    <xf numFmtId="4" fontId="9" fillId="21" borderId="167">
      <alignment horizontal="right" vertical="center"/>
    </xf>
    <xf numFmtId="0" fontId="6" fillId="21" borderId="167">
      <alignment horizontal="right" vertical="center"/>
    </xf>
    <xf numFmtId="4" fontId="6" fillId="21" borderId="167">
      <alignment horizontal="right" vertical="center"/>
    </xf>
    <xf numFmtId="0" fontId="9" fillId="21" borderId="167">
      <alignment horizontal="right" vertical="center"/>
    </xf>
    <xf numFmtId="4" fontId="9" fillId="21" borderId="167">
      <alignment horizontal="right" vertical="center"/>
    </xf>
    <xf numFmtId="0" fontId="6" fillId="22" borderId="167">
      <alignment horizontal="right" vertical="center"/>
    </xf>
    <xf numFmtId="4" fontId="6" fillId="22" borderId="167">
      <alignment horizontal="right" vertical="center"/>
    </xf>
    <xf numFmtId="0" fontId="6" fillId="22" borderId="167">
      <alignment horizontal="right" vertical="center"/>
    </xf>
    <xf numFmtId="4" fontId="6" fillId="22" borderId="167">
      <alignment horizontal="right" vertical="center"/>
    </xf>
    <xf numFmtId="0" fontId="6" fillId="22" borderId="168">
      <alignment horizontal="right" vertical="center"/>
    </xf>
    <xf numFmtId="4" fontId="6" fillId="22" borderId="168">
      <alignment horizontal="right" vertical="center"/>
    </xf>
    <xf numFmtId="0" fontId="6" fillId="22" borderId="169">
      <alignment horizontal="right" vertical="center"/>
    </xf>
    <xf numFmtId="4" fontId="6" fillId="22" borderId="169">
      <alignment horizontal="right" vertical="center"/>
    </xf>
    <xf numFmtId="0" fontId="54" fillId="23" borderId="164" applyNumberFormat="0" applyAlignment="0" applyProtection="0"/>
    <xf numFmtId="0" fontId="4" fillId="22" borderId="170">
      <alignment horizontal="left" vertical="center" wrapText="1" indent="2"/>
    </xf>
    <xf numFmtId="0" fontId="4" fillId="0" borderId="170">
      <alignment horizontal="left" vertical="center" wrapText="1" indent="2"/>
    </xf>
    <xf numFmtId="0" fontId="4" fillId="21" borderId="168">
      <alignment horizontal="left" vertical="center"/>
    </xf>
    <xf numFmtId="0" fontId="62" fillId="7" borderId="164" applyNumberFormat="0" applyAlignment="0" applyProtection="0"/>
    <xf numFmtId="0" fontId="4" fillId="0" borderId="167">
      <alignment horizontal="right" vertical="center"/>
    </xf>
    <xf numFmtId="4" fontId="4" fillId="0" borderId="167">
      <alignment horizontal="right" vertical="center"/>
    </xf>
    <xf numFmtId="0" fontId="4" fillId="0" borderId="167" applyNumberFormat="0" applyFill="0" applyAlignment="0" applyProtection="0"/>
    <xf numFmtId="0" fontId="66" fillId="23" borderId="163" applyNumberFormat="0" applyAlignment="0" applyProtection="0"/>
    <xf numFmtId="178" fontId="4" fillId="29" borderId="167" applyNumberFormat="0" applyFont="0" applyBorder="0" applyAlignment="0" applyProtection="0">
      <alignment horizontal="right" vertical="center"/>
    </xf>
    <xf numFmtId="0" fontId="4" fillId="27" borderId="167"/>
    <xf numFmtId="4" fontId="4" fillId="27" borderId="167"/>
    <xf numFmtId="0" fontId="68" fillId="0" borderId="165" applyNumberFormat="0" applyFill="0" applyAlignment="0" applyProtection="0"/>
    <xf numFmtId="0" fontId="7" fillId="28" borderId="166" applyNumberFormat="0" applyFont="0" applyAlignment="0" applyProtection="0"/>
    <xf numFmtId="0" fontId="51" fillId="28" borderId="166" applyNumberFormat="0" applyFont="0" applyAlignment="0" applyProtection="0"/>
    <xf numFmtId="0" fontId="4" fillId="0" borderId="167" applyNumberFormat="0" applyFill="0" applyAlignment="0" applyProtection="0"/>
    <xf numFmtId="0" fontId="28" fillId="0" borderId="165" applyNumberFormat="0" applyFill="0" applyAlignment="0" applyProtection="0"/>
    <xf numFmtId="0" fontId="68" fillId="0" borderId="165" applyNumberFormat="0" applyFill="0" applyAlignment="0" applyProtection="0"/>
    <xf numFmtId="0" fontId="23" fillId="7" borderId="164" applyNumberFormat="0" applyAlignment="0" applyProtection="0"/>
    <xf numFmtId="0" fontId="54" fillId="23" borderId="164" applyNumberFormat="0" applyAlignment="0" applyProtection="0"/>
    <xf numFmtId="4" fontId="9" fillId="21" borderId="167">
      <alignment horizontal="right" vertical="center"/>
    </xf>
    <xf numFmtId="0" fontId="6" fillId="21" borderId="167">
      <alignment horizontal="right" vertical="center"/>
    </xf>
    <xf numFmtId="178" fontId="4" fillId="29" borderId="167" applyNumberFormat="0" applyFont="0" applyBorder="0" applyAlignment="0" applyProtection="0">
      <alignment horizontal="right" vertical="center"/>
    </xf>
    <xf numFmtId="0" fontId="28" fillId="0" borderId="165" applyNumberFormat="0" applyFill="0" applyAlignment="0" applyProtection="0"/>
    <xf numFmtId="49" fontId="4" fillId="0" borderId="167" applyNumberFormat="0" applyFont="0" applyFill="0" applyBorder="0" applyProtection="0">
      <alignment horizontal="left" vertical="center" indent="2"/>
    </xf>
    <xf numFmtId="49" fontId="4" fillId="0" borderId="168" applyNumberFormat="0" applyFont="0" applyFill="0" applyBorder="0" applyProtection="0">
      <alignment horizontal="left" vertical="center" indent="5"/>
    </xf>
    <xf numFmtId="49" fontId="4" fillId="0" borderId="167" applyNumberFormat="0" applyFont="0" applyFill="0" applyBorder="0" applyProtection="0">
      <alignment horizontal="left" vertical="center" indent="2"/>
    </xf>
    <xf numFmtId="4" fontId="4" fillId="0" borderId="167" applyFill="0" applyBorder="0" applyProtection="0">
      <alignment horizontal="right" vertical="center"/>
    </xf>
    <xf numFmtId="49" fontId="8" fillId="0" borderId="167" applyNumberFormat="0" applyFill="0" applyBorder="0" applyProtection="0">
      <alignment horizontal="left" vertical="center"/>
    </xf>
    <xf numFmtId="0" fontId="4" fillId="0" borderId="170">
      <alignment horizontal="left" vertical="center" wrapText="1" indent="2"/>
    </xf>
    <xf numFmtId="0" fontId="66" fillId="23" borderId="163" applyNumberFormat="0" applyAlignment="0" applyProtection="0"/>
    <xf numFmtId="0" fontId="6" fillId="22" borderId="169">
      <alignment horizontal="right" vertical="center"/>
    </xf>
    <xf numFmtId="0" fontId="23" fillId="7" borderId="164" applyNumberFormat="0" applyAlignment="0" applyProtection="0"/>
    <xf numFmtId="0" fontId="6" fillId="22" borderId="169">
      <alignment horizontal="right" vertical="center"/>
    </xf>
    <xf numFmtId="4" fontId="6" fillId="22" borderId="167">
      <alignment horizontal="right" vertical="center"/>
    </xf>
    <xf numFmtId="0" fontId="6" fillId="22" borderId="167">
      <alignment horizontal="right" vertical="center"/>
    </xf>
    <xf numFmtId="0" fontId="26" fillId="23" borderId="163" applyNumberFormat="0" applyAlignment="0" applyProtection="0"/>
    <xf numFmtId="0" fontId="16" fillId="23" borderId="164" applyNumberFormat="0" applyAlignment="0" applyProtection="0"/>
    <xf numFmtId="0" fontId="28" fillId="0" borderId="165" applyNumberFormat="0" applyFill="0" applyAlignment="0" applyProtection="0"/>
    <xf numFmtId="0" fontId="4" fillId="27" borderId="167"/>
    <xf numFmtId="4" fontId="4" fillId="27" borderId="167"/>
    <xf numFmtId="4" fontId="6" fillId="22" borderId="167">
      <alignment horizontal="right" vertical="center"/>
    </xf>
    <xf numFmtId="0" fontId="9" fillId="21" borderId="167">
      <alignment horizontal="right" vertical="center"/>
    </xf>
    <xf numFmtId="0" fontId="23" fillId="7" borderId="164" applyNumberFormat="0" applyAlignment="0" applyProtection="0"/>
    <xf numFmtId="0" fontId="54" fillId="23" borderId="164" applyNumberFormat="0" applyAlignment="0" applyProtection="0"/>
    <xf numFmtId="4" fontId="4" fillId="0" borderId="167">
      <alignment horizontal="right" vertical="center"/>
    </xf>
    <xf numFmtId="0" fontId="4" fillId="22" borderId="170">
      <alignment horizontal="left" vertical="center" wrapText="1" indent="2"/>
    </xf>
    <xf numFmtId="0" fontId="4" fillId="0" borderId="170">
      <alignment horizontal="left" vertical="center" wrapText="1" indent="2"/>
    </xf>
    <xf numFmtId="0" fontId="66" fillId="23" borderId="163" applyNumberFormat="0" applyAlignment="0" applyProtection="0"/>
    <xf numFmtId="0" fontId="62" fillId="7" borderId="164" applyNumberFormat="0" applyAlignment="0" applyProtection="0"/>
    <xf numFmtId="0" fontId="16" fillId="23" borderId="164" applyNumberFormat="0" applyAlignment="0" applyProtection="0"/>
    <xf numFmtId="0" fontId="26" fillId="23" borderId="163" applyNumberFormat="0" applyAlignment="0" applyProtection="0"/>
    <xf numFmtId="0" fontId="6" fillId="22" borderId="169">
      <alignment horizontal="right" vertical="center"/>
    </xf>
    <xf numFmtId="0" fontId="9" fillId="21" borderId="167">
      <alignment horizontal="right" vertical="center"/>
    </xf>
    <xf numFmtId="4" fontId="6" fillId="21" borderId="167">
      <alignment horizontal="right" vertical="center"/>
    </xf>
    <xf numFmtId="4" fontId="6" fillId="22" borderId="167">
      <alignment horizontal="right" vertical="center"/>
    </xf>
    <xf numFmtId="49" fontId="4" fillId="0" borderId="168" applyNumberFormat="0" applyFont="0" applyFill="0" applyBorder="0" applyProtection="0">
      <alignment horizontal="left" vertical="center" indent="5"/>
    </xf>
    <xf numFmtId="4" fontId="4" fillId="0" borderId="167" applyFill="0" applyBorder="0" applyProtection="0">
      <alignment horizontal="right" vertical="center"/>
    </xf>
    <xf numFmtId="4" fontId="6" fillId="21" borderId="167">
      <alignment horizontal="right" vertical="center"/>
    </xf>
    <xf numFmtId="0" fontId="62" fillId="7" borderId="164" applyNumberFormat="0" applyAlignment="0" applyProtection="0"/>
    <xf numFmtId="0" fontId="23" fillId="7" borderId="164" applyNumberFormat="0" applyAlignment="0" applyProtection="0"/>
    <xf numFmtId="0" fontId="16" fillId="23" borderId="164" applyNumberFormat="0" applyAlignment="0" applyProtection="0"/>
    <xf numFmtId="0" fontId="4" fillId="22" borderId="170">
      <alignment horizontal="left" vertical="center" wrapText="1" indent="2"/>
    </xf>
    <xf numFmtId="0" fontId="4" fillId="0" borderId="170">
      <alignment horizontal="left" vertical="center" wrapText="1" indent="2"/>
    </xf>
    <xf numFmtId="0" fontId="4" fillId="22" borderId="170">
      <alignment horizontal="left" vertical="center" wrapText="1" indent="2"/>
    </xf>
    <xf numFmtId="0" fontId="48" fillId="0" borderId="0"/>
    <xf numFmtId="0" fontId="48" fillId="56" borderId="0" applyNumberFormat="0" applyBorder="0" applyAlignment="0" applyProtection="0"/>
    <xf numFmtId="4" fontId="6" fillId="21" borderId="175">
      <alignment horizontal="right" vertical="center"/>
    </xf>
    <xf numFmtId="0" fontId="48" fillId="50" borderId="0" applyNumberFormat="0" applyBorder="0" applyAlignment="0" applyProtection="0"/>
    <xf numFmtId="0" fontId="62" fillId="7" borderId="172" applyNumberFormat="0" applyAlignment="0" applyProtection="0"/>
    <xf numFmtId="49" fontId="4" fillId="0" borderId="176" applyNumberFormat="0" applyFont="0" applyFill="0" applyBorder="0" applyProtection="0">
      <alignment horizontal="left" vertical="center" indent="5"/>
    </xf>
    <xf numFmtId="0" fontId="6" fillId="22" borderId="177">
      <alignment horizontal="right" vertical="center"/>
    </xf>
    <xf numFmtId="4" fontId="4" fillId="0" borderId="175">
      <alignment horizontal="right" vertical="center"/>
    </xf>
    <xf numFmtId="0" fontId="4" fillId="0" borderId="178">
      <alignment horizontal="left" vertical="center" wrapText="1" indent="2"/>
    </xf>
    <xf numFmtId="0" fontId="62" fillId="7" borderId="172" applyNumberFormat="0" applyAlignment="0" applyProtection="0"/>
    <xf numFmtId="49" fontId="4" fillId="0" borderId="176" applyNumberFormat="0" applyFont="0" applyFill="0" applyBorder="0" applyProtection="0">
      <alignment horizontal="left" vertical="center" indent="5"/>
    </xf>
    <xf numFmtId="0" fontId="68" fillId="0" borderId="173" applyNumberFormat="0" applyFill="0" applyAlignment="0" applyProtection="0"/>
    <xf numFmtId="0" fontId="6" fillId="22" borderId="175">
      <alignment horizontal="right" vertical="center"/>
    </xf>
    <xf numFmtId="0" fontId="26" fillId="23" borderId="171" applyNumberFormat="0" applyAlignment="0" applyProtection="0"/>
    <xf numFmtId="0" fontId="16" fillId="23" borderId="172" applyNumberFormat="0" applyAlignment="0" applyProtection="0"/>
    <xf numFmtId="0" fontId="6" fillId="22" borderId="175">
      <alignment horizontal="right" vertical="center"/>
    </xf>
    <xf numFmtId="0" fontId="89" fillId="0" borderId="0" applyNumberFormat="0" applyFill="0" applyBorder="0" applyAlignment="0" applyProtection="0"/>
    <xf numFmtId="0" fontId="68" fillId="0" borderId="173" applyNumberFormat="0" applyFill="0" applyAlignment="0" applyProtection="0"/>
    <xf numFmtId="0" fontId="54" fillId="23" borderId="172" applyNumberFormat="0" applyAlignment="0" applyProtection="0"/>
    <xf numFmtId="0" fontId="68" fillId="0" borderId="173" applyNumberFormat="0" applyFill="0" applyAlignment="0" applyProtection="0"/>
    <xf numFmtId="0" fontId="4" fillId="0" borderId="175" applyNumberFormat="0" applyFill="0" applyAlignment="0" applyProtection="0"/>
    <xf numFmtId="0" fontId="54" fillId="23" borderId="172" applyNumberFormat="0" applyAlignment="0" applyProtection="0"/>
    <xf numFmtId="0" fontId="66" fillId="23" borderId="171" applyNumberFormat="0" applyAlignment="0" applyProtection="0"/>
    <xf numFmtId="0" fontId="26" fillId="23" borderId="171" applyNumberFormat="0" applyAlignment="0" applyProtection="0"/>
    <xf numFmtId="0" fontId="66" fillId="23" borderId="171" applyNumberFormat="0" applyAlignment="0" applyProtection="0"/>
    <xf numFmtId="4" fontId="6" fillId="22" borderId="175">
      <alignment horizontal="right" vertical="center"/>
    </xf>
    <xf numFmtId="0" fontId="68" fillId="0" borderId="173" applyNumberFormat="0" applyFill="0" applyAlignment="0" applyProtection="0"/>
    <xf numFmtId="0" fontId="6" fillId="22" borderId="176">
      <alignment horizontal="right" vertical="center"/>
    </xf>
    <xf numFmtId="0" fontId="6" fillId="22" borderId="175">
      <alignment horizontal="right" vertical="center"/>
    </xf>
    <xf numFmtId="0" fontId="48" fillId="49" borderId="0" applyNumberFormat="0" applyBorder="0" applyAlignment="0" applyProtection="0"/>
    <xf numFmtId="0" fontId="6" fillId="22" borderId="175">
      <alignment horizontal="right" vertical="center"/>
    </xf>
    <xf numFmtId="0" fontId="6" fillId="22" borderId="177">
      <alignment horizontal="right" vertical="center"/>
    </xf>
    <xf numFmtId="0" fontId="4" fillId="27" borderId="175"/>
    <xf numFmtId="0" fontId="92" fillId="54" borderId="0" applyNumberFormat="0" applyBorder="0" applyAlignment="0" applyProtection="0"/>
    <xf numFmtId="4" fontId="9" fillId="21" borderId="175">
      <alignment horizontal="right" vertical="center"/>
    </xf>
    <xf numFmtId="0" fontId="6" fillId="22" borderId="176">
      <alignment horizontal="right" vertical="center"/>
    </xf>
    <xf numFmtId="0" fontId="16" fillId="23" borderId="172" applyNumberFormat="0" applyAlignment="0" applyProtection="0"/>
    <xf numFmtId="0" fontId="4" fillId="0" borderId="175">
      <alignment horizontal="right" vertical="center"/>
    </xf>
    <xf numFmtId="0" fontId="26" fillId="23" borderId="171" applyNumberFormat="0" applyAlignment="0" applyProtection="0"/>
    <xf numFmtId="4" fontId="4" fillId="0" borderId="175">
      <alignment horizontal="right" vertical="center"/>
    </xf>
    <xf numFmtId="0" fontId="6" fillId="22" borderId="176">
      <alignment horizontal="right" vertical="center"/>
    </xf>
    <xf numFmtId="0" fontId="7" fillId="28" borderId="174" applyNumberFormat="0" applyFont="0" applyAlignment="0" applyProtection="0"/>
    <xf numFmtId="0" fontId="51" fillId="28" borderId="174" applyNumberFormat="0" applyFont="0" applyAlignment="0" applyProtection="0"/>
    <xf numFmtId="0" fontId="54" fillId="23" borderId="172" applyNumberFormat="0" applyAlignment="0" applyProtection="0"/>
    <xf numFmtId="0" fontId="68" fillId="0" borderId="173" applyNumberFormat="0" applyFill="0" applyAlignment="0" applyProtection="0"/>
    <xf numFmtId="0" fontId="68" fillId="0" borderId="173" applyNumberFormat="0" applyFill="0" applyAlignment="0" applyProtection="0"/>
    <xf numFmtId="0" fontId="6" fillId="21" borderId="175">
      <alignment horizontal="right" vertical="center"/>
    </xf>
    <xf numFmtId="0" fontId="6" fillId="21" borderId="175">
      <alignment horizontal="right" vertical="center"/>
    </xf>
    <xf numFmtId="49" fontId="4" fillId="0" borderId="176" applyNumberFormat="0" applyFont="0" applyFill="0" applyBorder="0" applyProtection="0">
      <alignment horizontal="left" vertical="center" indent="5"/>
    </xf>
    <xf numFmtId="0" fontId="87" fillId="42" borderId="161" applyNumberFormat="0" applyAlignment="0" applyProtection="0"/>
    <xf numFmtId="0" fontId="48" fillId="58" borderId="0" applyNumberFormat="0" applyBorder="0" applyAlignment="0" applyProtection="0"/>
    <xf numFmtId="0" fontId="48" fillId="52" borderId="0" applyNumberFormat="0" applyBorder="0" applyAlignment="0" applyProtection="0"/>
    <xf numFmtId="4" fontId="6" fillId="22" borderId="175">
      <alignment horizontal="right" vertical="center"/>
    </xf>
    <xf numFmtId="0" fontId="88" fillId="42" borderId="19" applyNumberFormat="0" applyAlignment="0" applyProtection="0"/>
    <xf numFmtId="4" fontId="6" fillId="22" borderId="175">
      <alignment horizontal="right" vertical="center"/>
    </xf>
    <xf numFmtId="0" fontId="62" fillId="7" borderId="172" applyNumberFormat="0" applyAlignment="0" applyProtection="0"/>
    <xf numFmtId="0" fontId="54" fillId="23" borderId="172" applyNumberFormat="0" applyAlignment="0" applyProtection="0"/>
    <xf numFmtId="0" fontId="16" fillId="23" borderId="172" applyNumberFormat="0" applyAlignment="0" applyProtection="0"/>
    <xf numFmtId="0" fontId="4" fillId="0" borderId="178">
      <alignment horizontal="left" vertical="center" wrapText="1" indent="2"/>
    </xf>
    <xf numFmtId="0" fontId="48" fillId="43" borderId="0" applyNumberFormat="0" applyBorder="0" applyAlignment="0" applyProtection="0"/>
    <xf numFmtId="0" fontId="23" fillId="7" borderId="172" applyNumberFormat="0" applyAlignment="0" applyProtection="0"/>
    <xf numFmtId="0" fontId="28" fillId="0" borderId="173" applyNumberFormat="0" applyFill="0" applyAlignment="0" applyProtection="0"/>
    <xf numFmtId="178" fontId="4" fillId="29" borderId="175" applyNumberFormat="0" applyFont="0" applyBorder="0" applyAlignment="0" applyProtection="0">
      <alignment horizontal="right" vertical="center"/>
    </xf>
    <xf numFmtId="0" fontId="62" fillId="7" borderId="172" applyNumberFormat="0" applyAlignment="0" applyProtection="0"/>
    <xf numFmtId="0" fontId="90" fillId="0" borderId="0" applyNumberFormat="0" applyFill="0" applyBorder="0" applyAlignment="0" applyProtection="0"/>
    <xf numFmtId="0" fontId="4" fillId="0" borderId="178">
      <alignment horizontal="left" vertical="center" wrapText="1" indent="2"/>
    </xf>
    <xf numFmtId="0" fontId="6" fillId="22" borderId="175">
      <alignment horizontal="right" vertical="center"/>
    </xf>
    <xf numFmtId="4" fontId="4" fillId="0" borderId="175" applyFill="0" applyBorder="0" applyProtection="0">
      <alignment horizontal="right" vertical="center"/>
    </xf>
    <xf numFmtId="0" fontId="62" fillId="7" borderId="172" applyNumberFormat="0" applyAlignment="0" applyProtection="0"/>
    <xf numFmtId="0" fontId="4" fillId="0" borderId="178">
      <alignment horizontal="left" vertical="center" wrapText="1" indent="2"/>
    </xf>
    <xf numFmtId="0" fontId="4" fillId="27" borderId="175"/>
    <xf numFmtId="0" fontId="48" fillId="49" borderId="0" applyNumberFormat="0" applyBorder="0" applyAlignment="0" applyProtection="0"/>
    <xf numFmtId="0" fontId="4" fillId="0" borderId="175">
      <alignment horizontal="right" vertical="center"/>
    </xf>
    <xf numFmtId="0" fontId="4" fillId="27" borderId="175"/>
    <xf numFmtId="0" fontId="4" fillId="0" borderId="175">
      <alignment horizontal="right" vertical="center"/>
    </xf>
    <xf numFmtId="0" fontId="4" fillId="0" borderId="178">
      <alignment horizontal="left" vertical="center" wrapText="1" indent="2"/>
    </xf>
    <xf numFmtId="0" fontId="62" fillId="7" borderId="172" applyNumberFormat="0" applyAlignment="0" applyProtection="0"/>
    <xf numFmtId="4" fontId="6" fillId="21" borderId="175">
      <alignment horizontal="right" vertical="center"/>
    </xf>
    <xf numFmtId="0" fontId="4" fillId="22" borderId="178">
      <alignment horizontal="left" vertical="center" wrapText="1" indent="2"/>
    </xf>
    <xf numFmtId="0" fontId="66" fillId="23" borderId="171" applyNumberFormat="0" applyAlignment="0" applyProtection="0"/>
    <xf numFmtId="0" fontId="9" fillId="21" borderId="175">
      <alignment horizontal="right" vertical="center"/>
    </xf>
    <xf numFmtId="0" fontId="48" fillId="53" borderId="0" applyNumberFormat="0" applyBorder="0" applyAlignment="0" applyProtection="0"/>
    <xf numFmtId="0" fontId="23" fillId="7" borderId="172" applyNumberFormat="0" applyAlignment="0" applyProtection="0"/>
    <xf numFmtId="4" fontId="9" fillId="21" borderId="175">
      <alignment horizontal="right" vertical="center"/>
    </xf>
    <xf numFmtId="0" fontId="28" fillId="0" borderId="173" applyNumberFormat="0" applyFill="0" applyAlignment="0" applyProtection="0"/>
    <xf numFmtId="0" fontId="92" fillId="48" borderId="0" applyNumberFormat="0" applyBorder="0" applyAlignment="0" applyProtection="0"/>
    <xf numFmtId="0" fontId="6" fillId="22" borderId="176">
      <alignment horizontal="right" vertical="center"/>
    </xf>
    <xf numFmtId="0" fontId="26" fillId="23" borderId="171" applyNumberFormat="0" applyAlignment="0" applyProtection="0"/>
    <xf numFmtId="0" fontId="92" fillId="54" borderId="0" applyNumberFormat="0" applyBorder="0" applyAlignment="0" applyProtection="0"/>
    <xf numFmtId="0" fontId="4" fillId="27" borderId="175"/>
    <xf numFmtId="4" fontId="9" fillId="21" borderId="175">
      <alignment horizontal="right" vertical="center"/>
    </xf>
    <xf numFmtId="0" fontId="9" fillId="21" borderId="175">
      <alignment horizontal="right" vertical="center"/>
    </xf>
    <xf numFmtId="0" fontId="66" fillId="23" borderId="171" applyNumberFormat="0" applyAlignment="0" applyProtection="0"/>
    <xf numFmtId="49" fontId="4" fillId="0" borderId="175" applyNumberFormat="0" applyFont="0" applyFill="0" applyBorder="0" applyProtection="0">
      <alignment horizontal="left" vertical="center" indent="2"/>
    </xf>
    <xf numFmtId="0" fontId="48" fillId="53" borderId="0" applyNumberFormat="0" applyBorder="0" applyAlignment="0" applyProtection="0"/>
    <xf numFmtId="0" fontId="28" fillId="0" borderId="173" applyNumberFormat="0" applyFill="0" applyAlignment="0" applyProtection="0"/>
    <xf numFmtId="0" fontId="48" fillId="56" borderId="0" applyNumberFormat="0" applyBorder="0" applyAlignment="0" applyProtection="0"/>
    <xf numFmtId="0" fontId="66" fillId="23" borderId="171" applyNumberFormat="0" applyAlignment="0" applyProtection="0"/>
    <xf numFmtId="4" fontId="4" fillId="27" borderId="175"/>
    <xf numFmtId="0" fontId="91" fillId="0" borderId="162" applyNumberFormat="0" applyFill="0" applyAlignment="0" applyProtection="0"/>
    <xf numFmtId="0" fontId="6" fillId="22" borderId="177">
      <alignment horizontal="right" vertical="center"/>
    </xf>
    <xf numFmtId="0" fontId="26" fillId="23" borderId="171" applyNumberFormat="0" applyAlignment="0" applyProtection="0"/>
    <xf numFmtId="0" fontId="6" fillId="21" borderId="175">
      <alignment horizontal="right" vertical="center"/>
    </xf>
    <xf numFmtId="4" fontId="4" fillId="0" borderId="175">
      <alignment horizontal="right" vertical="center"/>
    </xf>
    <xf numFmtId="49" fontId="4" fillId="0" borderId="175" applyNumberFormat="0" applyFont="0" applyFill="0" applyBorder="0" applyProtection="0">
      <alignment horizontal="left" vertical="center" indent="2"/>
    </xf>
    <xf numFmtId="0" fontId="4" fillId="22" borderId="178">
      <alignment horizontal="left" vertical="center" wrapText="1" indent="2"/>
    </xf>
    <xf numFmtId="4" fontId="6" fillId="22" borderId="175">
      <alignment horizontal="right" vertical="center"/>
    </xf>
    <xf numFmtId="0" fontId="89" fillId="0" borderId="0" applyNumberFormat="0" applyFill="0" applyBorder="0" applyAlignment="0" applyProtection="0"/>
    <xf numFmtId="4" fontId="4" fillId="27" borderId="175"/>
    <xf numFmtId="0" fontId="6" fillId="21" borderId="175">
      <alignment horizontal="right" vertical="center"/>
    </xf>
    <xf numFmtId="0" fontId="92" fillId="45" borderId="0" applyNumberFormat="0" applyBorder="0" applyAlignment="0" applyProtection="0"/>
    <xf numFmtId="4" fontId="6" fillId="22" borderId="175">
      <alignment horizontal="right" vertical="center"/>
    </xf>
    <xf numFmtId="0" fontId="54" fillId="23" borderId="172" applyNumberFormat="0" applyAlignment="0" applyProtection="0"/>
    <xf numFmtId="0" fontId="51" fillId="28" borderId="174" applyNumberFormat="0" applyFont="0" applyAlignment="0" applyProtection="0"/>
    <xf numFmtId="0" fontId="68" fillId="0" borderId="173" applyNumberFormat="0" applyFill="0" applyAlignment="0" applyProtection="0"/>
    <xf numFmtId="0" fontId="68" fillId="0" borderId="173" applyNumberFormat="0" applyFill="0" applyAlignment="0" applyProtection="0"/>
    <xf numFmtId="4" fontId="6" fillId="22" borderId="176">
      <alignment horizontal="right" vertical="center"/>
    </xf>
    <xf numFmtId="4" fontId="9" fillId="21" borderId="175">
      <alignment horizontal="right" vertical="center"/>
    </xf>
    <xf numFmtId="0" fontId="6" fillId="22" borderId="175">
      <alignment horizontal="right" vertical="center"/>
    </xf>
    <xf numFmtId="0" fontId="91" fillId="0" borderId="162" applyNumberFormat="0" applyFill="0" applyAlignment="0" applyProtection="0"/>
    <xf numFmtId="0" fontId="54" fillId="23" borderId="172" applyNumberFormat="0" applyAlignment="0" applyProtection="0"/>
    <xf numFmtId="0" fontId="92" fillId="45" borderId="0" applyNumberFormat="0" applyBorder="0" applyAlignment="0" applyProtection="0"/>
    <xf numFmtId="0" fontId="16" fillId="23" borderId="172" applyNumberFormat="0" applyAlignment="0" applyProtection="0"/>
    <xf numFmtId="0" fontId="6" fillId="21" borderId="175">
      <alignment horizontal="right" vertical="center"/>
    </xf>
    <xf numFmtId="0" fontId="54" fillId="23" borderId="172" applyNumberFormat="0" applyAlignment="0" applyProtection="0"/>
    <xf numFmtId="4" fontId="4" fillId="0" borderId="175" applyFill="0" applyBorder="0" applyProtection="0">
      <alignment horizontal="right" vertical="center"/>
    </xf>
    <xf numFmtId="0" fontId="4" fillId="22" borderId="178">
      <alignment horizontal="left" vertical="center" wrapText="1" indent="2"/>
    </xf>
    <xf numFmtId="4" fontId="4" fillId="27" borderId="175"/>
    <xf numFmtId="4" fontId="6" fillId="22" borderId="177">
      <alignment horizontal="right" vertical="center"/>
    </xf>
    <xf numFmtId="0" fontId="92" fillId="54" borderId="0" applyNumberFormat="0" applyBorder="0" applyAlignment="0" applyProtection="0"/>
    <xf numFmtId="0" fontId="48" fillId="56" borderId="0" applyNumberFormat="0" applyBorder="0" applyAlignment="0" applyProtection="0"/>
    <xf numFmtId="0" fontId="23" fillId="7" borderId="172" applyNumberFormat="0" applyAlignment="0" applyProtection="0"/>
    <xf numFmtId="49" fontId="8" fillId="0" borderId="175" applyNumberFormat="0" applyFill="0" applyBorder="0" applyProtection="0">
      <alignment horizontal="left" vertical="center"/>
    </xf>
    <xf numFmtId="0" fontId="4" fillId="22" borderId="178">
      <alignment horizontal="left" vertical="center" wrapText="1" indent="2"/>
    </xf>
    <xf numFmtId="0" fontId="4" fillId="22" borderId="178">
      <alignment horizontal="left" vertical="center" wrapText="1" indent="2"/>
    </xf>
    <xf numFmtId="0" fontId="54" fillId="23" borderId="172" applyNumberFormat="0" applyAlignment="0" applyProtection="0"/>
    <xf numFmtId="0" fontId="89" fillId="0" borderId="0" applyNumberFormat="0" applyFill="0" applyBorder="0" applyAlignment="0" applyProtection="0"/>
    <xf numFmtId="0" fontId="6" fillId="22" borderId="175">
      <alignment horizontal="right" vertical="center"/>
    </xf>
    <xf numFmtId="178" fontId="4" fillId="29" borderId="175" applyNumberFormat="0" applyFont="0" applyBorder="0" applyAlignment="0" applyProtection="0">
      <alignment horizontal="right" vertical="center"/>
    </xf>
    <xf numFmtId="0" fontId="48" fillId="59" borderId="0" applyNumberFormat="0" applyBorder="0" applyAlignment="0" applyProtection="0"/>
    <xf numFmtId="0" fontId="54" fillId="23" borderId="172" applyNumberFormat="0" applyAlignment="0" applyProtection="0"/>
    <xf numFmtId="0" fontId="48" fillId="50" borderId="0" applyNumberFormat="0" applyBorder="0" applyAlignment="0" applyProtection="0"/>
    <xf numFmtId="0" fontId="54" fillId="23" borderId="172" applyNumberFormat="0" applyAlignment="0" applyProtection="0"/>
    <xf numFmtId="0" fontId="66" fillId="23" borderId="171" applyNumberFormat="0" applyAlignment="0" applyProtection="0"/>
    <xf numFmtId="0" fontId="68" fillId="0" borderId="173" applyNumberFormat="0" applyFill="0" applyAlignment="0" applyProtection="0"/>
    <xf numFmtId="0" fontId="6" fillId="21" borderId="175">
      <alignment horizontal="right" vertical="center"/>
    </xf>
    <xf numFmtId="0" fontId="88" fillId="42" borderId="19" applyNumberFormat="0" applyAlignment="0" applyProtection="0"/>
    <xf numFmtId="0" fontId="66" fillId="23" borderId="171" applyNumberFormat="0" applyAlignment="0" applyProtection="0"/>
    <xf numFmtId="0" fontId="48" fillId="44" borderId="0" applyNumberFormat="0" applyBorder="0" applyAlignment="0" applyProtection="0"/>
    <xf numFmtId="4" fontId="9" fillId="21" borderId="175">
      <alignment horizontal="right" vertical="center"/>
    </xf>
    <xf numFmtId="4" fontId="6" fillId="21" borderId="175">
      <alignment horizontal="right" vertical="center"/>
    </xf>
    <xf numFmtId="0" fontId="4" fillId="0" borderId="175" applyNumberFormat="0" applyFill="0" applyAlignment="0" applyProtection="0"/>
    <xf numFmtId="0" fontId="92" fillId="57" borderId="0" applyNumberFormat="0" applyBorder="0" applyAlignment="0" applyProtection="0"/>
    <xf numFmtId="4" fontId="6" fillId="21" borderId="175">
      <alignment horizontal="right" vertical="center"/>
    </xf>
    <xf numFmtId="0" fontId="48" fillId="47" borderId="0" applyNumberFormat="0" applyBorder="0" applyAlignment="0" applyProtection="0"/>
    <xf numFmtId="0" fontId="28" fillId="0" borderId="173" applyNumberFormat="0" applyFill="0" applyAlignment="0" applyProtection="0"/>
    <xf numFmtId="0" fontId="48" fillId="46" borderId="0" applyNumberFormat="0" applyBorder="0" applyAlignment="0" applyProtection="0"/>
    <xf numFmtId="0" fontId="4" fillId="0" borderId="175" applyNumberFormat="0" applyFill="0" applyAlignment="0" applyProtection="0"/>
    <xf numFmtId="0" fontId="9" fillId="21" borderId="175">
      <alignment horizontal="right" vertical="center"/>
    </xf>
    <xf numFmtId="0" fontId="51" fillId="28" borderId="174" applyNumberFormat="0" applyFont="0" applyAlignment="0" applyProtection="0"/>
    <xf numFmtId="4" fontId="6" fillId="22" borderId="175">
      <alignment horizontal="right" vertical="center"/>
    </xf>
    <xf numFmtId="4" fontId="6" fillId="22" borderId="175">
      <alignment horizontal="right" vertical="center"/>
    </xf>
    <xf numFmtId="0" fontId="62" fillId="7" borderId="172" applyNumberFormat="0" applyAlignment="0" applyProtection="0"/>
    <xf numFmtId="4" fontId="9" fillId="21" borderId="175">
      <alignment horizontal="right" vertical="center"/>
    </xf>
    <xf numFmtId="0" fontId="51" fillId="28" borderId="174" applyNumberFormat="0" applyFont="0" applyAlignment="0" applyProtection="0"/>
    <xf numFmtId="0" fontId="4" fillId="0" borderId="175" applyNumberFormat="0" applyFill="0" applyAlignment="0" applyProtection="0"/>
    <xf numFmtId="0" fontId="6" fillId="22" borderId="177">
      <alignment horizontal="right" vertical="center"/>
    </xf>
    <xf numFmtId="0" fontId="48" fillId="55" borderId="0" applyNumberFormat="0" applyBorder="0" applyAlignment="0" applyProtection="0"/>
    <xf numFmtId="4" fontId="6" fillId="22" borderId="175">
      <alignment horizontal="right" vertical="center"/>
    </xf>
    <xf numFmtId="0" fontId="26" fillId="23" borderId="171" applyNumberFormat="0" applyAlignment="0" applyProtection="0"/>
    <xf numFmtId="4" fontId="4" fillId="27" borderId="175"/>
    <xf numFmtId="0" fontId="23" fillId="7" borderId="172" applyNumberFormat="0" applyAlignment="0" applyProtection="0"/>
    <xf numFmtId="0" fontId="54" fillId="23" borderId="172" applyNumberFormat="0" applyAlignment="0" applyProtection="0"/>
    <xf numFmtId="0" fontId="4" fillId="21" borderId="176">
      <alignment horizontal="left" vertical="center"/>
    </xf>
    <xf numFmtId="0" fontId="23" fillId="7" borderId="172" applyNumberFormat="0" applyAlignment="0" applyProtection="0"/>
    <xf numFmtId="0" fontId="9" fillId="21" borderId="175">
      <alignment horizontal="right" vertical="center"/>
    </xf>
    <xf numFmtId="0" fontId="6" fillId="22" borderId="175">
      <alignment horizontal="right" vertical="center"/>
    </xf>
    <xf numFmtId="0" fontId="4" fillId="21" borderId="176">
      <alignment horizontal="left" vertical="center"/>
    </xf>
    <xf numFmtId="0" fontId="7" fillId="28" borderId="174" applyNumberFormat="0" applyFont="0" applyAlignment="0" applyProtection="0"/>
    <xf numFmtId="0" fontId="92" fillId="57" borderId="0" applyNumberFormat="0" applyBorder="0" applyAlignment="0" applyProtection="0"/>
    <xf numFmtId="0" fontId="66" fillId="23" borderId="171" applyNumberFormat="0" applyAlignment="0" applyProtection="0"/>
    <xf numFmtId="0" fontId="92" fillId="51" borderId="0" applyNumberFormat="0" applyBorder="0" applyAlignment="0" applyProtection="0"/>
    <xf numFmtId="0" fontId="16" fillId="23" borderId="172" applyNumberFormat="0" applyAlignment="0" applyProtection="0"/>
    <xf numFmtId="0" fontId="62" fillId="7" borderId="172" applyNumberFormat="0" applyAlignment="0" applyProtection="0"/>
    <xf numFmtId="0" fontId="48" fillId="47" borderId="0" applyNumberFormat="0" applyBorder="0" applyAlignment="0" applyProtection="0"/>
    <xf numFmtId="0" fontId="54" fillId="23" borderId="172" applyNumberFormat="0" applyAlignment="0" applyProtection="0"/>
    <xf numFmtId="0" fontId="48" fillId="44" borderId="0" applyNumberFormat="0" applyBorder="0" applyAlignment="0" applyProtection="0"/>
    <xf numFmtId="49" fontId="8" fillId="0" borderId="175" applyNumberFormat="0" applyFill="0" applyBorder="0" applyProtection="0">
      <alignment horizontal="left" vertical="center"/>
    </xf>
    <xf numFmtId="0" fontId="54" fillId="23" borderId="172" applyNumberFormat="0" applyAlignment="0" applyProtection="0"/>
    <xf numFmtId="0" fontId="16" fillId="23" borderId="172" applyNumberFormat="0" applyAlignment="0" applyProtection="0"/>
    <xf numFmtId="4" fontId="6" fillId="22" borderId="176">
      <alignment horizontal="right" vertical="center"/>
    </xf>
    <xf numFmtId="49" fontId="8" fillId="0" borderId="175" applyNumberFormat="0" applyFill="0" applyBorder="0" applyProtection="0">
      <alignment horizontal="left" vertical="center"/>
    </xf>
    <xf numFmtId="0" fontId="48" fillId="52" borderId="0" applyNumberFormat="0" applyBorder="0" applyAlignment="0" applyProtection="0"/>
    <xf numFmtId="0" fontId="92" fillId="60" borderId="0" applyNumberFormat="0" applyBorder="0" applyAlignment="0" applyProtection="0"/>
    <xf numFmtId="0" fontId="6" fillId="21" borderId="175">
      <alignment horizontal="right" vertical="center"/>
    </xf>
    <xf numFmtId="0" fontId="48" fillId="46" borderId="0" applyNumberFormat="0" applyBorder="0" applyAlignment="0" applyProtection="0"/>
    <xf numFmtId="0" fontId="48" fillId="59" borderId="0" applyNumberFormat="0" applyBorder="0" applyAlignment="0" applyProtection="0"/>
    <xf numFmtId="0" fontId="62" fillId="7" borderId="172" applyNumberFormat="0" applyAlignment="0" applyProtection="0"/>
    <xf numFmtId="4" fontId="6" fillId="22" borderId="176">
      <alignment horizontal="right" vertical="center"/>
    </xf>
    <xf numFmtId="0" fontId="89" fillId="0" borderId="0" applyNumberFormat="0" applyFill="0" applyBorder="0" applyAlignment="0" applyProtection="0"/>
    <xf numFmtId="0" fontId="6" fillId="22" borderId="175">
      <alignment horizontal="right" vertical="center"/>
    </xf>
    <xf numFmtId="0" fontId="87" fillId="42" borderId="161" applyNumberFormat="0" applyAlignment="0" applyProtection="0"/>
    <xf numFmtId="178" fontId="4" fillId="29" borderId="175" applyNumberFormat="0" applyFont="0" applyBorder="0" applyAlignment="0" applyProtection="0">
      <alignment horizontal="right" vertical="center"/>
    </xf>
    <xf numFmtId="0" fontId="23" fillId="7" borderId="172" applyNumberFormat="0" applyAlignment="0" applyProtection="0"/>
    <xf numFmtId="0" fontId="48" fillId="44" borderId="0" applyNumberFormat="0" applyBorder="0" applyAlignment="0" applyProtection="0"/>
    <xf numFmtId="0" fontId="28" fillId="0" borderId="173" applyNumberFormat="0" applyFill="0" applyAlignment="0" applyProtection="0"/>
    <xf numFmtId="0" fontId="68" fillId="0" borderId="173" applyNumberFormat="0" applyFill="0" applyAlignment="0" applyProtection="0"/>
    <xf numFmtId="0" fontId="4" fillId="0" borderId="175" applyNumberFormat="0" applyFill="0" applyAlignment="0" applyProtection="0"/>
    <xf numFmtId="0" fontId="4" fillId="0" borderId="175">
      <alignment horizontal="right" vertical="center"/>
    </xf>
    <xf numFmtId="0" fontId="48" fillId="46" borderId="0" applyNumberFormat="0" applyBorder="0" applyAlignment="0" applyProtection="0"/>
    <xf numFmtId="0" fontId="48" fillId="43" borderId="0" applyNumberFormat="0" applyBorder="0" applyAlignment="0" applyProtection="0"/>
    <xf numFmtId="178" fontId="4" fillId="29" borderId="175" applyNumberFormat="0" applyFont="0" applyBorder="0" applyAlignment="0" applyProtection="0">
      <alignment horizontal="right" vertical="center"/>
    </xf>
    <xf numFmtId="0" fontId="90" fillId="0" borderId="0" applyNumberFormat="0" applyFill="0" applyBorder="0" applyAlignment="0" applyProtection="0"/>
    <xf numFmtId="0" fontId="92" fillId="51" borderId="0" applyNumberFormat="0" applyBorder="0" applyAlignment="0" applyProtection="0"/>
    <xf numFmtId="0" fontId="48" fillId="59" borderId="0" applyNumberFormat="0" applyBorder="0" applyAlignment="0" applyProtection="0"/>
    <xf numFmtId="0" fontId="28" fillId="0" borderId="173" applyNumberFormat="0" applyFill="0" applyAlignment="0" applyProtection="0"/>
    <xf numFmtId="4" fontId="6" fillId="22" borderId="177">
      <alignment horizontal="right" vertical="center"/>
    </xf>
    <xf numFmtId="0" fontId="4" fillId="0" borderId="175">
      <alignment horizontal="right" vertical="center"/>
    </xf>
    <xf numFmtId="0" fontId="51" fillId="28" borderId="174" applyNumberFormat="0" applyFont="0" applyAlignment="0" applyProtection="0"/>
    <xf numFmtId="0" fontId="48" fillId="55" borderId="0" applyNumberFormat="0" applyBorder="0" applyAlignment="0" applyProtection="0"/>
    <xf numFmtId="0" fontId="87" fillId="42" borderId="161" applyNumberFormat="0" applyAlignment="0" applyProtection="0"/>
    <xf numFmtId="0" fontId="51" fillId="28" borderId="174" applyNumberFormat="0" applyFont="0" applyAlignment="0" applyProtection="0"/>
    <xf numFmtId="0" fontId="92" fillId="48" borderId="0" applyNumberFormat="0" applyBorder="0" applyAlignment="0" applyProtection="0"/>
    <xf numFmtId="0" fontId="48" fillId="58" borderId="0" applyNumberFormat="0" applyBorder="0" applyAlignment="0" applyProtection="0"/>
    <xf numFmtId="0" fontId="4" fillId="0" borderId="175" applyNumberFormat="0" applyFill="0" applyAlignment="0" applyProtection="0"/>
    <xf numFmtId="0" fontId="48" fillId="47" borderId="0" applyNumberFormat="0" applyBorder="0" applyAlignment="0" applyProtection="0"/>
    <xf numFmtId="4" fontId="4" fillId="0" borderId="175" applyFill="0" applyBorder="0" applyProtection="0">
      <alignment horizontal="right" vertical="center"/>
    </xf>
    <xf numFmtId="0" fontId="48" fillId="55" borderId="0" applyNumberFormat="0" applyBorder="0" applyAlignment="0" applyProtection="0"/>
    <xf numFmtId="0" fontId="9" fillId="21" borderId="175">
      <alignment horizontal="right" vertical="center"/>
    </xf>
    <xf numFmtId="0" fontId="23" fillId="7" borderId="172" applyNumberFormat="0" applyAlignment="0" applyProtection="0"/>
    <xf numFmtId="178" fontId="4" fillId="29" borderId="175" applyNumberFormat="0" applyFont="0" applyBorder="0" applyAlignment="0" applyProtection="0">
      <alignment horizontal="right" vertical="center"/>
    </xf>
    <xf numFmtId="0" fontId="23" fillId="7" borderId="172" applyNumberFormat="0" applyAlignment="0" applyProtection="0"/>
    <xf numFmtId="4" fontId="4" fillId="0" borderId="175">
      <alignment horizontal="right" vertical="center"/>
    </xf>
    <xf numFmtId="49" fontId="4" fillId="0" borderId="175" applyNumberFormat="0" applyFont="0" applyFill="0" applyBorder="0" applyProtection="0">
      <alignment horizontal="left" vertical="center" indent="2"/>
    </xf>
    <xf numFmtId="178" fontId="4" fillId="29" borderId="175" applyNumberFormat="0" applyFont="0" applyBorder="0" applyAlignment="0" applyProtection="0">
      <alignment horizontal="right" vertical="center"/>
    </xf>
    <xf numFmtId="49" fontId="8" fillId="0" borderId="175" applyNumberFormat="0" applyFill="0" applyBorder="0" applyProtection="0">
      <alignment horizontal="left" vertical="center"/>
    </xf>
    <xf numFmtId="4" fontId="6" fillId="22" borderId="175">
      <alignment horizontal="right" vertical="center"/>
    </xf>
    <xf numFmtId="0" fontId="23" fillId="7" borderId="172" applyNumberFormat="0" applyAlignment="0" applyProtection="0"/>
    <xf numFmtId="0" fontId="54" fillId="23" borderId="172" applyNumberFormat="0" applyAlignment="0" applyProtection="0"/>
    <xf numFmtId="4" fontId="4" fillId="0" borderId="175">
      <alignment horizontal="right" vertical="center"/>
    </xf>
    <xf numFmtId="0" fontId="4" fillId="22" borderId="178">
      <alignment horizontal="left" vertical="center" wrapText="1" indent="2"/>
    </xf>
    <xf numFmtId="0" fontId="4" fillId="0" borderId="178">
      <alignment horizontal="left" vertical="center" wrapText="1" indent="2"/>
    </xf>
    <xf numFmtId="0" fontId="66" fillId="23" borderId="171" applyNumberFormat="0" applyAlignment="0" applyProtection="0"/>
    <xf numFmtId="0" fontId="62" fillId="7" borderId="172" applyNumberFormat="0" applyAlignment="0" applyProtection="0"/>
    <xf numFmtId="0" fontId="16" fillId="23" borderId="172" applyNumberFormat="0" applyAlignment="0" applyProtection="0"/>
    <xf numFmtId="0" fontId="26" fillId="23" borderId="171" applyNumberFormat="0" applyAlignment="0" applyProtection="0"/>
    <xf numFmtId="0" fontId="6" fillId="22" borderId="177">
      <alignment horizontal="right" vertical="center"/>
    </xf>
    <xf numFmtId="0" fontId="9" fillId="21" borderId="175">
      <alignment horizontal="right" vertical="center"/>
    </xf>
    <xf numFmtId="4" fontId="6" fillId="21" borderId="175">
      <alignment horizontal="right" vertical="center"/>
    </xf>
    <xf numFmtId="4" fontId="6" fillId="22" borderId="175">
      <alignment horizontal="right" vertical="center"/>
    </xf>
    <xf numFmtId="49" fontId="4" fillId="0" borderId="176" applyNumberFormat="0" applyFont="0" applyFill="0" applyBorder="0" applyProtection="0">
      <alignment horizontal="left" vertical="center" indent="5"/>
    </xf>
    <xf numFmtId="4" fontId="4" fillId="0" borderId="175" applyFill="0" applyBorder="0" applyProtection="0">
      <alignment horizontal="right" vertical="center"/>
    </xf>
    <xf numFmtId="4" fontId="6" fillId="21" borderId="175">
      <alignment horizontal="right" vertical="center"/>
    </xf>
    <xf numFmtId="0" fontId="62" fillId="7" borderId="172" applyNumberFormat="0" applyAlignment="0" applyProtection="0"/>
    <xf numFmtId="0" fontId="23" fillId="7" borderId="172" applyNumberFormat="0" applyAlignment="0" applyProtection="0"/>
    <xf numFmtId="0" fontId="16" fillId="23" borderId="172" applyNumberFormat="0" applyAlignment="0" applyProtection="0"/>
    <xf numFmtId="0" fontId="4" fillId="22" borderId="178">
      <alignment horizontal="left" vertical="center" wrapText="1" indent="2"/>
    </xf>
    <xf numFmtId="0" fontId="4" fillId="0" borderId="178">
      <alignment horizontal="left" vertical="center" wrapText="1" indent="2"/>
    </xf>
    <xf numFmtId="0" fontId="4" fillId="22" borderId="178">
      <alignment horizontal="left" vertical="center" wrapText="1" indent="2"/>
    </xf>
    <xf numFmtId="0" fontId="48" fillId="43" borderId="0" applyNumberFormat="0" applyBorder="0" applyAlignment="0" applyProtection="0"/>
    <xf numFmtId="0" fontId="92" fillId="48" borderId="0" applyNumberFormat="0" applyBorder="0" applyAlignment="0" applyProtection="0"/>
    <xf numFmtId="0" fontId="48" fillId="53" borderId="0" applyNumberFormat="0" applyBorder="0" applyAlignment="0" applyProtection="0"/>
    <xf numFmtId="0" fontId="92" fillId="45" borderId="0" applyNumberFormat="0" applyBorder="0" applyAlignment="0" applyProtection="0"/>
    <xf numFmtId="0" fontId="91" fillId="0" borderId="162" applyNumberFormat="0" applyFill="0" applyAlignment="0" applyProtection="0"/>
    <xf numFmtId="0" fontId="48" fillId="56" borderId="0" applyNumberFormat="0" applyBorder="0" applyAlignment="0" applyProtection="0"/>
    <xf numFmtId="0" fontId="48" fillId="59" borderId="0" applyNumberFormat="0" applyBorder="0" applyAlignment="0" applyProtection="0"/>
    <xf numFmtId="0" fontId="48" fillId="50" borderId="0" applyNumberFormat="0" applyBorder="0" applyAlignment="0" applyProtection="0"/>
    <xf numFmtId="0" fontId="48" fillId="46" borderId="0" applyNumberFormat="0" applyBorder="0" applyAlignment="0" applyProtection="0"/>
    <xf numFmtId="0" fontId="92" fillId="57" borderId="0" applyNumberFormat="0" applyBorder="0" applyAlignment="0" applyProtection="0"/>
    <xf numFmtId="0" fontId="48" fillId="47" borderId="0" applyNumberFormat="0" applyBorder="0" applyAlignment="0" applyProtection="0"/>
    <xf numFmtId="0" fontId="48" fillId="52" borderId="0" applyNumberFormat="0" applyBorder="0" applyAlignment="0" applyProtection="0"/>
    <xf numFmtId="0" fontId="92" fillId="60" borderId="0" applyNumberFormat="0" applyBorder="0" applyAlignment="0" applyProtection="0"/>
    <xf numFmtId="0" fontId="48" fillId="44" borderId="0" applyNumberFormat="0" applyBorder="0" applyAlignment="0" applyProtection="0"/>
    <xf numFmtId="0" fontId="90" fillId="0" borderId="0" applyNumberFormat="0" applyFill="0" applyBorder="0" applyAlignment="0" applyProtection="0"/>
    <xf numFmtId="0" fontId="92" fillId="51" borderId="0" applyNumberFormat="0" applyBorder="0" applyAlignment="0" applyProtection="0"/>
    <xf numFmtId="0" fontId="48" fillId="55" borderId="0" applyNumberFormat="0" applyBorder="0" applyAlignment="0" applyProtection="0"/>
    <xf numFmtId="0" fontId="68" fillId="0" borderId="238" applyNumberFormat="0" applyFill="0" applyAlignment="0" applyProtection="0"/>
    <xf numFmtId="0" fontId="68" fillId="0" borderId="238" applyNumberFormat="0" applyFill="0" applyAlignment="0" applyProtection="0"/>
    <xf numFmtId="4" fontId="6" fillId="22" borderId="242">
      <alignment horizontal="right" vertical="center"/>
    </xf>
    <xf numFmtId="0" fontId="54" fillId="23" borderId="237" applyNumberFormat="0" applyAlignment="0" applyProtection="0"/>
    <xf numFmtId="4" fontId="4" fillId="27" borderId="240"/>
    <xf numFmtId="0" fontId="4" fillId="0" borderId="240" applyNumberFormat="0" applyFill="0" applyAlignment="0" applyProtection="0"/>
    <xf numFmtId="4" fontId="6" fillId="22" borderId="240">
      <alignment horizontal="right" vertical="center"/>
    </xf>
    <xf numFmtId="0" fontId="54" fillId="23" borderId="237" applyNumberFormat="0" applyAlignment="0" applyProtection="0"/>
    <xf numFmtId="0" fontId="6" fillId="22" borderId="240">
      <alignment horizontal="right" vertical="center"/>
    </xf>
    <xf numFmtId="0" fontId="87" fillId="42" borderId="161" applyNumberFormat="0" applyAlignment="0" applyProtection="0"/>
    <xf numFmtId="0" fontId="88" fillId="42" borderId="19" applyNumberFormat="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91" fillId="0" borderId="162" applyNumberFormat="0" applyFill="0" applyAlignment="0" applyProtection="0"/>
    <xf numFmtId="0" fontId="48" fillId="43" borderId="0" applyNumberFormat="0" applyBorder="0" applyAlignment="0" applyProtection="0"/>
    <xf numFmtId="0" fontId="48" fillId="44" borderId="0" applyNumberFormat="0" applyBorder="0" applyAlignment="0" applyProtection="0"/>
    <xf numFmtId="0" fontId="92" fillId="45" borderId="0" applyNumberFormat="0" applyBorder="0" applyAlignment="0" applyProtection="0"/>
    <xf numFmtId="0" fontId="48" fillId="46" borderId="0" applyNumberFormat="0" applyBorder="0" applyAlignment="0" applyProtection="0"/>
    <xf numFmtId="0" fontId="48" fillId="47" borderId="0" applyNumberFormat="0" applyBorder="0" applyAlignment="0" applyProtection="0"/>
    <xf numFmtId="0" fontId="92" fillId="48"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92" fillId="51" borderId="0" applyNumberFormat="0" applyBorder="0" applyAlignment="0" applyProtection="0"/>
    <xf numFmtId="0" fontId="48" fillId="52" borderId="0" applyNumberFormat="0" applyBorder="0" applyAlignment="0" applyProtection="0"/>
    <xf numFmtId="0" fontId="48" fillId="53" borderId="0" applyNumberFormat="0" applyBorder="0" applyAlignment="0" applyProtection="0"/>
    <xf numFmtId="0" fontId="92" fillId="54" borderId="0" applyNumberFormat="0" applyBorder="0" applyAlignment="0" applyProtection="0"/>
    <xf numFmtId="0" fontId="48" fillId="55" borderId="0" applyNumberFormat="0" applyBorder="0" applyAlignment="0" applyProtection="0"/>
    <xf numFmtId="0" fontId="48" fillId="56" borderId="0" applyNumberFormat="0" applyBorder="0" applyAlignment="0" applyProtection="0"/>
    <xf numFmtId="0" fontId="92" fillId="57" borderId="0" applyNumberFormat="0" applyBorder="0" applyAlignment="0" applyProtection="0"/>
    <xf numFmtId="0" fontId="48" fillId="58" borderId="0" applyNumberFormat="0" applyBorder="0" applyAlignment="0" applyProtection="0"/>
    <xf numFmtId="0" fontId="48" fillId="59" borderId="0" applyNumberFormat="0" applyBorder="0" applyAlignment="0" applyProtection="0"/>
    <xf numFmtId="0" fontId="92" fillId="60" borderId="0" applyNumberFormat="0" applyBorder="0" applyAlignment="0" applyProtection="0"/>
    <xf numFmtId="0" fontId="4" fillId="0" borderId="175" applyNumberFormat="0" applyFill="0" applyAlignment="0" applyProtection="0"/>
    <xf numFmtId="0" fontId="6" fillId="22" borderId="175">
      <alignment horizontal="right" vertical="center"/>
    </xf>
    <xf numFmtId="0" fontId="6" fillId="22" borderId="175">
      <alignment horizontal="right" vertical="center"/>
    </xf>
    <xf numFmtId="0" fontId="4" fillId="0" borderId="178">
      <alignment horizontal="left" vertical="center" wrapText="1" indent="2"/>
    </xf>
    <xf numFmtId="0" fontId="6" fillId="22" borderId="177">
      <alignment horizontal="right" vertical="center"/>
    </xf>
    <xf numFmtId="0" fontId="4" fillId="0" borderId="175">
      <alignment horizontal="right" vertical="center"/>
    </xf>
    <xf numFmtId="0" fontId="9" fillId="21" borderId="175">
      <alignment horizontal="right" vertical="center"/>
    </xf>
    <xf numFmtId="0" fontId="4" fillId="27" borderId="175"/>
    <xf numFmtId="0" fontId="6" fillId="21" borderId="175">
      <alignment horizontal="right" vertical="center"/>
    </xf>
    <xf numFmtId="0" fontId="6" fillId="21" borderId="240">
      <alignment horizontal="right" vertical="center"/>
    </xf>
    <xf numFmtId="49" fontId="4" fillId="0" borderId="241" applyNumberFormat="0" applyFont="0" applyFill="0" applyBorder="0" applyProtection="0">
      <alignment horizontal="left" vertical="center" indent="5"/>
    </xf>
    <xf numFmtId="0" fontId="4" fillId="27" borderId="240"/>
    <xf numFmtId="4" fontId="4" fillId="0" borderId="240">
      <alignment horizontal="right" vertical="center"/>
    </xf>
    <xf numFmtId="0" fontId="4" fillId="21" borderId="241">
      <alignment horizontal="left" vertical="center"/>
    </xf>
    <xf numFmtId="0" fontId="6" fillId="22" borderId="242">
      <alignment horizontal="right" vertical="center"/>
    </xf>
    <xf numFmtId="4" fontId="6" fillId="22" borderId="240">
      <alignment horizontal="right" vertical="center"/>
    </xf>
    <xf numFmtId="0" fontId="54" fillId="23" borderId="229" applyNumberFormat="0" applyAlignment="0" applyProtection="0"/>
    <xf numFmtId="176" fontId="13" fillId="0" borderId="0" applyFont="0" applyFill="0" applyBorder="0" applyAlignment="0" applyProtection="0"/>
    <xf numFmtId="176" fontId="13" fillId="0" borderId="0" applyFont="0" applyFill="0" applyBorder="0" applyAlignment="0" applyProtection="0"/>
    <xf numFmtId="0" fontId="66" fillId="23" borderId="236" applyNumberFormat="0" applyAlignment="0" applyProtection="0"/>
    <xf numFmtId="0" fontId="62" fillId="7" borderId="229" applyNumberFormat="0" applyAlignment="0" applyProtection="0"/>
    <xf numFmtId="0" fontId="66" fillId="23" borderId="236" applyNumberFormat="0" applyAlignment="0" applyProtection="0"/>
    <xf numFmtId="0" fontId="7" fillId="28" borderId="239" applyNumberFormat="0" applyFont="0" applyAlignment="0" applyProtection="0"/>
    <xf numFmtId="4" fontId="4" fillId="0" borderId="175" applyFill="0" applyBorder="0" applyProtection="0">
      <alignment horizontal="right" vertical="center"/>
    </xf>
    <xf numFmtId="0" fontId="51" fillId="28" borderId="231" applyNumberFormat="0" applyFont="0" applyAlignment="0" applyProtection="0"/>
    <xf numFmtId="0" fontId="7"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49" fontId="4" fillId="0" borderId="240" applyNumberFormat="0" applyFont="0" applyFill="0" applyBorder="0" applyProtection="0">
      <alignment horizontal="left" vertical="center" indent="2"/>
    </xf>
    <xf numFmtId="0" fontId="54" fillId="23" borderId="229" applyNumberFormat="0" applyAlignment="0" applyProtection="0"/>
    <xf numFmtId="0" fontId="62" fillId="7" borderId="229" applyNumberFormat="0" applyAlignment="0" applyProtection="0"/>
    <xf numFmtId="0" fontId="51"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0" fontId="28" fillId="0" borderId="238" applyNumberFormat="0" applyFill="0" applyAlignment="0" applyProtection="0"/>
    <xf numFmtId="0" fontId="26" fillId="23" borderId="236" applyNumberFormat="0" applyAlignment="0" applyProtection="0"/>
    <xf numFmtId="4" fontId="4" fillId="0" borderId="240" applyFill="0" applyBorder="0" applyProtection="0">
      <alignment horizontal="right" vertical="center"/>
    </xf>
    <xf numFmtId="0" fontId="6" fillId="21" borderId="232">
      <alignment horizontal="right" vertical="center"/>
    </xf>
    <xf numFmtId="4" fontId="6" fillId="21" borderId="232">
      <alignment horizontal="right" vertical="center"/>
    </xf>
    <xf numFmtId="0" fontId="9" fillId="21" borderId="232">
      <alignment horizontal="right" vertical="center"/>
    </xf>
    <xf numFmtId="4" fontId="9" fillId="21" borderId="232">
      <alignment horizontal="right" vertical="center"/>
    </xf>
    <xf numFmtId="0" fontId="6" fillId="22" borderId="232">
      <alignment horizontal="right" vertical="center"/>
    </xf>
    <xf numFmtId="4" fontId="6" fillId="22" borderId="232">
      <alignment horizontal="right" vertical="center"/>
    </xf>
    <xf numFmtId="0" fontId="6" fillId="22" borderId="232">
      <alignment horizontal="right" vertical="center"/>
    </xf>
    <xf numFmtId="4" fontId="6" fillId="22" borderId="232">
      <alignment horizontal="right" vertical="center"/>
    </xf>
    <xf numFmtId="0" fontId="6" fillId="22" borderId="233">
      <alignment horizontal="right" vertical="center"/>
    </xf>
    <xf numFmtId="4" fontId="6" fillId="22" borderId="233">
      <alignment horizontal="right" vertical="center"/>
    </xf>
    <xf numFmtId="0" fontId="6" fillId="22" borderId="234">
      <alignment horizontal="right" vertical="center"/>
    </xf>
    <xf numFmtId="4" fontId="6" fillId="22" borderId="234">
      <alignment horizontal="right" vertical="center"/>
    </xf>
    <xf numFmtId="0" fontId="54" fillId="23" borderId="229" applyNumberFormat="0" applyAlignment="0" applyProtection="0"/>
    <xf numFmtId="0" fontId="4" fillId="22" borderId="235">
      <alignment horizontal="left" vertical="center" wrapText="1" indent="2"/>
    </xf>
    <xf numFmtId="0" fontId="4" fillId="0" borderId="235">
      <alignment horizontal="left" vertical="center" wrapText="1" indent="2"/>
    </xf>
    <xf numFmtId="0" fontId="4" fillId="21" borderId="233">
      <alignment horizontal="left" vertical="center"/>
    </xf>
    <xf numFmtId="0" fontId="62" fillId="7" borderId="229" applyNumberFormat="0" applyAlignment="0" applyProtection="0"/>
    <xf numFmtId="0" fontId="4" fillId="0" borderId="232">
      <alignment horizontal="right" vertical="center"/>
    </xf>
    <xf numFmtId="4" fontId="4" fillId="0" borderId="232">
      <alignment horizontal="right" vertical="center"/>
    </xf>
    <xf numFmtId="0" fontId="4" fillId="0" borderId="232" applyNumberFormat="0" applyFill="0" applyAlignment="0" applyProtection="0"/>
    <xf numFmtId="0" fontId="66" fillId="23" borderId="228" applyNumberFormat="0" applyAlignment="0" applyProtection="0"/>
    <xf numFmtId="178" fontId="4" fillId="29" borderId="232" applyNumberFormat="0" applyFont="0" applyBorder="0" applyAlignment="0" applyProtection="0">
      <alignment horizontal="right" vertical="center"/>
    </xf>
    <xf numFmtId="0" fontId="4" fillId="27" borderId="232"/>
    <xf numFmtId="4" fontId="4" fillId="27" borderId="232"/>
    <xf numFmtId="0" fontId="68" fillId="0" borderId="230" applyNumberFormat="0" applyFill="0" applyAlignment="0" applyProtection="0"/>
    <xf numFmtId="0" fontId="92" fillId="57" borderId="0" applyNumberFormat="0" applyBorder="0" applyAlignment="0" applyProtection="0"/>
    <xf numFmtId="0" fontId="48" fillId="43" borderId="0" applyNumberFormat="0" applyBorder="0" applyAlignment="0" applyProtection="0"/>
    <xf numFmtId="0" fontId="48" fillId="56" borderId="0" applyNumberFormat="0" applyBorder="0" applyAlignment="0" applyProtection="0"/>
    <xf numFmtId="0" fontId="88" fillId="42" borderId="19" applyNumberFormat="0" applyAlignment="0" applyProtection="0"/>
    <xf numFmtId="0" fontId="48" fillId="50" borderId="0" applyNumberFormat="0" applyBorder="0" applyAlignment="0" applyProtection="0"/>
    <xf numFmtId="0" fontId="48" fillId="55" borderId="0" applyNumberFormat="0" applyBorder="0" applyAlignment="0" applyProtection="0"/>
    <xf numFmtId="0" fontId="48" fillId="47" borderId="0" applyNumberFormat="0" applyBorder="0" applyAlignment="0" applyProtection="0"/>
    <xf numFmtId="0" fontId="48" fillId="52" borderId="0" applyNumberFormat="0" applyBorder="0" applyAlignment="0" applyProtection="0"/>
    <xf numFmtId="0" fontId="48" fillId="49" borderId="0" applyNumberFormat="0" applyBorder="0" applyAlignment="0" applyProtection="0"/>
    <xf numFmtId="0" fontId="89" fillId="0" borderId="0" applyNumberFormat="0" applyFill="0" applyBorder="0" applyAlignment="0" applyProtection="0"/>
    <xf numFmtId="0" fontId="91" fillId="0" borderId="162" applyNumberFormat="0" applyFill="0" applyAlignment="0" applyProtection="0"/>
    <xf numFmtId="0" fontId="87" fillId="42" borderId="161" applyNumberFormat="0" applyAlignment="0" applyProtection="0"/>
    <xf numFmtId="49" fontId="4" fillId="0" borderId="232" applyNumberFormat="0" applyFont="0" applyFill="0" applyBorder="0" applyProtection="0">
      <alignment horizontal="left" vertical="center" indent="2"/>
    </xf>
    <xf numFmtId="49" fontId="4" fillId="0" borderId="233" applyNumberFormat="0" applyFont="0" applyFill="0" applyBorder="0" applyProtection="0">
      <alignment horizontal="left" vertical="center" indent="5"/>
    </xf>
    <xf numFmtId="4" fontId="4" fillId="0" borderId="232" applyFill="0" applyBorder="0" applyProtection="0">
      <alignment horizontal="right" vertical="center"/>
    </xf>
    <xf numFmtId="49" fontId="8" fillId="0" borderId="232" applyNumberFormat="0" applyFill="0" applyBorder="0" applyProtection="0">
      <alignment horizontal="left" vertical="center"/>
    </xf>
    <xf numFmtId="0" fontId="16" fillId="23" borderId="237" applyNumberFormat="0" applyAlignment="0" applyProtection="0"/>
    <xf numFmtId="49" fontId="8" fillId="0" borderId="240" applyNumberFormat="0" applyFill="0" applyBorder="0" applyProtection="0">
      <alignment horizontal="left" vertical="center"/>
    </xf>
    <xf numFmtId="0" fontId="26" fillId="23" borderId="228" applyNumberFormat="0" applyAlignment="0" applyProtection="0"/>
    <xf numFmtId="0" fontId="16" fillId="23" borderId="229" applyNumberFormat="0" applyAlignment="0" applyProtection="0"/>
    <xf numFmtId="0" fontId="28" fillId="0" borderId="230" applyNumberFormat="0" applyFill="0" applyAlignment="0" applyProtection="0"/>
    <xf numFmtId="0" fontId="48" fillId="59" borderId="0" applyNumberFormat="0" applyBorder="0" applyAlignment="0" applyProtection="0"/>
    <xf numFmtId="0" fontId="66" fillId="23" borderId="236" applyNumberFormat="0" applyAlignment="0" applyProtection="0"/>
    <xf numFmtId="178" fontId="4" fillId="29" borderId="240" applyNumberFormat="0" applyFont="0" applyBorder="0" applyAlignment="0" applyProtection="0">
      <alignment horizontal="right" vertical="center"/>
    </xf>
    <xf numFmtId="0" fontId="62" fillId="7" borderId="237" applyNumberFormat="0" applyAlignment="0" applyProtection="0"/>
    <xf numFmtId="0" fontId="4" fillId="0" borderId="240">
      <alignment horizontal="right" vertical="center"/>
    </xf>
    <xf numFmtId="0" fontId="4" fillId="22" borderId="243">
      <alignment horizontal="left" vertical="center" wrapText="1" indent="2"/>
    </xf>
    <xf numFmtId="0" fontId="4" fillId="0" borderId="243">
      <alignment horizontal="left" vertical="center" wrapText="1" indent="2"/>
    </xf>
    <xf numFmtId="0" fontId="6" fillId="22" borderId="241">
      <alignment horizontal="right" vertical="center"/>
    </xf>
    <xf numFmtId="4" fontId="6" fillId="22" borderId="241">
      <alignment horizontal="right" vertical="center"/>
    </xf>
    <xf numFmtId="0" fontId="9" fillId="21" borderId="240">
      <alignment horizontal="right" vertical="center"/>
    </xf>
    <xf numFmtId="0" fontId="6" fillId="22" borderId="240">
      <alignment horizontal="right" vertical="center"/>
    </xf>
    <xf numFmtId="0" fontId="51" fillId="28" borderId="239" applyNumberFormat="0" applyFont="0" applyAlignment="0" applyProtection="0"/>
    <xf numFmtId="0" fontId="23" fillId="7" borderId="229" applyNumberFormat="0" applyAlignment="0" applyProtection="0"/>
    <xf numFmtId="0" fontId="51" fillId="28" borderId="239" applyNumberFormat="0" applyFont="0" applyAlignment="0" applyProtection="0"/>
    <xf numFmtId="0" fontId="62" fillId="7" borderId="237" applyNumberFormat="0" applyAlignment="0" applyProtection="0"/>
    <xf numFmtId="0" fontId="4" fillId="22" borderId="235">
      <alignment horizontal="left" vertical="center" wrapText="1" indent="2"/>
    </xf>
    <xf numFmtId="0" fontId="4" fillId="0" borderId="235">
      <alignment horizontal="left" vertical="center" wrapText="1" indent="2"/>
    </xf>
    <xf numFmtId="0" fontId="68" fillId="0" borderId="238" applyNumberFormat="0" applyFill="0" applyAlignment="0" applyProtection="0"/>
    <xf numFmtId="0" fontId="54" fillId="23" borderId="237" applyNumberFormat="0" applyAlignment="0" applyProtection="0"/>
    <xf numFmtId="0" fontId="92" fillId="60" borderId="0" applyNumberFormat="0" applyBorder="0" applyAlignment="0" applyProtection="0"/>
    <xf numFmtId="0" fontId="48" fillId="58" borderId="0" applyNumberFormat="0" applyBorder="0" applyAlignment="0" applyProtection="0"/>
    <xf numFmtId="0" fontId="48" fillId="44" borderId="0" applyNumberFormat="0" applyBorder="0" applyAlignment="0" applyProtection="0"/>
    <xf numFmtId="0" fontId="92" fillId="51" borderId="0" applyNumberFormat="0" applyBorder="0" applyAlignment="0" applyProtection="0"/>
    <xf numFmtId="0" fontId="48" fillId="53" borderId="0" applyNumberFormat="0" applyBorder="0" applyAlignment="0" applyProtection="0"/>
    <xf numFmtId="0" fontId="92" fillId="54" borderId="0" applyNumberFormat="0" applyBorder="0" applyAlignment="0" applyProtection="0"/>
    <xf numFmtId="0" fontId="92" fillId="48" borderId="0" applyNumberFormat="0" applyBorder="0" applyAlignment="0" applyProtection="0"/>
    <xf numFmtId="0" fontId="48" fillId="46" borderId="0" applyNumberFormat="0" applyBorder="0" applyAlignment="0" applyProtection="0"/>
    <xf numFmtId="0" fontId="92" fillId="45" borderId="0" applyNumberFormat="0" applyBorder="0" applyAlignment="0" applyProtection="0"/>
    <xf numFmtId="0" fontId="90" fillId="0" borderId="0" applyNumberFormat="0" applyFill="0" applyBorder="0" applyAlignment="0" applyProtection="0"/>
    <xf numFmtId="0" fontId="62" fillId="7" borderId="237" applyNumberFormat="0" applyAlignment="0" applyProtection="0"/>
    <xf numFmtId="4" fontId="6" fillId="22" borderId="232">
      <alignment horizontal="right" vertical="center"/>
    </xf>
    <xf numFmtId="0" fontId="4" fillId="27" borderId="232"/>
    <xf numFmtId="0" fontId="16" fillId="23" borderId="229" applyNumberFormat="0" applyAlignment="0" applyProtection="0"/>
    <xf numFmtId="0" fontId="6" fillId="21" borderId="232">
      <alignment horizontal="right" vertical="center"/>
    </xf>
    <xf numFmtId="0" fontId="4" fillId="0" borderId="232">
      <alignment horizontal="right" vertical="center"/>
    </xf>
    <xf numFmtId="0" fontId="68" fillId="0" borderId="230" applyNumberFormat="0" applyFill="0" applyAlignment="0" applyProtection="0"/>
    <xf numFmtId="0" fontId="4" fillId="21" borderId="233">
      <alignment horizontal="left" vertical="center"/>
    </xf>
    <xf numFmtId="0" fontId="62" fillId="7" borderId="229" applyNumberFormat="0" applyAlignment="0" applyProtection="0"/>
    <xf numFmtId="178" fontId="4" fillId="29" borderId="232" applyNumberFormat="0" applyFont="0" applyBorder="0" applyAlignment="0" applyProtection="0">
      <alignment horizontal="right" vertical="center"/>
    </xf>
    <xf numFmtId="0" fontId="51" fillId="28" borderId="231" applyNumberFormat="0" applyFont="0" applyAlignment="0" applyProtection="0"/>
    <xf numFmtId="0" fontId="4" fillId="0" borderId="235">
      <alignment horizontal="left" vertical="center" wrapText="1" indent="2"/>
    </xf>
    <xf numFmtId="4" fontId="4" fillId="27" borderId="232"/>
    <xf numFmtId="49" fontId="8" fillId="0" borderId="232" applyNumberFormat="0" applyFill="0" applyBorder="0" applyProtection="0">
      <alignment horizontal="left" vertical="center"/>
    </xf>
    <xf numFmtId="0" fontId="4" fillId="0" borderId="232">
      <alignment horizontal="right" vertical="center"/>
    </xf>
    <xf numFmtId="4" fontId="6" fillId="22" borderId="234">
      <alignment horizontal="right" vertical="center"/>
    </xf>
    <xf numFmtId="4" fontId="6" fillId="22" borderId="232">
      <alignment horizontal="right" vertical="center"/>
    </xf>
    <xf numFmtId="4" fontId="6" fillId="22" borderId="232">
      <alignment horizontal="right" vertical="center"/>
    </xf>
    <xf numFmtId="0" fontId="9" fillId="21" borderId="232">
      <alignment horizontal="right" vertical="center"/>
    </xf>
    <xf numFmtId="0" fontId="6" fillId="21" borderId="232">
      <alignment horizontal="right" vertical="center"/>
    </xf>
    <xf numFmtId="49" fontId="4" fillId="0" borderId="232" applyNumberFormat="0" applyFont="0" applyFill="0" applyBorder="0" applyProtection="0">
      <alignment horizontal="left" vertical="center" indent="2"/>
    </xf>
    <xf numFmtId="0" fontId="62" fillId="7" borderId="229" applyNumberFormat="0" applyAlignment="0" applyProtection="0"/>
    <xf numFmtId="0" fontId="26" fillId="23" borderId="228" applyNumberFormat="0" applyAlignment="0" applyProtection="0"/>
    <xf numFmtId="49" fontId="4" fillId="0" borderId="232" applyNumberFormat="0" applyFont="0" applyFill="0" applyBorder="0" applyProtection="0">
      <alignment horizontal="left" vertical="center" indent="2"/>
    </xf>
    <xf numFmtId="0" fontId="23" fillId="7" borderId="229" applyNumberFormat="0" applyAlignment="0" applyProtection="0"/>
    <xf numFmtId="4" fontId="4" fillId="0" borderId="232" applyFill="0" applyBorder="0" applyProtection="0">
      <alignment horizontal="right" vertical="center"/>
    </xf>
    <xf numFmtId="0" fontId="54" fillId="23" borderId="229" applyNumberFormat="0" applyAlignment="0" applyProtection="0"/>
    <xf numFmtId="0" fontId="68" fillId="0" borderId="230" applyNumberFormat="0" applyFill="0" applyAlignment="0" applyProtection="0"/>
    <xf numFmtId="0" fontId="66" fillId="23" borderId="228" applyNumberFormat="0" applyAlignment="0" applyProtection="0"/>
    <xf numFmtId="0" fontId="4" fillId="0" borderId="232" applyNumberFormat="0" applyFill="0" applyAlignment="0" applyProtection="0"/>
    <xf numFmtId="4" fontId="4" fillId="0" borderId="232">
      <alignment horizontal="right" vertical="center"/>
    </xf>
    <xf numFmtId="0" fontId="4" fillId="0" borderId="232">
      <alignment horizontal="right" vertical="center"/>
    </xf>
    <xf numFmtId="0" fontId="62" fillId="7" borderId="229" applyNumberFormat="0" applyAlignment="0" applyProtection="0"/>
    <xf numFmtId="0" fontId="26" fillId="23" borderId="228" applyNumberFormat="0" applyAlignment="0" applyProtection="0"/>
    <xf numFmtId="0" fontId="16" fillId="23" borderId="229" applyNumberFormat="0" applyAlignment="0" applyProtection="0"/>
    <xf numFmtId="0" fontId="4" fillId="22" borderId="235">
      <alignment horizontal="left" vertical="center" wrapText="1" indent="2"/>
    </xf>
    <xf numFmtId="0" fontId="54" fillId="23" borderId="229" applyNumberFormat="0" applyAlignment="0" applyProtection="0"/>
    <xf numFmtId="0" fontId="54" fillId="23" borderId="229" applyNumberFormat="0" applyAlignment="0" applyProtection="0"/>
    <xf numFmtId="4" fontId="6" fillId="22" borderId="233">
      <alignment horizontal="right" vertical="center"/>
    </xf>
    <xf numFmtId="0" fontId="6" fillId="22" borderId="233">
      <alignment horizontal="right" vertical="center"/>
    </xf>
    <xf numFmtId="0" fontId="6" fillId="22" borderId="232">
      <alignment horizontal="right" vertical="center"/>
    </xf>
    <xf numFmtId="4" fontId="9" fillId="21" borderId="232">
      <alignment horizontal="right" vertical="center"/>
    </xf>
    <xf numFmtId="0" fontId="23" fillId="7" borderId="229" applyNumberFormat="0" applyAlignment="0" applyProtection="0"/>
    <xf numFmtId="0" fontId="28" fillId="0" borderId="230" applyNumberFormat="0" applyFill="0" applyAlignment="0" applyProtection="0"/>
    <xf numFmtId="0" fontId="68" fillId="0" borderId="230" applyNumberFormat="0" applyFill="0" applyAlignment="0" applyProtection="0"/>
    <xf numFmtId="0" fontId="51" fillId="28" borderId="231" applyNumberFormat="0" applyFont="0" applyAlignment="0" applyProtection="0"/>
    <xf numFmtId="0" fontId="62" fillId="7" borderId="229" applyNumberFormat="0" applyAlignment="0" applyProtection="0"/>
    <xf numFmtId="49" fontId="8" fillId="0" borderId="232" applyNumberFormat="0" applyFill="0" applyBorder="0" applyProtection="0">
      <alignment horizontal="left" vertical="center"/>
    </xf>
    <xf numFmtId="0" fontId="4" fillId="22" borderId="235">
      <alignment horizontal="left" vertical="center" wrapText="1" indent="2"/>
    </xf>
    <xf numFmtId="0" fontId="54" fillId="23" borderId="229" applyNumberFormat="0" applyAlignment="0" applyProtection="0"/>
    <xf numFmtId="0" fontId="4" fillId="0" borderId="235">
      <alignment horizontal="left" vertical="center" wrapText="1" indent="2"/>
    </xf>
    <xf numFmtId="0" fontId="51" fillId="28" borderId="231" applyNumberFormat="0" applyFont="0" applyAlignment="0" applyProtection="0"/>
    <xf numFmtId="0" fontId="7"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4" fontId="4" fillId="27" borderId="232"/>
    <xf numFmtId="0" fontId="6" fillId="22" borderId="232">
      <alignment horizontal="right" vertical="center"/>
    </xf>
    <xf numFmtId="0" fontId="68" fillId="0" borderId="230" applyNumberFormat="0" applyFill="0" applyAlignment="0" applyProtection="0"/>
    <xf numFmtId="4" fontId="6" fillId="22" borderId="234">
      <alignment horizontal="right" vertical="center"/>
    </xf>
    <xf numFmtId="0" fontId="16" fillId="23" borderId="229" applyNumberFormat="0" applyAlignment="0" applyProtection="0"/>
    <xf numFmtId="0" fontId="6" fillId="22" borderId="233">
      <alignment horizontal="right" vertical="center"/>
    </xf>
    <xf numFmtId="0" fontId="54" fillId="23" borderId="229" applyNumberFormat="0" applyAlignment="0" applyProtection="0"/>
    <xf numFmtId="0" fontId="28" fillId="0" borderId="230" applyNumberFormat="0" applyFill="0" applyAlignment="0" applyProtection="0"/>
    <xf numFmtId="0" fontId="51" fillId="28" borderId="231" applyNumberFormat="0" applyFont="0" applyAlignment="0" applyProtection="0"/>
    <xf numFmtId="4" fontId="6" fillId="22" borderId="233">
      <alignment horizontal="right" vertical="center"/>
    </xf>
    <xf numFmtId="0" fontId="4" fillId="22" borderId="235">
      <alignment horizontal="left" vertical="center" wrapText="1" indent="2"/>
    </xf>
    <xf numFmtId="0" fontId="4" fillId="27" borderId="232"/>
    <xf numFmtId="178" fontId="4" fillId="29" borderId="232" applyNumberFormat="0" applyFont="0" applyBorder="0" applyAlignment="0" applyProtection="0">
      <alignment horizontal="right" vertical="center"/>
    </xf>
    <xf numFmtId="0" fontId="4" fillId="0" borderId="232" applyNumberFormat="0" applyFill="0" applyAlignment="0" applyProtection="0"/>
    <xf numFmtId="4" fontId="4" fillId="0" borderId="232" applyFill="0" applyBorder="0" applyProtection="0">
      <alignment horizontal="right" vertical="center"/>
    </xf>
    <xf numFmtId="4" fontId="6" fillId="21" borderId="232">
      <alignment horizontal="right" vertical="center"/>
    </xf>
    <xf numFmtId="0" fontId="28" fillId="0" borderId="230" applyNumberFormat="0" applyFill="0" applyAlignment="0" applyProtection="0"/>
    <xf numFmtId="49" fontId="8" fillId="0" borderId="232" applyNumberFormat="0" applyFill="0" applyBorder="0" applyProtection="0">
      <alignment horizontal="left" vertical="center"/>
    </xf>
    <xf numFmtId="49" fontId="4" fillId="0" borderId="233" applyNumberFormat="0" applyFont="0" applyFill="0" applyBorder="0" applyProtection="0">
      <alignment horizontal="left" vertical="center" indent="5"/>
    </xf>
    <xf numFmtId="0" fontId="4" fillId="21" borderId="233">
      <alignment horizontal="left" vertical="center"/>
    </xf>
    <xf numFmtId="0" fontId="54" fillId="23" borderId="229" applyNumberFormat="0" applyAlignment="0" applyProtection="0"/>
    <xf numFmtId="4" fontId="6" fillId="22" borderId="234">
      <alignment horizontal="right" vertical="center"/>
    </xf>
    <xf numFmtId="0" fontId="62" fillId="7" borderId="229" applyNumberFormat="0" applyAlignment="0" applyProtection="0"/>
    <xf numFmtId="0" fontId="62" fillId="7" borderId="229" applyNumberFormat="0" applyAlignment="0" applyProtection="0"/>
    <xf numFmtId="0" fontId="51"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0" fontId="6" fillId="22" borderId="232">
      <alignment horizontal="right" vertical="center"/>
    </xf>
    <xf numFmtId="0" fontId="7" fillId="28" borderId="231" applyNumberFormat="0" applyFont="0" applyAlignment="0" applyProtection="0"/>
    <xf numFmtId="4" fontId="4" fillId="0" borderId="232">
      <alignment horizontal="right" vertical="center"/>
    </xf>
    <xf numFmtId="0" fontId="68" fillId="0" borderId="230" applyNumberFormat="0" applyFill="0" applyAlignment="0" applyProtection="0"/>
    <xf numFmtId="0" fontId="6" fillId="22" borderId="232">
      <alignment horizontal="right" vertical="center"/>
    </xf>
    <xf numFmtId="0" fontId="6" fillId="22" borderId="232">
      <alignment horizontal="right" vertical="center"/>
    </xf>
    <xf numFmtId="4" fontId="9" fillId="21" borderId="232">
      <alignment horizontal="right" vertical="center"/>
    </xf>
    <xf numFmtId="0" fontId="6" fillId="21" borderId="232">
      <alignment horizontal="right" vertical="center"/>
    </xf>
    <xf numFmtId="4" fontId="6" fillId="21" borderId="232">
      <alignment horizontal="right" vertical="center"/>
    </xf>
    <xf numFmtId="0" fontId="9" fillId="21" borderId="232">
      <alignment horizontal="right" vertical="center"/>
    </xf>
    <xf numFmtId="4" fontId="9" fillId="21" borderId="232">
      <alignment horizontal="right" vertical="center"/>
    </xf>
    <xf numFmtId="0" fontId="6" fillId="22" borderId="232">
      <alignment horizontal="right" vertical="center"/>
    </xf>
    <xf numFmtId="4" fontId="6" fillId="22" borderId="232">
      <alignment horizontal="right" vertical="center"/>
    </xf>
    <xf numFmtId="0" fontId="6" fillId="22" borderId="232">
      <alignment horizontal="right" vertical="center"/>
    </xf>
    <xf numFmtId="4" fontId="6" fillId="22" borderId="232">
      <alignment horizontal="right" vertical="center"/>
    </xf>
    <xf numFmtId="0" fontId="6" fillId="22" borderId="233">
      <alignment horizontal="right" vertical="center"/>
    </xf>
    <xf numFmtId="4" fontId="6" fillId="22" borderId="233">
      <alignment horizontal="right" vertical="center"/>
    </xf>
    <xf numFmtId="0" fontId="6" fillId="22" borderId="234">
      <alignment horizontal="right" vertical="center"/>
    </xf>
    <xf numFmtId="4" fontId="6" fillId="22" borderId="234">
      <alignment horizontal="right" vertical="center"/>
    </xf>
    <xf numFmtId="0" fontId="54" fillId="23" borderId="229" applyNumberFormat="0" applyAlignment="0" applyProtection="0"/>
    <xf numFmtId="0" fontId="4" fillId="22" borderId="235">
      <alignment horizontal="left" vertical="center" wrapText="1" indent="2"/>
    </xf>
    <xf numFmtId="0" fontId="4" fillId="0" borderId="235">
      <alignment horizontal="left" vertical="center" wrapText="1" indent="2"/>
    </xf>
    <xf numFmtId="0" fontId="4" fillId="21" borderId="233">
      <alignment horizontal="left" vertical="center"/>
    </xf>
    <xf numFmtId="0" fontId="62" fillId="7" borderId="229" applyNumberFormat="0" applyAlignment="0" applyProtection="0"/>
    <xf numFmtId="0" fontId="4" fillId="0" borderId="232">
      <alignment horizontal="right" vertical="center"/>
    </xf>
    <xf numFmtId="4" fontId="4" fillId="0" borderId="232">
      <alignment horizontal="right" vertical="center"/>
    </xf>
    <xf numFmtId="0" fontId="4" fillId="0" borderId="232" applyNumberFormat="0" applyFill="0" applyAlignment="0" applyProtection="0"/>
    <xf numFmtId="0" fontId="66" fillId="23" borderId="228" applyNumberFormat="0" applyAlignment="0" applyProtection="0"/>
    <xf numFmtId="178" fontId="4" fillId="29" borderId="232" applyNumberFormat="0" applyFont="0" applyBorder="0" applyAlignment="0" applyProtection="0">
      <alignment horizontal="right" vertical="center"/>
    </xf>
    <xf numFmtId="0" fontId="4" fillId="27" borderId="232"/>
    <xf numFmtId="4" fontId="4" fillId="27" borderId="232"/>
    <xf numFmtId="0" fontId="68" fillId="0" borderId="230" applyNumberFormat="0" applyFill="0" applyAlignment="0" applyProtection="0"/>
    <xf numFmtId="0" fontId="7" fillId="28" borderId="231" applyNumberFormat="0" applyFont="0" applyAlignment="0" applyProtection="0"/>
    <xf numFmtId="0" fontId="51" fillId="28" borderId="231" applyNumberFormat="0" applyFont="0" applyAlignment="0" applyProtection="0"/>
    <xf numFmtId="0" fontId="4" fillId="0" borderId="232" applyNumberFormat="0" applyFill="0" applyAlignment="0" applyProtection="0"/>
    <xf numFmtId="0" fontId="28" fillId="0" borderId="230" applyNumberFormat="0" applyFill="0" applyAlignment="0" applyProtection="0"/>
    <xf numFmtId="0" fontId="68" fillId="0" borderId="230" applyNumberFormat="0" applyFill="0" applyAlignment="0" applyProtection="0"/>
    <xf numFmtId="0" fontId="23" fillId="7" borderId="229" applyNumberFormat="0" applyAlignment="0" applyProtection="0"/>
    <xf numFmtId="0" fontId="54" fillId="23" borderId="229" applyNumberFormat="0" applyAlignment="0" applyProtection="0"/>
    <xf numFmtId="4" fontId="9" fillId="21" borderId="232">
      <alignment horizontal="right" vertical="center"/>
    </xf>
    <xf numFmtId="0" fontId="6" fillId="21" borderId="232">
      <alignment horizontal="right" vertical="center"/>
    </xf>
    <xf numFmtId="178" fontId="4" fillId="29" borderId="232" applyNumberFormat="0" applyFont="0" applyBorder="0" applyAlignment="0" applyProtection="0">
      <alignment horizontal="right" vertical="center"/>
    </xf>
    <xf numFmtId="0" fontId="28" fillId="0" borderId="230" applyNumberFormat="0" applyFill="0" applyAlignment="0" applyProtection="0"/>
    <xf numFmtId="49" fontId="4" fillId="0" borderId="232" applyNumberFormat="0" applyFont="0" applyFill="0" applyBorder="0" applyProtection="0">
      <alignment horizontal="left" vertical="center" indent="2"/>
    </xf>
    <xf numFmtId="49" fontId="4" fillId="0" borderId="233" applyNumberFormat="0" applyFont="0" applyFill="0" applyBorder="0" applyProtection="0">
      <alignment horizontal="left" vertical="center" indent="5"/>
    </xf>
    <xf numFmtId="49" fontId="4" fillId="0" borderId="232" applyNumberFormat="0" applyFont="0" applyFill="0" applyBorder="0" applyProtection="0">
      <alignment horizontal="left" vertical="center" indent="2"/>
    </xf>
    <xf numFmtId="4" fontId="4" fillId="0" borderId="232" applyFill="0" applyBorder="0" applyProtection="0">
      <alignment horizontal="right" vertical="center"/>
    </xf>
    <xf numFmtId="49" fontId="8" fillId="0" borderId="232" applyNumberFormat="0" applyFill="0" applyBorder="0" applyProtection="0">
      <alignment horizontal="left" vertical="center"/>
    </xf>
    <xf numFmtId="0" fontId="4" fillId="0" borderId="235">
      <alignment horizontal="left" vertical="center" wrapText="1" indent="2"/>
    </xf>
    <xf numFmtId="0" fontId="66" fillId="23" borderId="228" applyNumberFormat="0" applyAlignment="0" applyProtection="0"/>
    <xf numFmtId="0" fontId="6" fillId="22" borderId="234">
      <alignment horizontal="right" vertical="center"/>
    </xf>
    <xf numFmtId="0" fontId="23" fillId="7" borderId="229" applyNumberFormat="0" applyAlignment="0" applyProtection="0"/>
    <xf numFmtId="0" fontId="6" fillId="22" borderId="234">
      <alignment horizontal="right" vertical="center"/>
    </xf>
    <xf numFmtId="4" fontId="6" fillId="22" borderId="232">
      <alignment horizontal="right" vertical="center"/>
    </xf>
    <xf numFmtId="0" fontId="6" fillId="22" borderId="232">
      <alignment horizontal="right" vertical="center"/>
    </xf>
    <xf numFmtId="0" fontId="26" fillId="23" borderId="228" applyNumberFormat="0" applyAlignment="0" applyProtection="0"/>
    <xf numFmtId="0" fontId="16" fillId="23" borderId="229" applyNumberFormat="0" applyAlignment="0" applyProtection="0"/>
    <xf numFmtId="0" fontId="28" fillId="0" borderId="230" applyNumberFormat="0" applyFill="0" applyAlignment="0" applyProtection="0"/>
    <xf numFmtId="0" fontId="4" fillId="27" borderId="232"/>
    <xf numFmtId="4" fontId="4" fillId="27" borderId="232"/>
    <xf numFmtId="4" fontId="6" fillId="22" borderId="232">
      <alignment horizontal="right" vertical="center"/>
    </xf>
    <xf numFmtId="0" fontId="9" fillId="21" borderId="232">
      <alignment horizontal="right" vertical="center"/>
    </xf>
    <xf numFmtId="0" fontId="23" fillId="7" borderId="229" applyNumberFormat="0" applyAlignment="0" applyProtection="0"/>
    <xf numFmtId="0" fontId="54" fillId="23" borderId="229" applyNumberFormat="0" applyAlignment="0" applyProtection="0"/>
    <xf numFmtId="4" fontId="4" fillId="0" borderId="232">
      <alignment horizontal="right" vertical="center"/>
    </xf>
    <xf numFmtId="0" fontId="4" fillId="22" borderId="235">
      <alignment horizontal="left" vertical="center" wrapText="1" indent="2"/>
    </xf>
    <xf numFmtId="0" fontId="4" fillId="0" borderId="235">
      <alignment horizontal="left" vertical="center" wrapText="1" indent="2"/>
    </xf>
    <xf numFmtId="0" fontId="66" fillId="23" borderId="228" applyNumberFormat="0" applyAlignment="0" applyProtection="0"/>
    <xf numFmtId="0" fontId="62" fillId="7" borderId="229" applyNumberFormat="0" applyAlignment="0" applyProtection="0"/>
    <xf numFmtId="0" fontId="16" fillId="23" borderId="229" applyNumberFormat="0" applyAlignment="0" applyProtection="0"/>
    <xf numFmtId="0" fontId="26" fillId="23" borderId="228" applyNumberFormat="0" applyAlignment="0" applyProtection="0"/>
    <xf numFmtId="0" fontId="6" fillId="22" borderId="234">
      <alignment horizontal="right" vertical="center"/>
    </xf>
    <xf numFmtId="0" fontId="9" fillId="21" borderId="232">
      <alignment horizontal="right" vertical="center"/>
    </xf>
    <xf numFmtId="4" fontId="6" fillId="21" borderId="232">
      <alignment horizontal="right" vertical="center"/>
    </xf>
    <xf numFmtId="4" fontId="6" fillId="22" borderId="232">
      <alignment horizontal="right" vertical="center"/>
    </xf>
    <xf numFmtId="49" fontId="4" fillId="0" borderId="233" applyNumberFormat="0" applyFont="0" applyFill="0" applyBorder="0" applyProtection="0">
      <alignment horizontal="left" vertical="center" indent="5"/>
    </xf>
    <xf numFmtId="4" fontId="4" fillId="0" borderId="232" applyFill="0" applyBorder="0" applyProtection="0">
      <alignment horizontal="right" vertical="center"/>
    </xf>
    <xf numFmtId="4" fontId="6" fillId="21" borderId="232">
      <alignment horizontal="right" vertical="center"/>
    </xf>
    <xf numFmtId="0" fontId="62" fillId="7" borderId="229" applyNumberFormat="0" applyAlignment="0" applyProtection="0"/>
    <xf numFmtId="0" fontId="23" fillId="7" borderId="229" applyNumberFormat="0" applyAlignment="0" applyProtection="0"/>
    <xf numFmtId="0" fontId="16" fillId="23" borderId="229" applyNumberFormat="0" applyAlignment="0" applyProtection="0"/>
    <xf numFmtId="0" fontId="4" fillId="22" borderId="235">
      <alignment horizontal="left" vertical="center" wrapText="1" indent="2"/>
    </xf>
    <xf numFmtId="0" fontId="4" fillId="0" borderId="235">
      <alignment horizontal="left" vertical="center" wrapText="1" indent="2"/>
    </xf>
    <xf numFmtId="0" fontId="4" fillId="22" borderId="235">
      <alignment horizontal="left" vertical="center" wrapText="1" indent="2"/>
    </xf>
    <xf numFmtId="0" fontId="4" fillId="0" borderId="235">
      <alignment horizontal="left" vertical="center" wrapText="1" indent="2"/>
    </xf>
    <xf numFmtId="0" fontId="26" fillId="23" borderId="228" applyNumberFormat="0" applyAlignment="0" applyProtection="0"/>
    <xf numFmtId="0" fontId="16" fillId="23" borderId="229" applyNumberFormat="0" applyAlignment="0" applyProtection="0"/>
    <xf numFmtId="0" fontId="54" fillId="23" borderId="229" applyNumberFormat="0" applyAlignment="0" applyProtection="0"/>
    <xf numFmtId="0" fontId="23" fillId="7" borderId="229" applyNumberFormat="0" applyAlignment="0" applyProtection="0"/>
    <xf numFmtId="0" fontId="28" fillId="0" borderId="230" applyNumberFormat="0" applyFill="0" applyAlignment="0" applyProtection="0"/>
    <xf numFmtId="0" fontId="62" fillId="7" borderId="229" applyNumberFormat="0" applyAlignment="0" applyProtection="0"/>
    <xf numFmtId="0" fontId="51" fillId="28" borderId="231" applyNumberFormat="0" applyFont="0" applyAlignment="0" applyProtection="0"/>
    <xf numFmtId="0" fontId="7"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0" fontId="54" fillId="23" borderId="229" applyNumberFormat="0" applyAlignment="0" applyProtection="0"/>
    <xf numFmtId="0" fontId="62" fillId="7" borderId="229" applyNumberFormat="0" applyAlignment="0" applyProtection="0"/>
    <xf numFmtId="0" fontId="51"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4" fontId="6" fillId="21" borderId="240">
      <alignment horizontal="right" vertical="center"/>
    </xf>
    <xf numFmtId="4" fontId="9" fillId="21" borderId="240">
      <alignment horizontal="right" vertical="center"/>
    </xf>
    <xf numFmtId="0" fontId="6" fillId="22" borderId="177">
      <alignment horizontal="right" vertical="center"/>
    </xf>
    <xf numFmtId="4" fontId="6" fillId="22" borderId="177">
      <alignment horizontal="right" vertical="center"/>
    </xf>
    <xf numFmtId="0" fontId="54" fillId="23" borderId="229" applyNumberFormat="0" applyAlignment="0" applyProtection="0"/>
    <xf numFmtId="0" fontId="4" fillId="22" borderId="178">
      <alignment horizontal="left" vertical="center" wrapText="1" indent="2"/>
    </xf>
    <xf numFmtId="0" fontId="4" fillId="0" borderId="178">
      <alignment horizontal="left" vertical="center" wrapText="1" indent="2"/>
    </xf>
    <xf numFmtId="0" fontId="62" fillId="7" borderId="229" applyNumberFormat="0" applyAlignment="0" applyProtection="0"/>
    <xf numFmtId="0" fontId="66" fillId="23" borderId="228" applyNumberFormat="0" applyAlignment="0" applyProtection="0"/>
    <xf numFmtId="0" fontId="68" fillId="0" borderId="230" applyNumberFormat="0" applyFill="0" applyAlignment="0" applyProtection="0"/>
    <xf numFmtId="0" fontId="26" fillId="23" borderId="228" applyNumberFormat="0" applyAlignment="0" applyProtection="0"/>
    <xf numFmtId="0" fontId="16" fillId="23" borderId="229" applyNumberFormat="0" applyAlignment="0" applyProtection="0"/>
    <xf numFmtId="0" fontId="28" fillId="0" borderId="230" applyNumberFormat="0" applyFill="0" applyAlignment="0" applyProtection="0"/>
    <xf numFmtId="49" fontId="4" fillId="0" borderId="232" applyNumberFormat="0" applyFont="0" applyFill="0" applyBorder="0" applyProtection="0">
      <alignment horizontal="left" vertical="center" indent="2"/>
    </xf>
    <xf numFmtId="0" fontId="6" fillId="21" borderId="232">
      <alignment horizontal="right" vertical="center"/>
    </xf>
    <xf numFmtId="4" fontId="6" fillId="21" borderId="232">
      <alignment horizontal="right" vertical="center"/>
    </xf>
    <xf numFmtId="0" fontId="9" fillId="21" borderId="232">
      <alignment horizontal="right" vertical="center"/>
    </xf>
    <xf numFmtId="4" fontId="9" fillId="21" borderId="232">
      <alignment horizontal="right" vertical="center"/>
    </xf>
    <xf numFmtId="0" fontId="6" fillId="22" borderId="232">
      <alignment horizontal="right" vertical="center"/>
    </xf>
    <xf numFmtId="4" fontId="6" fillId="22" borderId="232">
      <alignment horizontal="right" vertical="center"/>
    </xf>
    <xf numFmtId="0" fontId="6" fillId="22" borderId="232">
      <alignment horizontal="right" vertical="center"/>
    </xf>
    <xf numFmtId="4" fontId="6" fillId="22" borderId="232">
      <alignment horizontal="right" vertical="center"/>
    </xf>
    <xf numFmtId="0" fontId="23" fillId="7" borderId="229" applyNumberFormat="0" applyAlignment="0" applyProtection="0"/>
    <xf numFmtId="0" fontId="4" fillId="0" borderId="232">
      <alignment horizontal="right" vertical="center"/>
    </xf>
    <xf numFmtId="4" fontId="4" fillId="0" borderId="232">
      <alignment horizontal="right" vertical="center"/>
    </xf>
    <xf numFmtId="4" fontId="4" fillId="0" borderId="232" applyFill="0" applyBorder="0" applyProtection="0">
      <alignment horizontal="right" vertical="center"/>
    </xf>
    <xf numFmtId="49" fontId="8" fillId="0" borderId="232" applyNumberFormat="0" applyFill="0" applyBorder="0" applyProtection="0">
      <alignment horizontal="left" vertical="center"/>
    </xf>
    <xf numFmtId="0" fontId="4" fillId="0" borderId="232" applyNumberFormat="0" applyFill="0" applyAlignment="0" applyProtection="0"/>
    <xf numFmtId="178" fontId="4" fillId="29" borderId="232" applyNumberFormat="0" applyFont="0" applyBorder="0" applyAlignment="0" applyProtection="0">
      <alignment horizontal="right" vertical="center"/>
    </xf>
    <xf numFmtId="0" fontId="4" fillId="27" borderId="232"/>
    <xf numFmtId="4" fontId="4" fillId="27" borderId="232"/>
    <xf numFmtId="4" fontId="6" fillId="22" borderId="232">
      <alignment horizontal="right" vertical="center"/>
    </xf>
    <xf numFmtId="0" fontId="4" fillId="27" borderId="232"/>
    <xf numFmtId="0" fontId="16" fillId="23" borderId="229" applyNumberFormat="0" applyAlignment="0" applyProtection="0"/>
    <xf numFmtId="0" fontId="6" fillId="21" borderId="232">
      <alignment horizontal="right" vertical="center"/>
    </xf>
    <xf numFmtId="0" fontId="4" fillId="0" borderId="232">
      <alignment horizontal="right" vertical="center"/>
    </xf>
    <xf numFmtId="0" fontId="68" fillId="0" borderId="230" applyNumberFormat="0" applyFill="0" applyAlignment="0" applyProtection="0"/>
    <xf numFmtId="0" fontId="4" fillId="21" borderId="233">
      <alignment horizontal="left" vertical="center"/>
    </xf>
    <xf numFmtId="0" fontId="62" fillId="7" borderId="229" applyNumberFormat="0" applyAlignment="0" applyProtection="0"/>
    <xf numFmtId="178" fontId="4" fillId="29" borderId="232" applyNumberFormat="0" applyFont="0" applyBorder="0" applyAlignment="0" applyProtection="0">
      <alignment horizontal="right" vertical="center"/>
    </xf>
    <xf numFmtId="0" fontId="51" fillId="28" borderId="231" applyNumberFormat="0" applyFont="0" applyAlignment="0" applyProtection="0"/>
    <xf numFmtId="0" fontId="4" fillId="0" borderId="235">
      <alignment horizontal="left" vertical="center" wrapText="1" indent="2"/>
    </xf>
    <xf numFmtId="4" fontId="4" fillId="27" borderId="232"/>
    <xf numFmtId="49" fontId="8" fillId="0" borderId="232" applyNumberFormat="0" applyFill="0" applyBorder="0" applyProtection="0">
      <alignment horizontal="left" vertical="center"/>
    </xf>
    <xf numFmtId="0" fontId="4" fillId="0" borderId="232">
      <alignment horizontal="right" vertical="center"/>
    </xf>
    <xf numFmtId="4" fontId="6" fillId="22" borderId="234">
      <alignment horizontal="right" vertical="center"/>
    </xf>
    <xf numFmtId="4" fontId="6" fillId="22" borderId="232">
      <alignment horizontal="right" vertical="center"/>
    </xf>
    <xf numFmtId="4" fontId="6" fillId="22" borderId="232">
      <alignment horizontal="right" vertical="center"/>
    </xf>
    <xf numFmtId="0" fontId="9" fillId="21" borderId="232">
      <alignment horizontal="right" vertical="center"/>
    </xf>
    <xf numFmtId="0" fontId="6" fillId="21" borderId="232">
      <alignment horizontal="right" vertical="center"/>
    </xf>
    <xf numFmtId="49" fontId="4" fillId="0" borderId="232" applyNumberFormat="0" applyFont="0" applyFill="0" applyBorder="0" applyProtection="0">
      <alignment horizontal="left" vertical="center" indent="2"/>
    </xf>
    <xf numFmtId="0" fontId="62" fillId="7" borderId="229" applyNumberFormat="0" applyAlignment="0" applyProtection="0"/>
    <xf numFmtId="0" fontId="26" fillId="23" borderId="228" applyNumberFormat="0" applyAlignment="0" applyProtection="0"/>
    <xf numFmtId="49" fontId="4" fillId="0" borderId="232" applyNumberFormat="0" applyFont="0" applyFill="0" applyBorder="0" applyProtection="0">
      <alignment horizontal="left" vertical="center" indent="2"/>
    </xf>
    <xf numFmtId="0" fontId="23" fillId="7" borderId="229" applyNumberFormat="0" applyAlignment="0" applyProtection="0"/>
    <xf numFmtId="4" fontId="4" fillId="0" borderId="232" applyFill="0" applyBorder="0" applyProtection="0">
      <alignment horizontal="right" vertical="center"/>
    </xf>
    <xf numFmtId="0" fontId="54" fillId="23" borderId="229" applyNumberFormat="0" applyAlignment="0" applyProtection="0"/>
    <xf numFmtId="0" fontId="68" fillId="0" borderId="230" applyNumberFormat="0" applyFill="0" applyAlignment="0" applyProtection="0"/>
    <xf numFmtId="0" fontId="66" fillId="23" borderId="228" applyNumberFormat="0" applyAlignment="0" applyProtection="0"/>
    <xf numFmtId="0" fontId="4" fillId="0" borderId="232" applyNumberFormat="0" applyFill="0" applyAlignment="0" applyProtection="0"/>
    <xf numFmtId="4" fontId="4" fillId="0" borderId="232">
      <alignment horizontal="right" vertical="center"/>
    </xf>
    <xf numFmtId="0" fontId="4" fillId="0" borderId="232">
      <alignment horizontal="right" vertical="center"/>
    </xf>
    <xf numFmtId="0" fontId="62" fillId="7" borderId="229" applyNumberFormat="0" applyAlignment="0" applyProtection="0"/>
    <xf numFmtId="0" fontId="26" fillId="23" borderId="228" applyNumberFormat="0" applyAlignment="0" applyProtection="0"/>
    <xf numFmtId="0" fontId="16" fillId="23" borderId="229" applyNumberFormat="0" applyAlignment="0" applyProtection="0"/>
    <xf numFmtId="0" fontId="4" fillId="22" borderId="235">
      <alignment horizontal="left" vertical="center" wrapText="1" indent="2"/>
    </xf>
    <xf numFmtId="0" fontId="54" fillId="23" borderId="229" applyNumberFormat="0" applyAlignment="0" applyProtection="0"/>
    <xf numFmtId="0" fontId="54" fillId="23" borderId="229" applyNumberFormat="0" applyAlignment="0" applyProtection="0"/>
    <xf numFmtId="4" fontId="6" fillId="22" borderId="233">
      <alignment horizontal="right" vertical="center"/>
    </xf>
    <xf numFmtId="0" fontId="6" fillId="22" borderId="233">
      <alignment horizontal="right" vertical="center"/>
    </xf>
    <xf numFmtId="0" fontId="6" fillId="22" borderId="232">
      <alignment horizontal="right" vertical="center"/>
    </xf>
    <xf numFmtId="4" fontId="9" fillId="21" borderId="232">
      <alignment horizontal="right" vertical="center"/>
    </xf>
    <xf numFmtId="0" fontId="23" fillId="7" borderId="229" applyNumberFormat="0" applyAlignment="0" applyProtection="0"/>
    <xf numFmtId="0" fontId="28" fillId="0" borderId="230" applyNumberFormat="0" applyFill="0" applyAlignment="0" applyProtection="0"/>
    <xf numFmtId="0" fontId="68" fillId="0" borderId="230" applyNumberFormat="0" applyFill="0" applyAlignment="0" applyProtection="0"/>
    <xf numFmtId="0" fontId="51" fillId="28" borderId="231" applyNumberFormat="0" applyFont="0" applyAlignment="0" applyProtection="0"/>
    <xf numFmtId="0" fontId="62" fillId="7" borderId="229" applyNumberFormat="0" applyAlignment="0" applyProtection="0"/>
    <xf numFmtId="49" fontId="8" fillId="0" borderId="232" applyNumberFormat="0" applyFill="0" applyBorder="0" applyProtection="0">
      <alignment horizontal="left" vertical="center"/>
    </xf>
    <xf numFmtId="0" fontId="4" fillId="22" borderId="235">
      <alignment horizontal="left" vertical="center" wrapText="1" indent="2"/>
    </xf>
    <xf numFmtId="0" fontId="54" fillId="23" borderId="229" applyNumberFormat="0" applyAlignment="0" applyProtection="0"/>
    <xf numFmtId="0" fontId="4" fillId="0" borderId="235">
      <alignment horizontal="left" vertical="center" wrapText="1" indent="2"/>
    </xf>
    <xf numFmtId="0" fontId="51" fillId="28" borderId="231" applyNumberFormat="0" applyFont="0" applyAlignment="0" applyProtection="0"/>
    <xf numFmtId="0" fontId="7"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4" fontId="4" fillId="27" borderId="232"/>
    <xf numFmtId="0" fontId="6" fillId="22" borderId="232">
      <alignment horizontal="right" vertical="center"/>
    </xf>
    <xf numFmtId="0" fontId="68" fillId="0" borderId="230" applyNumberFormat="0" applyFill="0" applyAlignment="0" applyProtection="0"/>
    <xf numFmtId="4" fontId="6" fillId="22" borderId="234">
      <alignment horizontal="right" vertical="center"/>
    </xf>
    <xf numFmtId="0" fontId="16" fillId="23" borderId="229" applyNumberFormat="0" applyAlignment="0" applyProtection="0"/>
    <xf numFmtId="0" fontId="6" fillId="22" borderId="233">
      <alignment horizontal="right" vertical="center"/>
    </xf>
    <xf numFmtId="0" fontId="54" fillId="23" borderId="229" applyNumberFormat="0" applyAlignment="0" applyProtection="0"/>
    <xf numFmtId="0" fontId="28" fillId="0" borderId="230" applyNumberFormat="0" applyFill="0" applyAlignment="0" applyProtection="0"/>
    <xf numFmtId="0" fontId="51" fillId="28" borderId="231" applyNumberFormat="0" applyFont="0" applyAlignment="0" applyProtection="0"/>
    <xf numFmtId="4" fontId="6" fillId="22" borderId="233">
      <alignment horizontal="right" vertical="center"/>
    </xf>
    <xf numFmtId="0" fontId="4" fillId="22" borderId="235">
      <alignment horizontal="left" vertical="center" wrapText="1" indent="2"/>
    </xf>
    <xf numFmtId="0" fontId="4" fillId="27" borderId="232"/>
    <xf numFmtId="178" fontId="4" fillId="29" borderId="232" applyNumberFormat="0" applyFont="0" applyBorder="0" applyAlignment="0" applyProtection="0">
      <alignment horizontal="right" vertical="center"/>
    </xf>
    <xf numFmtId="0" fontId="4" fillId="0" borderId="232" applyNumberFormat="0" applyFill="0" applyAlignment="0" applyProtection="0"/>
    <xf numFmtId="4" fontId="4" fillId="0" borderId="232" applyFill="0" applyBorder="0" applyProtection="0">
      <alignment horizontal="right" vertical="center"/>
    </xf>
    <xf numFmtId="4" fontId="6" fillId="21" borderId="232">
      <alignment horizontal="right" vertical="center"/>
    </xf>
    <xf numFmtId="0" fontId="28" fillId="0" borderId="230" applyNumberFormat="0" applyFill="0" applyAlignment="0" applyProtection="0"/>
    <xf numFmtId="49" fontId="8" fillId="0" borderId="232" applyNumberFormat="0" applyFill="0" applyBorder="0" applyProtection="0">
      <alignment horizontal="left" vertical="center"/>
    </xf>
    <xf numFmtId="49" fontId="4" fillId="0" borderId="233" applyNumberFormat="0" applyFont="0" applyFill="0" applyBorder="0" applyProtection="0">
      <alignment horizontal="left" vertical="center" indent="5"/>
    </xf>
    <xf numFmtId="0" fontId="4" fillId="21" borderId="233">
      <alignment horizontal="left" vertical="center"/>
    </xf>
    <xf numFmtId="0" fontId="54" fillId="23" borderId="229" applyNumberFormat="0" applyAlignment="0" applyProtection="0"/>
    <xf numFmtId="4" fontId="6" fillId="22" borderId="234">
      <alignment horizontal="right" vertical="center"/>
    </xf>
    <xf numFmtId="0" fontId="62" fillId="7" borderId="229" applyNumberFormat="0" applyAlignment="0" applyProtection="0"/>
    <xf numFmtId="0" fontId="62" fillId="7" borderId="229" applyNumberFormat="0" applyAlignment="0" applyProtection="0"/>
    <xf numFmtId="0" fontId="51" fillId="28" borderId="231" applyNumberFormat="0" applyFont="0" applyAlignment="0" applyProtection="0"/>
    <xf numFmtId="0" fontId="66" fillId="23" borderId="228" applyNumberFormat="0" applyAlignment="0" applyProtection="0"/>
    <xf numFmtId="0" fontId="68" fillId="0" borderId="230" applyNumberFormat="0" applyFill="0" applyAlignment="0" applyProtection="0"/>
    <xf numFmtId="0" fontId="6" fillId="22" borderId="232">
      <alignment horizontal="right" vertical="center"/>
    </xf>
    <xf numFmtId="0" fontId="7" fillId="28" borderId="231" applyNumberFormat="0" applyFont="0" applyAlignment="0" applyProtection="0"/>
    <xf numFmtId="4" fontId="4" fillId="0" borderId="232">
      <alignment horizontal="right" vertical="center"/>
    </xf>
    <xf numFmtId="0" fontId="68" fillId="0" borderId="230" applyNumberFormat="0" applyFill="0" applyAlignment="0" applyProtection="0"/>
    <xf numFmtId="0" fontId="6" fillId="22" borderId="232">
      <alignment horizontal="right" vertical="center"/>
    </xf>
    <xf numFmtId="0" fontId="6" fillId="22" borderId="232">
      <alignment horizontal="right" vertical="center"/>
    </xf>
    <xf numFmtId="4" fontId="9" fillId="21" borderId="232">
      <alignment horizontal="right" vertical="center"/>
    </xf>
    <xf numFmtId="0" fontId="6" fillId="21" borderId="232">
      <alignment horizontal="right" vertical="center"/>
    </xf>
    <xf numFmtId="4" fontId="6" fillId="21" borderId="232">
      <alignment horizontal="right" vertical="center"/>
    </xf>
    <xf numFmtId="0" fontId="9" fillId="21" borderId="232">
      <alignment horizontal="right" vertical="center"/>
    </xf>
    <xf numFmtId="4" fontId="9" fillId="21" borderId="232">
      <alignment horizontal="right" vertical="center"/>
    </xf>
    <xf numFmtId="0" fontId="6" fillId="22" borderId="232">
      <alignment horizontal="right" vertical="center"/>
    </xf>
    <xf numFmtId="4" fontId="6" fillId="22" borderId="232">
      <alignment horizontal="right" vertical="center"/>
    </xf>
    <xf numFmtId="0" fontId="6" fillId="22" borderId="232">
      <alignment horizontal="right" vertical="center"/>
    </xf>
    <xf numFmtId="4" fontId="6" fillId="22" borderId="232">
      <alignment horizontal="right" vertical="center"/>
    </xf>
    <xf numFmtId="0" fontId="6" fillId="22" borderId="233">
      <alignment horizontal="right" vertical="center"/>
    </xf>
    <xf numFmtId="4" fontId="6" fillId="22" borderId="233">
      <alignment horizontal="right" vertical="center"/>
    </xf>
    <xf numFmtId="0" fontId="6" fillId="22" borderId="234">
      <alignment horizontal="right" vertical="center"/>
    </xf>
    <xf numFmtId="4" fontId="6" fillId="22" borderId="234">
      <alignment horizontal="right" vertical="center"/>
    </xf>
    <xf numFmtId="0" fontId="54" fillId="23" borderId="229" applyNumberFormat="0" applyAlignment="0" applyProtection="0"/>
    <xf numFmtId="0" fontId="4" fillId="22" borderId="235">
      <alignment horizontal="left" vertical="center" wrapText="1" indent="2"/>
    </xf>
    <xf numFmtId="0" fontId="4" fillId="0" borderId="235">
      <alignment horizontal="left" vertical="center" wrapText="1" indent="2"/>
    </xf>
    <xf numFmtId="0" fontId="4" fillId="21" borderId="233">
      <alignment horizontal="left" vertical="center"/>
    </xf>
    <xf numFmtId="0" fontId="62" fillId="7" borderId="229" applyNumberFormat="0" applyAlignment="0" applyProtection="0"/>
    <xf numFmtId="0" fontId="4" fillId="0" borderId="232">
      <alignment horizontal="right" vertical="center"/>
    </xf>
    <xf numFmtId="4" fontId="4" fillId="0" borderId="232">
      <alignment horizontal="right" vertical="center"/>
    </xf>
    <xf numFmtId="0" fontId="4" fillId="0" borderId="232" applyNumberFormat="0" applyFill="0" applyAlignment="0" applyProtection="0"/>
    <xf numFmtId="0" fontId="66" fillId="23" borderId="228" applyNumberFormat="0" applyAlignment="0" applyProtection="0"/>
    <xf numFmtId="178" fontId="4" fillId="29" borderId="232" applyNumberFormat="0" applyFont="0" applyBorder="0" applyAlignment="0" applyProtection="0">
      <alignment horizontal="right" vertical="center"/>
    </xf>
    <xf numFmtId="0" fontId="4" fillId="27" borderId="232"/>
    <xf numFmtId="4" fontId="4" fillId="27" borderId="232"/>
    <xf numFmtId="0" fontId="68" fillId="0" borderId="230" applyNumberFormat="0" applyFill="0" applyAlignment="0" applyProtection="0"/>
    <xf numFmtId="0" fontId="7" fillId="28" borderId="231" applyNumberFormat="0" applyFont="0" applyAlignment="0" applyProtection="0"/>
    <xf numFmtId="0" fontId="51" fillId="28" borderId="231" applyNumberFormat="0" applyFont="0" applyAlignment="0" applyProtection="0"/>
    <xf numFmtId="0" fontId="4" fillId="0" borderId="232" applyNumberFormat="0" applyFill="0" applyAlignment="0" applyProtection="0"/>
    <xf numFmtId="0" fontId="28" fillId="0" borderId="230" applyNumberFormat="0" applyFill="0" applyAlignment="0" applyProtection="0"/>
    <xf numFmtId="0" fontId="68" fillId="0" borderId="230" applyNumberFormat="0" applyFill="0" applyAlignment="0" applyProtection="0"/>
    <xf numFmtId="0" fontId="23" fillId="7" borderId="229" applyNumberFormat="0" applyAlignment="0" applyProtection="0"/>
    <xf numFmtId="0" fontId="54" fillId="23" borderId="229" applyNumberFormat="0" applyAlignment="0" applyProtection="0"/>
    <xf numFmtId="4" fontId="9" fillId="21" borderId="232">
      <alignment horizontal="right" vertical="center"/>
    </xf>
    <xf numFmtId="0" fontId="6" fillId="21" borderId="232">
      <alignment horizontal="right" vertical="center"/>
    </xf>
    <xf numFmtId="178" fontId="4" fillId="29" borderId="232" applyNumberFormat="0" applyFont="0" applyBorder="0" applyAlignment="0" applyProtection="0">
      <alignment horizontal="right" vertical="center"/>
    </xf>
    <xf numFmtId="0" fontId="28" fillId="0" borderId="230" applyNumberFormat="0" applyFill="0" applyAlignment="0" applyProtection="0"/>
    <xf numFmtId="49" fontId="4" fillId="0" borderId="232" applyNumberFormat="0" applyFont="0" applyFill="0" applyBorder="0" applyProtection="0">
      <alignment horizontal="left" vertical="center" indent="2"/>
    </xf>
    <xf numFmtId="49" fontId="4" fillId="0" borderId="233" applyNumberFormat="0" applyFont="0" applyFill="0" applyBorder="0" applyProtection="0">
      <alignment horizontal="left" vertical="center" indent="5"/>
    </xf>
    <xf numFmtId="49" fontId="4" fillId="0" borderId="232" applyNumberFormat="0" applyFont="0" applyFill="0" applyBorder="0" applyProtection="0">
      <alignment horizontal="left" vertical="center" indent="2"/>
    </xf>
    <xf numFmtId="4" fontId="4" fillId="0" borderId="232" applyFill="0" applyBorder="0" applyProtection="0">
      <alignment horizontal="right" vertical="center"/>
    </xf>
    <xf numFmtId="49" fontId="8" fillId="0" borderId="232" applyNumberFormat="0" applyFill="0" applyBorder="0" applyProtection="0">
      <alignment horizontal="left" vertical="center"/>
    </xf>
    <xf numFmtId="0" fontId="4" fillId="0" borderId="235">
      <alignment horizontal="left" vertical="center" wrapText="1" indent="2"/>
    </xf>
    <xf numFmtId="0" fontId="66" fillId="23" borderId="228" applyNumberFormat="0" applyAlignment="0" applyProtection="0"/>
    <xf numFmtId="0" fontId="6" fillId="22" borderId="234">
      <alignment horizontal="right" vertical="center"/>
    </xf>
    <xf numFmtId="0" fontId="23" fillId="7" borderId="229" applyNumberFormat="0" applyAlignment="0" applyProtection="0"/>
    <xf numFmtId="0" fontId="6" fillId="22" borderId="234">
      <alignment horizontal="right" vertical="center"/>
    </xf>
    <xf numFmtId="4" fontId="6" fillId="22" borderId="232">
      <alignment horizontal="right" vertical="center"/>
    </xf>
    <xf numFmtId="0" fontId="6" fillId="22" borderId="232">
      <alignment horizontal="right" vertical="center"/>
    </xf>
    <xf numFmtId="0" fontId="26" fillId="23" borderId="228" applyNumberFormat="0" applyAlignment="0" applyProtection="0"/>
    <xf numFmtId="0" fontId="16" fillId="23" borderId="229" applyNumberFormat="0" applyAlignment="0" applyProtection="0"/>
    <xf numFmtId="0" fontId="28" fillId="0" borderId="230" applyNumberFormat="0" applyFill="0" applyAlignment="0" applyProtection="0"/>
    <xf numFmtId="0" fontId="4" fillId="27" borderId="232"/>
    <xf numFmtId="4" fontId="4" fillId="27" borderId="232"/>
    <xf numFmtId="4" fontId="6" fillId="22" borderId="232">
      <alignment horizontal="right" vertical="center"/>
    </xf>
    <xf numFmtId="0" fontId="9" fillId="21" borderId="232">
      <alignment horizontal="right" vertical="center"/>
    </xf>
    <xf numFmtId="0" fontId="23" fillId="7" borderId="229" applyNumberFormat="0" applyAlignment="0" applyProtection="0"/>
    <xf numFmtId="0" fontId="54" fillId="23" borderId="229" applyNumberFormat="0" applyAlignment="0" applyProtection="0"/>
    <xf numFmtId="4" fontId="4" fillId="0" borderId="232">
      <alignment horizontal="right" vertical="center"/>
    </xf>
    <xf numFmtId="0" fontId="4" fillId="22" borderId="235">
      <alignment horizontal="left" vertical="center" wrapText="1" indent="2"/>
    </xf>
    <xf numFmtId="0" fontId="4" fillId="0" borderId="235">
      <alignment horizontal="left" vertical="center" wrapText="1" indent="2"/>
    </xf>
    <xf numFmtId="0" fontId="66" fillId="23" borderId="228" applyNumberFormat="0" applyAlignment="0" applyProtection="0"/>
    <xf numFmtId="0" fontId="62" fillId="7" borderId="229" applyNumberFormat="0" applyAlignment="0" applyProtection="0"/>
    <xf numFmtId="0" fontId="16" fillId="23" borderId="229" applyNumberFormat="0" applyAlignment="0" applyProtection="0"/>
    <xf numFmtId="0" fontId="26" fillId="23" borderId="228" applyNumberFormat="0" applyAlignment="0" applyProtection="0"/>
    <xf numFmtId="0" fontId="6" fillId="22" borderId="234">
      <alignment horizontal="right" vertical="center"/>
    </xf>
    <xf numFmtId="0" fontId="9" fillId="21" borderId="232">
      <alignment horizontal="right" vertical="center"/>
    </xf>
    <xf numFmtId="4" fontId="6" fillId="21" borderId="232">
      <alignment horizontal="right" vertical="center"/>
    </xf>
    <xf numFmtId="4" fontId="6" fillId="22" borderId="232">
      <alignment horizontal="right" vertical="center"/>
    </xf>
    <xf numFmtId="49" fontId="4" fillId="0" borderId="233" applyNumberFormat="0" applyFont="0" applyFill="0" applyBorder="0" applyProtection="0">
      <alignment horizontal="left" vertical="center" indent="5"/>
    </xf>
    <xf numFmtId="4" fontId="4" fillId="0" borderId="232" applyFill="0" applyBorder="0" applyProtection="0">
      <alignment horizontal="right" vertical="center"/>
    </xf>
    <xf numFmtId="4" fontId="6" fillId="21" borderId="232">
      <alignment horizontal="right" vertical="center"/>
    </xf>
    <xf numFmtId="0" fontId="62" fillId="7" borderId="229" applyNumberFormat="0" applyAlignment="0" applyProtection="0"/>
    <xf numFmtId="0" fontId="23" fillId="7" borderId="229" applyNumberFormat="0" applyAlignment="0" applyProtection="0"/>
    <xf numFmtId="0" fontId="16" fillId="23" borderId="229" applyNumberFormat="0" applyAlignment="0" applyProtection="0"/>
    <xf numFmtId="0" fontId="4" fillId="22" borderId="235">
      <alignment horizontal="left" vertical="center" wrapText="1" indent="2"/>
    </xf>
    <xf numFmtId="0" fontId="4" fillId="0" borderId="235">
      <alignment horizontal="left" vertical="center" wrapText="1" indent="2"/>
    </xf>
    <xf numFmtId="0" fontId="4" fillId="22" borderId="235">
      <alignment horizontal="left" vertical="center" wrapText="1" indent="2"/>
    </xf>
    <xf numFmtId="0" fontId="23" fillId="7" borderId="237" applyNumberFormat="0" applyAlignment="0" applyProtection="0"/>
    <xf numFmtId="0" fontId="4" fillId="22" borderId="243">
      <alignment horizontal="left" vertical="center" wrapText="1" indent="2"/>
    </xf>
    <xf numFmtId="0" fontId="4" fillId="0" borderId="243">
      <alignment horizontal="left" vertical="center" wrapText="1" indent="2"/>
    </xf>
    <xf numFmtId="4" fontId="6" fillId="22" borderId="240">
      <alignment horizontal="right" vertical="center"/>
    </xf>
    <xf numFmtId="0" fontId="4" fillId="27" borderId="240"/>
    <xf numFmtId="0" fontId="16" fillId="23" borderId="237" applyNumberFormat="0" applyAlignment="0" applyProtection="0"/>
    <xf numFmtId="0" fontId="6" fillId="21" borderId="240">
      <alignment horizontal="right" vertical="center"/>
    </xf>
    <xf numFmtId="0" fontId="4" fillId="0" borderId="240">
      <alignment horizontal="right" vertical="center"/>
    </xf>
    <xf numFmtId="0" fontId="68" fillId="0" borderId="238" applyNumberFormat="0" applyFill="0" applyAlignment="0" applyProtection="0"/>
    <xf numFmtId="0" fontId="4" fillId="21" borderId="241">
      <alignment horizontal="left" vertical="center"/>
    </xf>
    <xf numFmtId="0" fontId="62" fillId="7" borderId="237" applyNumberFormat="0" applyAlignment="0" applyProtection="0"/>
    <xf numFmtId="178" fontId="4" fillId="29" borderId="240" applyNumberFormat="0" applyFont="0" applyBorder="0" applyAlignment="0" applyProtection="0">
      <alignment horizontal="right" vertical="center"/>
    </xf>
    <xf numFmtId="0" fontId="51" fillId="28" borderId="239" applyNumberFormat="0" applyFont="0" applyAlignment="0" applyProtection="0"/>
    <xf numFmtId="0" fontId="4" fillId="0" borderId="243">
      <alignment horizontal="left" vertical="center" wrapText="1" indent="2"/>
    </xf>
    <xf numFmtId="4" fontId="4" fillId="27" borderId="240"/>
    <xf numFmtId="49" fontId="8" fillId="0" borderId="240" applyNumberFormat="0" applyFill="0" applyBorder="0" applyProtection="0">
      <alignment horizontal="left" vertical="center"/>
    </xf>
    <xf numFmtId="0" fontId="4" fillId="0" borderId="240">
      <alignment horizontal="right" vertical="center"/>
    </xf>
    <xf numFmtId="4" fontId="6" fillId="22" borderId="242">
      <alignment horizontal="right" vertical="center"/>
    </xf>
    <xf numFmtId="4" fontId="6" fillId="22" borderId="240">
      <alignment horizontal="right" vertical="center"/>
    </xf>
    <xf numFmtId="4" fontId="6" fillId="22" borderId="240">
      <alignment horizontal="right" vertical="center"/>
    </xf>
    <xf numFmtId="0" fontId="9" fillId="21" borderId="240">
      <alignment horizontal="right" vertical="center"/>
    </xf>
    <xf numFmtId="0" fontId="6" fillId="21" borderId="240">
      <alignment horizontal="right" vertical="center"/>
    </xf>
    <xf numFmtId="49" fontId="4" fillId="0" borderId="240" applyNumberFormat="0" applyFont="0" applyFill="0" applyBorder="0" applyProtection="0">
      <alignment horizontal="left" vertical="center" indent="2"/>
    </xf>
    <xf numFmtId="0" fontId="62" fillId="7" borderId="237" applyNumberFormat="0" applyAlignment="0" applyProtection="0"/>
    <xf numFmtId="0" fontId="26" fillId="23" borderId="236" applyNumberFormat="0" applyAlignment="0" applyProtection="0"/>
    <xf numFmtId="49" fontId="4" fillId="0" borderId="240" applyNumberFormat="0" applyFont="0" applyFill="0" applyBorder="0" applyProtection="0">
      <alignment horizontal="left" vertical="center" indent="2"/>
    </xf>
    <xf numFmtId="0" fontId="23" fillId="7" borderId="237" applyNumberFormat="0" applyAlignment="0" applyProtection="0"/>
    <xf numFmtId="4" fontId="4" fillId="0" borderId="240" applyFill="0" applyBorder="0" applyProtection="0">
      <alignment horizontal="right" vertical="center"/>
    </xf>
    <xf numFmtId="0" fontId="54" fillId="23" borderId="237" applyNumberFormat="0" applyAlignment="0" applyProtection="0"/>
    <xf numFmtId="0" fontId="68" fillId="0" borderId="238" applyNumberFormat="0" applyFill="0" applyAlignment="0" applyProtection="0"/>
    <xf numFmtId="0" fontId="66" fillId="23" borderId="236" applyNumberFormat="0" applyAlignment="0" applyProtection="0"/>
    <xf numFmtId="0" fontId="4" fillId="0" borderId="240" applyNumberFormat="0" applyFill="0" applyAlignment="0" applyProtection="0"/>
    <xf numFmtId="4" fontId="4" fillId="0" borderId="240">
      <alignment horizontal="right" vertical="center"/>
    </xf>
    <xf numFmtId="0" fontId="4" fillId="0" borderId="240">
      <alignment horizontal="right" vertical="center"/>
    </xf>
    <xf numFmtId="0" fontId="62" fillId="7" borderId="237" applyNumberFormat="0" applyAlignment="0" applyProtection="0"/>
    <xf numFmtId="0" fontId="26" fillId="23" borderId="236" applyNumberFormat="0" applyAlignment="0" applyProtection="0"/>
    <xf numFmtId="0" fontId="16" fillId="23" borderId="237" applyNumberFormat="0" applyAlignment="0" applyProtection="0"/>
    <xf numFmtId="0" fontId="4" fillId="22" borderId="243">
      <alignment horizontal="left" vertical="center" wrapText="1" indent="2"/>
    </xf>
    <xf numFmtId="0" fontId="54" fillId="23" borderId="237" applyNumberFormat="0" applyAlignment="0" applyProtection="0"/>
    <xf numFmtId="0" fontId="54" fillId="23" borderId="237" applyNumberFormat="0" applyAlignment="0" applyProtection="0"/>
    <xf numFmtId="4" fontId="6" fillId="22" borderId="241">
      <alignment horizontal="right" vertical="center"/>
    </xf>
    <xf numFmtId="0" fontId="6" fillId="22" borderId="241">
      <alignment horizontal="right" vertical="center"/>
    </xf>
    <xf numFmtId="0" fontId="6" fillId="22" borderId="240">
      <alignment horizontal="right" vertical="center"/>
    </xf>
    <xf numFmtId="4" fontId="9" fillId="21" borderId="240">
      <alignment horizontal="right" vertical="center"/>
    </xf>
    <xf numFmtId="0" fontId="23" fillId="7" borderId="237" applyNumberFormat="0" applyAlignment="0" applyProtection="0"/>
    <xf numFmtId="0" fontId="28" fillId="0" borderId="238" applyNumberFormat="0" applyFill="0" applyAlignment="0" applyProtection="0"/>
    <xf numFmtId="0" fontId="68" fillId="0" borderId="238" applyNumberFormat="0" applyFill="0" applyAlignment="0" applyProtection="0"/>
    <xf numFmtId="0" fontId="51" fillId="28" borderId="239" applyNumberFormat="0" applyFont="0" applyAlignment="0" applyProtection="0"/>
    <xf numFmtId="0" fontId="62" fillId="7" borderId="237" applyNumberFormat="0" applyAlignment="0" applyProtection="0"/>
    <xf numFmtId="49" fontId="8" fillId="0" borderId="240" applyNumberFormat="0" applyFill="0" applyBorder="0" applyProtection="0">
      <alignment horizontal="left" vertical="center"/>
    </xf>
    <xf numFmtId="0" fontId="4" fillId="22" borderId="243">
      <alignment horizontal="left" vertical="center" wrapText="1" indent="2"/>
    </xf>
    <xf numFmtId="0" fontId="54" fillId="23" borderId="237" applyNumberFormat="0" applyAlignment="0" applyProtection="0"/>
    <xf numFmtId="0" fontId="4" fillId="0" borderId="243">
      <alignment horizontal="left" vertical="center" wrapText="1" indent="2"/>
    </xf>
    <xf numFmtId="0" fontId="51" fillId="28" borderId="239" applyNumberFormat="0" applyFont="0" applyAlignment="0" applyProtection="0"/>
    <xf numFmtId="0" fontId="7"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4" fontId="4" fillId="27" borderId="240"/>
    <xf numFmtId="0" fontId="6" fillId="22" borderId="240">
      <alignment horizontal="right" vertical="center"/>
    </xf>
    <xf numFmtId="0" fontId="68" fillId="0" borderId="238" applyNumberFormat="0" applyFill="0" applyAlignment="0" applyProtection="0"/>
    <xf numFmtId="4" fontId="6" fillId="22" borderId="242">
      <alignment horizontal="right" vertical="center"/>
    </xf>
    <xf numFmtId="0" fontId="16" fillId="23" borderId="237" applyNumberFormat="0" applyAlignment="0" applyProtection="0"/>
    <xf numFmtId="0" fontId="6" fillId="22" borderId="241">
      <alignment horizontal="right" vertical="center"/>
    </xf>
    <xf numFmtId="0" fontId="54" fillId="23" borderId="237" applyNumberFormat="0" applyAlignment="0" applyProtection="0"/>
    <xf numFmtId="0" fontId="28" fillId="0" borderId="238" applyNumberFormat="0" applyFill="0" applyAlignment="0" applyProtection="0"/>
    <xf numFmtId="0" fontId="51" fillId="28" borderId="239" applyNumberFormat="0" applyFont="0" applyAlignment="0" applyProtection="0"/>
    <xf numFmtId="4" fontId="6" fillId="22" borderId="241">
      <alignment horizontal="right" vertical="center"/>
    </xf>
    <xf numFmtId="0" fontId="4" fillId="22" borderId="243">
      <alignment horizontal="left" vertical="center" wrapText="1" indent="2"/>
    </xf>
    <xf numFmtId="0" fontId="4" fillId="27" borderId="240"/>
    <xf numFmtId="178" fontId="4" fillId="29" borderId="240" applyNumberFormat="0" applyFont="0" applyBorder="0" applyAlignment="0" applyProtection="0">
      <alignment horizontal="right" vertical="center"/>
    </xf>
    <xf numFmtId="0" fontId="4" fillId="0" borderId="240" applyNumberFormat="0" applyFill="0" applyAlignment="0" applyProtection="0"/>
    <xf numFmtId="4" fontId="4" fillId="0" borderId="240" applyFill="0" applyBorder="0" applyProtection="0">
      <alignment horizontal="right" vertical="center"/>
    </xf>
    <xf numFmtId="4" fontId="6" fillId="21" borderId="240">
      <alignment horizontal="right" vertical="center"/>
    </xf>
    <xf numFmtId="0" fontId="28" fillId="0" borderId="238" applyNumberFormat="0" applyFill="0" applyAlignment="0" applyProtection="0"/>
    <xf numFmtId="49" fontId="8" fillId="0" borderId="240" applyNumberFormat="0" applyFill="0" applyBorder="0" applyProtection="0">
      <alignment horizontal="left" vertical="center"/>
    </xf>
    <xf numFmtId="49" fontId="4" fillId="0" borderId="241" applyNumberFormat="0" applyFont="0" applyFill="0" applyBorder="0" applyProtection="0">
      <alignment horizontal="left" vertical="center" indent="5"/>
    </xf>
    <xf numFmtId="0" fontId="4" fillId="21" borderId="241">
      <alignment horizontal="left" vertical="center"/>
    </xf>
    <xf numFmtId="0" fontId="54" fillId="23" borderId="237" applyNumberFormat="0" applyAlignment="0" applyProtection="0"/>
    <xf numFmtId="4" fontId="6" fillId="22" borderId="242">
      <alignment horizontal="right" vertical="center"/>
    </xf>
    <xf numFmtId="0" fontId="62" fillId="7" borderId="237" applyNumberFormat="0" applyAlignment="0" applyProtection="0"/>
    <xf numFmtId="0" fontId="62" fillId="7" borderId="237" applyNumberFormat="0" applyAlignment="0" applyProtection="0"/>
    <xf numFmtId="0" fontId="51"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0" fontId="6" fillId="22" borderId="240">
      <alignment horizontal="right" vertical="center"/>
    </xf>
    <xf numFmtId="0" fontId="7" fillId="28" borderId="239" applyNumberFormat="0" applyFont="0" applyAlignment="0" applyProtection="0"/>
    <xf numFmtId="4" fontId="4" fillId="0" borderId="240">
      <alignment horizontal="right" vertical="center"/>
    </xf>
    <xf numFmtId="0" fontId="68" fillId="0" borderId="238" applyNumberFormat="0" applyFill="0" applyAlignment="0" applyProtection="0"/>
    <xf numFmtId="0" fontId="6" fillId="22" borderId="240">
      <alignment horizontal="right" vertical="center"/>
    </xf>
    <xf numFmtId="0" fontId="6" fillId="22" borderId="240">
      <alignment horizontal="right" vertical="center"/>
    </xf>
    <xf numFmtId="4" fontId="9" fillId="21" borderId="240">
      <alignment horizontal="right" vertical="center"/>
    </xf>
    <xf numFmtId="0" fontId="6" fillId="21" borderId="240">
      <alignment horizontal="right" vertical="center"/>
    </xf>
    <xf numFmtId="4" fontId="6" fillId="21" borderId="240">
      <alignment horizontal="right" vertical="center"/>
    </xf>
    <xf numFmtId="0" fontId="9" fillId="21" borderId="240">
      <alignment horizontal="right" vertical="center"/>
    </xf>
    <xf numFmtId="4" fontId="9" fillId="21" borderId="240">
      <alignment horizontal="right" vertical="center"/>
    </xf>
    <xf numFmtId="0" fontId="6" fillId="22" borderId="240">
      <alignment horizontal="right" vertical="center"/>
    </xf>
    <xf numFmtId="4" fontId="6" fillId="22" borderId="240">
      <alignment horizontal="right" vertical="center"/>
    </xf>
    <xf numFmtId="0" fontId="6" fillId="22" borderId="240">
      <alignment horizontal="right" vertical="center"/>
    </xf>
    <xf numFmtId="4" fontId="6" fillId="22" borderId="240">
      <alignment horizontal="right" vertical="center"/>
    </xf>
    <xf numFmtId="0" fontId="6" fillId="22" borderId="241">
      <alignment horizontal="right" vertical="center"/>
    </xf>
    <xf numFmtId="4" fontId="6" fillId="22" borderId="241">
      <alignment horizontal="right" vertical="center"/>
    </xf>
    <xf numFmtId="0" fontId="6" fillId="22" borderId="242">
      <alignment horizontal="right" vertical="center"/>
    </xf>
    <xf numFmtId="4" fontId="6" fillId="22" borderId="242">
      <alignment horizontal="right" vertical="center"/>
    </xf>
    <xf numFmtId="0" fontId="54" fillId="23" borderId="237" applyNumberFormat="0" applyAlignment="0" applyProtection="0"/>
    <xf numFmtId="0" fontId="4" fillId="22" borderId="243">
      <alignment horizontal="left" vertical="center" wrapText="1" indent="2"/>
    </xf>
    <xf numFmtId="0" fontId="4" fillId="0" borderId="243">
      <alignment horizontal="left" vertical="center" wrapText="1" indent="2"/>
    </xf>
    <xf numFmtId="0" fontId="4" fillId="21" borderId="241">
      <alignment horizontal="left" vertical="center"/>
    </xf>
    <xf numFmtId="0" fontId="62" fillId="7" borderId="237" applyNumberFormat="0" applyAlignment="0" applyProtection="0"/>
    <xf numFmtId="0" fontId="4" fillId="0" borderId="240">
      <alignment horizontal="right" vertical="center"/>
    </xf>
    <xf numFmtId="4" fontId="4" fillId="0" borderId="240">
      <alignment horizontal="right" vertical="center"/>
    </xf>
    <xf numFmtId="0" fontId="4" fillId="0" borderId="240" applyNumberFormat="0" applyFill="0" applyAlignment="0" applyProtection="0"/>
    <xf numFmtId="0" fontId="66" fillId="23" borderId="236" applyNumberFormat="0" applyAlignment="0" applyProtection="0"/>
    <xf numFmtId="178" fontId="4" fillId="29" borderId="240" applyNumberFormat="0" applyFont="0" applyBorder="0" applyAlignment="0" applyProtection="0">
      <alignment horizontal="right" vertical="center"/>
    </xf>
    <xf numFmtId="0" fontId="4" fillId="27" borderId="240"/>
    <xf numFmtId="4" fontId="4" fillId="27" borderId="240"/>
    <xf numFmtId="0" fontId="68" fillId="0" borderId="238" applyNumberFormat="0" applyFill="0" applyAlignment="0" applyProtection="0"/>
    <xf numFmtId="0" fontId="7" fillId="28" borderId="239" applyNumberFormat="0" applyFont="0" applyAlignment="0" applyProtection="0"/>
    <xf numFmtId="0" fontId="51" fillId="28" borderId="239" applyNumberFormat="0" applyFont="0" applyAlignment="0" applyProtection="0"/>
    <xf numFmtId="0" fontId="4" fillId="0" borderId="240" applyNumberFormat="0" applyFill="0" applyAlignment="0" applyProtection="0"/>
    <xf numFmtId="0" fontId="28" fillId="0" borderId="238" applyNumberFormat="0" applyFill="0" applyAlignment="0" applyProtection="0"/>
    <xf numFmtId="0" fontId="68" fillId="0" borderId="238" applyNumberFormat="0" applyFill="0" applyAlignment="0" applyProtection="0"/>
    <xf numFmtId="0" fontId="23" fillId="7" borderId="237" applyNumberFormat="0" applyAlignment="0" applyProtection="0"/>
    <xf numFmtId="0" fontId="54" fillId="23" borderId="237" applyNumberFormat="0" applyAlignment="0" applyProtection="0"/>
    <xf numFmtId="4" fontId="9" fillId="21" borderId="240">
      <alignment horizontal="right" vertical="center"/>
    </xf>
    <xf numFmtId="0" fontId="6" fillId="21" borderId="240">
      <alignment horizontal="right" vertical="center"/>
    </xf>
    <xf numFmtId="178" fontId="4" fillId="29" borderId="240" applyNumberFormat="0" applyFont="0" applyBorder="0" applyAlignment="0" applyProtection="0">
      <alignment horizontal="right" vertical="center"/>
    </xf>
    <xf numFmtId="0" fontId="28" fillId="0" borderId="238" applyNumberFormat="0" applyFill="0" applyAlignment="0" applyProtection="0"/>
    <xf numFmtId="49" fontId="4" fillId="0" borderId="240" applyNumberFormat="0" applyFont="0" applyFill="0" applyBorder="0" applyProtection="0">
      <alignment horizontal="left" vertical="center" indent="2"/>
    </xf>
    <xf numFmtId="49" fontId="4" fillId="0" borderId="241" applyNumberFormat="0" applyFont="0" applyFill="0" applyBorder="0" applyProtection="0">
      <alignment horizontal="left" vertical="center" indent="5"/>
    </xf>
    <xf numFmtId="49" fontId="4" fillId="0" borderId="240" applyNumberFormat="0" applyFont="0" applyFill="0" applyBorder="0" applyProtection="0">
      <alignment horizontal="left" vertical="center" indent="2"/>
    </xf>
    <xf numFmtId="4" fontId="4" fillId="0" borderId="240" applyFill="0" applyBorder="0" applyProtection="0">
      <alignment horizontal="right" vertical="center"/>
    </xf>
    <xf numFmtId="49" fontId="8" fillId="0" borderId="240" applyNumberFormat="0" applyFill="0" applyBorder="0" applyProtection="0">
      <alignment horizontal="left" vertical="center"/>
    </xf>
    <xf numFmtId="0" fontId="4" fillId="0" borderId="243">
      <alignment horizontal="left" vertical="center" wrapText="1" indent="2"/>
    </xf>
    <xf numFmtId="0" fontId="66" fillId="23" borderId="236" applyNumberFormat="0" applyAlignment="0" applyProtection="0"/>
    <xf numFmtId="0" fontId="6" fillId="22" borderId="242">
      <alignment horizontal="right" vertical="center"/>
    </xf>
    <xf numFmtId="0" fontId="23" fillId="7" borderId="237" applyNumberFormat="0" applyAlignment="0" applyProtection="0"/>
    <xf numFmtId="0" fontId="6" fillId="22" borderId="242">
      <alignment horizontal="right" vertical="center"/>
    </xf>
    <xf numFmtId="4" fontId="6" fillId="22" borderId="240">
      <alignment horizontal="right" vertical="center"/>
    </xf>
    <xf numFmtId="0" fontId="6" fillId="22" borderId="240">
      <alignment horizontal="right" vertical="center"/>
    </xf>
    <xf numFmtId="0" fontId="26" fillId="23" borderId="236" applyNumberFormat="0" applyAlignment="0" applyProtection="0"/>
    <xf numFmtId="0" fontId="16" fillId="23" borderId="237" applyNumberFormat="0" applyAlignment="0" applyProtection="0"/>
    <xf numFmtId="0" fontId="28" fillId="0" borderId="238" applyNumberFormat="0" applyFill="0" applyAlignment="0" applyProtection="0"/>
    <xf numFmtId="0" fontId="4" fillId="27" borderId="240"/>
    <xf numFmtId="4" fontId="4" fillId="27" borderId="240"/>
    <xf numFmtId="4" fontId="6" fillId="22" borderId="240">
      <alignment horizontal="right" vertical="center"/>
    </xf>
    <xf numFmtId="0" fontId="9" fillId="21" borderId="240">
      <alignment horizontal="right" vertical="center"/>
    </xf>
    <xf numFmtId="0" fontId="23" fillId="7" borderId="237" applyNumberFormat="0" applyAlignment="0" applyProtection="0"/>
    <xf numFmtId="0" fontId="54" fillId="23" borderId="237" applyNumberFormat="0" applyAlignment="0" applyProtection="0"/>
    <xf numFmtId="4" fontId="4" fillId="0" borderId="240">
      <alignment horizontal="right" vertical="center"/>
    </xf>
    <xf numFmtId="0" fontId="4" fillId="22" borderId="243">
      <alignment horizontal="left" vertical="center" wrapText="1" indent="2"/>
    </xf>
    <xf numFmtId="0" fontId="4" fillId="0" borderId="243">
      <alignment horizontal="left" vertical="center" wrapText="1" indent="2"/>
    </xf>
    <xf numFmtId="0" fontId="66" fillId="23" borderId="236" applyNumberFormat="0" applyAlignment="0" applyProtection="0"/>
    <xf numFmtId="0" fontId="62" fillId="7" borderId="237" applyNumberFormat="0" applyAlignment="0" applyProtection="0"/>
    <xf numFmtId="0" fontId="16" fillId="23" borderId="237" applyNumberFormat="0" applyAlignment="0" applyProtection="0"/>
    <xf numFmtId="0" fontId="26" fillId="23" borderId="236" applyNumberFormat="0" applyAlignment="0" applyProtection="0"/>
    <xf numFmtId="0" fontId="6" fillId="22" borderId="242">
      <alignment horizontal="right" vertical="center"/>
    </xf>
    <xf numFmtId="0" fontId="9" fillId="21" borderId="240">
      <alignment horizontal="right" vertical="center"/>
    </xf>
    <xf numFmtId="4" fontId="6" fillId="21" borderId="240">
      <alignment horizontal="right" vertical="center"/>
    </xf>
    <xf numFmtId="4" fontId="6" fillId="22" borderId="240">
      <alignment horizontal="right" vertical="center"/>
    </xf>
    <xf numFmtId="49" fontId="4" fillId="0" borderId="241" applyNumberFormat="0" applyFont="0" applyFill="0" applyBorder="0" applyProtection="0">
      <alignment horizontal="left" vertical="center" indent="5"/>
    </xf>
    <xf numFmtId="4" fontId="4" fillId="0" borderId="240" applyFill="0" applyBorder="0" applyProtection="0">
      <alignment horizontal="right" vertical="center"/>
    </xf>
    <xf numFmtId="4" fontId="6" fillId="21" borderId="240">
      <alignment horizontal="right" vertical="center"/>
    </xf>
    <xf numFmtId="0" fontId="62" fillId="7" borderId="237" applyNumberFormat="0" applyAlignment="0" applyProtection="0"/>
    <xf numFmtId="0" fontId="23" fillId="7" borderId="237" applyNumberFormat="0" applyAlignment="0" applyProtection="0"/>
    <xf numFmtId="0" fontId="16" fillId="23" borderId="237" applyNumberFormat="0" applyAlignment="0" applyProtection="0"/>
    <xf numFmtId="0" fontId="4" fillId="22" borderId="243">
      <alignment horizontal="left" vertical="center" wrapText="1" indent="2"/>
    </xf>
    <xf numFmtId="0" fontId="4" fillId="0" borderId="243">
      <alignment horizontal="left" vertical="center" wrapText="1" indent="2"/>
    </xf>
    <xf numFmtId="0" fontId="4" fillId="22" borderId="243">
      <alignment horizontal="left" vertical="center" wrapText="1" indent="2"/>
    </xf>
    <xf numFmtId="0" fontId="4" fillId="0" borderId="243">
      <alignment horizontal="left" vertical="center" wrapText="1" indent="2"/>
    </xf>
    <xf numFmtId="0" fontId="26" fillId="23" borderId="236" applyNumberFormat="0" applyAlignment="0" applyProtection="0"/>
    <xf numFmtId="0" fontId="16" fillId="23" borderId="237" applyNumberFormat="0" applyAlignment="0" applyProtection="0"/>
    <xf numFmtId="0" fontId="54" fillId="23" borderId="237" applyNumberFormat="0" applyAlignment="0" applyProtection="0"/>
    <xf numFmtId="0" fontId="23" fillId="7" borderId="237" applyNumberFormat="0" applyAlignment="0" applyProtection="0"/>
    <xf numFmtId="0" fontId="28" fillId="0" borderId="238" applyNumberFormat="0" applyFill="0" applyAlignment="0" applyProtection="0"/>
    <xf numFmtId="0" fontId="62" fillId="7" borderId="237" applyNumberFormat="0" applyAlignment="0" applyProtection="0"/>
    <xf numFmtId="0" fontId="51" fillId="28" borderId="239" applyNumberFormat="0" applyFont="0" applyAlignment="0" applyProtection="0"/>
    <xf numFmtId="0" fontId="7"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0" fontId="54" fillId="23" borderId="237" applyNumberFormat="0" applyAlignment="0" applyProtection="0"/>
    <xf numFmtId="0" fontId="62" fillId="7" borderId="237" applyNumberFormat="0" applyAlignment="0" applyProtection="0"/>
    <xf numFmtId="0" fontId="51"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0" fontId="54" fillId="23" borderId="237" applyNumberFormat="0" applyAlignment="0" applyProtection="0"/>
    <xf numFmtId="0" fontId="62" fillId="7" borderId="237" applyNumberFormat="0" applyAlignment="0" applyProtection="0"/>
    <xf numFmtId="0" fontId="66" fillId="23" borderId="236" applyNumberFormat="0" applyAlignment="0" applyProtection="0"/>
    <xf numFmtId="0" fontId="68" fillId="0" borderId="238" applyNumberFormat="0" applyFill="0" applyAlignment="0" applyProtection="0"/>
    <xf numFmtId="0" fontId="26" fillId="23" borderId="236" applyNumberFormat="0" applyAlignment="0" applyProtection="0"/>
    <xf numFmtId="0" fontId="16" fillId="23" borderId="237" applyNumberFormat="0" applyAlignment="0" applyProtection="0"/>
    <xf numFmtId="0" fontId="28" fillId="0" borderId="238" applyNumberFormat="0" applyFill="0" applyAlignment="0" applyProtection="0"/>
    <xf numFmtId="49" fontId="4" fillId="0" borderId="240" applyNumberFormat="0" applyFont="0" applyFill="0" applyBorder="0" applyProtection="0">
      <alignment horizontal="left" vertical="center" indent="2"/>
    </xf>
    <xf numFmtId="0" fontId="6" fillId="21" borderId="240">
      <alignment horizontal="right" vertical="center"/>
    </xf>
    <xf numFmtId="4" fontId="6" fillId="21" borderId="240">
      <alignment horizontal="right" vertical="center"/>
    </xf>
    <xf numFmtId="0" fontId="9" fillId="21" borderId="240">
      <alignment horizontal="right" vertical="center"/>
    </xf>
    <xf numFmtId="4" fontId="9" fillId="21" borderId="240">
      <alignment horizontal="right" vertical="center"/>
    </xf>
    <xf numFmtId="0" fontId="6" fillId="22" borderId="240">
      <alignment horizontal="right" vertical="center"/>
    </xf>
    <xf numFmtId="4" fontId="6" fillId="22" borderId="240">
      <alignment horizontal="right" vertical="center"/>
    </xf>
    <xf numFmtId="0" fontId="6" fillId="22" borderId="240">
      <alignment horizontal="right" vertical="center"/>
    </xf>
    <xf numFmtId="4" fontId="6" fillId="22" borderId="240">
      <alignment horizontal="right" vertical="center"/>
    </xf>
    <xf numFmtId="0" fontId="23" fillId="7" borderId="237" applyNumberFormat="0" applyAlignment="0" applyProtection="0"/>
    <xf numFmtId="0" fontId="4" fillId="0" borderId="240">
      <alignment horizontal="right" vertical="center"/>
    </xf>
    <xf numFmtId="4" fontId="4" fillId="0" borderId="240">
      <alignment horizontal="right" vertical="center"/>
    </xf>
    <xf numFmtId="4" fontId="4" fillId="0" borderId="240" applyFill="0" applyBorder="0" applyProtection="0">
      <alignment horizontal="right" vertical="center"/>
    </xf>
    <xf numFmtId="49" fontId="8" fillId="0" borderId="240" applyNumberFormat="0" applyFill="0" applyBorder="0" applyProtection="0">
      <alignment horizontal="left" vertical="center"/>
    </xf>
    <xf numFmtId="0" fontId="4" fillId="0" borderId="240" applyNumberFormat="0" applyFill="0" applyAlignment="0" applyProtection="0"/>
    <xf numFmtId="178" fontId="4" fillId="29" borderId="240" applyNumberFormat="0" applyFont="0" applyBorder="0" applyAlignment="0" applyProtection="0">
      <alignment horizontal="right" vertical="center"/>
    </xf>
    <xf numFmtId="0" fontId="4" fillId="27" borderId="240"/>
    <xf numFmtId="4" fontId="4" fillId="27" borderId="240"/>
    <xf numFmtId="4" fontId="6" fillId="22" borderId="240">
      <alignment horizontal="right" vertical="center"/>
    </xf>
    <xf numFmtId="0" fontId="4" fillId="27" borderId="240"/>
    <xf numFmtId="0" fontId="16" fillId="23" borderId="237" applyNumberFormat="0" applyAlignment="0" applyProtection="0"/>
    <xf numFmtId="0" fontId="6" fillId="21" borderId="240">
      <alignment horizontal="right" vertical="center"/>
    </xf>
    <xf numFmtId="0" fontId="4" fillId="0" borderId="240">
      <alignment horizontal="right" vertical="center"/>
    </xf>
    <xf numFmtId="0" fontId="68" fillId="0" borderId="238" applyNumberFormat="0" applyFill="0" applyAlignment="0" applyProtection="0"/>
    <xf numFmtId="0" fontId="4" fillId="21" borderId="241">
      <alignment horizontal="left" vertical="center"/>
    </xf>
    <xf numFmtId="0" fontId="62" fillId="7" borderId="237" applyNumberFormat="0" applyAlignment="0" applyProtection="0"/>
    <xf numFmtId="178" fontId="4" fillId="29" borderId="240" applyNumberFormat="0" applyFont="0" applyBorder="0" applyAlignment="0" applyProtection="0">
      <alignment horizontal="right" vertical="center"/>
    </xf>
    <xf numFmtId="0" fontId="51" fillId="28" borderId="239" applyNumberFormat="0" applyFont="0" applyAlignment="0" applyProtection="0"/>
    <xf numFmtId="0" fontId="4" fillId="0" borderId="243">
      <alignment horizontal="left" vertical="center" wrapText="1" indent="2"/>
    </xf>
    <xf numFmtId="4" fontId="4" fillId="27" borderId="240"/>
    <xf numFmtId="49" fontId="8" fillId="0" borderId="240" applyNumberFormat="0" applyFill="0" applyBorder="0" applyProtection="0">
      <alignment horizontal="left" vertical="center"/>
    </xf>
    <xf numFmtId="0" fontId="4" fillId="0" borderId="240">
      <alignment horizontal="right" vertical="center"/>
    </xf>
    <xf numFmtId="4" fontId="6" fillId="22" borderId="242">
      <alignment horizontal="right" vertical="center"/>
    </xf>
    <xf numFmtId="4" fontId="6" fillId="22" borderId="240">
      <alignment horizontal="right" vertical="center"/>
    </xf>
    <xf numFmtId="4" fontId="6" fillId="22" borderId="240">
      <alignment horizontal="right" vertical="center"/>
    </xf>
    <xf numFmtId="0" fontId="9" fillId="21" borderId="240">
      <alignment horizontal="right" vertical="center"/>
    </xf>
    <xf numFmtId="0" fontId="6" fillId="21" borderId="240">
      <alignment horizontal="right" vertical="center"/>
    </xf>
    <xf numFmtId="49" fontId="4" fillId="0" borderId="240" applyNumberFormat="0" applyFont="0" applyFill="0" applyBorder="0" applyProtection="0">
      <alignment horizontal="left" vertical="center" indent="2"/>
    </xf>
    <xf numFmtId="0" fontId="62" fillId="7" borderId="237" applyNumberFormat="0" applyAlignment="0" applyProtection="0"/>
    <xf numFmtId="0" fontId="26" fillId="23" borderId="236" applyNumberFormat="0" applyAlignment="0" applyProtection="0"/>
    <xf numFmtId="49" fontId="4" fillId="0" borderId="240" applyNumberFormat="0" applyFont="0" applyFill="0" applyBorder="0" applyProtection="0">
      <alignment horizontal="left" vertical="center" indent="2"/>
    </xf>
    <xf numFmtId="0" fontId="23" fillId="7" borderId="237" applyNumberFormat="0" applyAlignment="0" applyProtection="0"/>
    <xf numFmtId="4" fontId="4" fillId="0" borderId="240" applyFill="0" applyBorder="0" applyProtection="0">
      <alignment horizontal="right" vertical="center"/>
    </xf>
    <xf numFmtId="0" fontId="54" fillId="23" borderId="237" applyNumberFormat="0" applyAlignment="0" applyProtection="0"/>
    <xf numFmtId="0" fontId="68" fillId="0" borderId="238" applyNumberFormat="0" applyFill="0" applyAlignment="0" applyProtection="0"/>
    <xf numFmtId="0" fontId="66" fillId="23" borderId="236" applyNumberFormat="0" applyAlignment="0" applyProtection="0"/>
    <xf numFmtId="0" fontId="4" fillId="0" borderId="240" applyNumberFormat="0" applyFill="0" applyAlignment="0" applyProtection="0"/>
    <xf numFmtId="4" fontId="4" fillId="0" borderId="240">
      <alignment horizontal="right" vertical="center"/>
    </xf>
    <xf numFmtId="0" fontId="4" fillId="0" borderId="240">
      <alignment horizontal="right" vertical="center"/>
    </xf>
    <xf numFmtId="0" fontId="62" fillId="7" borderId="237" applyNumberFormat="0" applyAlignment="0" applyProtection="0"/>
    <xf numFmtId="0" fontId="26" fillId="23" borderId="236" applyNumberFormat="0" applyAlignment="0" applyProtection="0"/>
    <xf numFmtId="0" fontId="16" fillId="23" borderId="237" applyNumberFormat="0" applyAlignment="0" applyProtection="0"/>
    <xf numFmtId="0" fontId="4" fillId="22" borderId="243">
      <alignment horizontal="left" vertical="center" wrapText="1" indent="2"/>
    </xf>
    <xf numFmtId="0" fontId="54" fillId="23" borderId="237" applyNumberFormat="0" applyAlignment="0" applyProtection="0"/>
    <xf numFmtId="0" fontId="54" fillId="23" borderId="237" applyNumberFormat="0" applyAlignment="0" applyProtection="0"/>
    <xf numFmtId="4" fontId="6" fillId="22" borderId="241">
      <alignment horizontal="right" vertical="center"/>
    </xf>
    <xf numFmtId="0" fontId="6" fillId="22" borderId="241">
      <alignment horizontal="right" vertical="center"/>
    </xf>
    <xf numFmtId="0" fontId="6" fillId="22" borderId="240">
      <alignment horizontal="right" vertical="center"/>
    </xf>
    <xf numFmtId="4" fontId="9" fillId="21" borderId="240">
      <alignment horizontal="right" vertical="center"/>
    </xf>
    <xf numFmtId="0" fontId="23" fillId="7" borderId="237" applyNumberFormat="0" applyAlignment="0" applyProtection="0"/>
    <xf numFmtId="0" fontId="28" fillId="0" borderId="238" applyNumberFormat="0" applyFill="0" applyAlignment="0" applyProtection="0"/>
    <xf numFmtId="0" fontId="68" fillId="0" borderId="238" applyNumberFormat="0" applyFill="0" applyAlignment="0" applyProtection="0"/>
    <xf numFmtId="0" fontId="51" fillId="28" borderId="239" applyNumberFormat="0" applyFont="0" applyAlignment="0" applyProtection="0"/>
    <xf numFmtId="0" fontId="62" fillId="7" borderId="237" applyNumberFormat="0" applyAlignment="0" applyProtection="0"/>
    <xf numFmtId="49" fontId="8" fillId="0" borderId="240" applyNumberFormat="0" applyFill="0" applyBorder="0" applyProtection="0">
      <alignment horizontal="left" vertical="center"/>
    </xf>
    <xf numFmtId="0" fontId="4" fillId="22" borderId="243">
      <alignment horizontal="left" vertical="center" wrapText="1" indent="2"/>
    </xf>
    <xf numFmtId="0" fontId="54" fillId="23" borderId="237" applyNumberFormat="0" applyAlignment="0" applyProtection="0"/>
    <xf numFmtId="0" fontId="4" fillId="0" borderId="243">
      <alignment horizontal="left" vertical="center" wrapText="1" indent="2"/>
    </xf>
    <xf numFmtId="0" fontId="51" fillId="28" borderId="239" applyNumberFormat="0" applyFont="0" applyAlignment="0" applyProtection="0"/>
    <xf numFmtId="0" fontId="7"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4" fontId="4" fillId="27" borderId="240"/>
    <xf numFmtId="0" fontId="6" fillId="22" borderId="240">
      <alignment horizontal="right" vertical="center"/>
    </xf>
    <xf numFmtId="0" fontId="68" fillId="0" borderId="238" applyNumberFormat="0" applyFill="0" applyAlignment="0" applyProtection="0"/>
    <xf numFmtId="4" fontId="6" fillId="22" borderId="242">
      <alignment horizontal="right" vertical="center"/>
    </xf>
    <xf numFmtId="0" fontId="16" fillId="23" borderId="237" applyNumberFormat="0" applyAlignment="0" applyProtection="0"/>
    <xf numFmtId="0" fontId="6" fillId="22" borderId="241">
      <alignment horizontal="right" vertical="center"/>
    </xf>
    <xf numFmtId="0" fontId="54" fillId="23" borderId="237" applyNumberFormat="0" applyAlignment="0" applyProtection="0"/>
    <xf numFmtId="0" fontId="28" fillId="0" borderId="238" applyNumberFormat="0" applyFill="0" applyAlignment="0" applyProtection="0"/>
    <xf numFmtId="0" fontId="51" fillId="28" borderId="239" applyNumberFormat="0" applyFont="0" applyAlignment="0" applyProtection="0"/>
    <xf numFmtId="4" fontId="6" fillId="22" borderId="241">
      <alignment horizontal="right" vertical="center"/>
    </xf>
    <xf numFmtId="0" fontId="4" fillId="22" borderId="243">
      <alignment horizontal="left" vertical="center" wrapText="1" indent="2"/>
    </xf>
    <xf numFmtId="0" fontId="4" fillId="27" borderId="240"/>
    <xf numFmtId="178" fontId="4" fillId="29" borderId="240" applyNumberFormat="0" applyFont="0" applyBorder="0" applyAlignment="0" applyProtection="0">
      <alignment horizontal="right" vertical="center"/>
    </xf>
    <xf numFmtId="0" fontId="4" fillId="0" borderId="240" applyNumberFormat="0" applyFill="0" applyAlignment="0" applyProtection="0"/>
    <xf numFmtId="4" fontId="4" fillId="0" borderId="240" applyFill="0" applyBorder="0" applyProtection="0">
      <alignment horizontal="right" vertical="center"/>
    </xf>
    <xf numFmtId="4" fontId="6" fillId="21" borderId="240">
      <alignment horizontal="right" vertical="center"/>
    </xf>
    <xf numFmtId="0" fontId="28" fillId="0" borderId="238" applyNumberFormat="0" applyFill="0" applyAlignment="0" applyProtection="0"/>
    <xf numFmtId="49" fontId="8" fillId="0" borderId="240" applyNumberFormat="0" applyFill="0" applyBorder="0" applyProtection="0">
      <alignment horizontal="left" vertical="center"/>
    </xf>
    <xf numFmtId="49" fontId="4" fillId="0" borderId="241" applyNumberFormat="0" applyFont="0" applyFill="0" applyBorder="0" applyProtection="0">
      <alignment horizontal="left" vertical="center" indent="5"/>
    </xf>
    <xf numFmtId="0" fontId="4" fillId="21" borderId="241">
      <alignment horizontal="left" vertical="center"/>
    </xf>
    <xf numFmtId="0" fontId="54" fillId="23" borderId="237" applyNumberFormat="0" applyAlignment="0" applyProtection="0"/>
    <xf numFmtId="4" fontId="6" fillId="22" borderId="242">
      <alignment horizontal="right" vertical="center"/>
    </xf>
    <xf numFmtId="0" fontId="62" fillId="7" borderId="237" applyNumberFormat="0" applyAlignment="0" applyProtection="0"/>
    <xf numFmtId="0" fontId="62" fillId="7" borderId="237" applyNumberFormat="0" applyAlignment="0" applyProtection="0"/>
    <xf numFmtId="0" fontId="51" fillId="28" borderId="239" applyNumberFormat="0" applyFont="0" applyAlignment="0" applyProtection="0"/>
    <xf numFmtId="0" fontId="66" fillId="23" borderId="236" applyNumberFormat="0" applyAlignment="0" applyProtection="0"/>
    <xf numFmtId="0" fontId="68" fillId="0" borderId="238" applyNumberFormat="0" applyFill="0" applyAlignment="0" applyProtection="0"/>
    <xf numFmtId="0" fontId="6" fillId="22" borderId="240">
      <alignment horizontal="right" vertical="center"/>
    </xf>
    <xf numFmtId="0" fontId="7" fillId="28" borderId="239" applyNumberFormat="0" applyFont="0" applyAlignment="0" applyProtection="0"/>
    <xf numFmtId="4" fontId="4" fillId="0" borderId="240">
      <alignment horizontal="right" vertical="center"/>
    </xf>
    <xf numFmtId="0" fontId="68" fillId="0" borderId="238" applyNumberFormat="0" applyFill="0" applyAlignment="0" applyProtection="0"/>
    <xf numFmtId="0" fontId="6" fillId="22" borderId="240">
      <alignment horizontal="right" vertical="center"/>
    </xf>
    <xf numFmtId="0" fontId="6" fillId="22" borderId="240">
      <alignment horizontal="right" vertical="center"/>
    </xf>
    <xf numFmtId="4" fontId="9" fillId="21" borderId="240">
      <alignment horizontal="right" vertical="center"/>
    </xf>
    <xf numFmtId="0" fontId="6" fillId="21" borderId="240">
      <alignment horizontal="right" vertical="center"/>
    </xf>
    <xf numFmtId="4" fontId="6" fillId="21" borderId="240">
      <alignment horizontal="right" vertical="center"/>
    </xf>
    <xf numFmtId="0" fontId="9" fillId="21" borderId="240">
      <alignment horizontal="right" vertical="center"/>
    </xf>
    <xf numFmtId="4" fontId="9" fillId="21" borderId="240">
      <alignment horizontal="right" vertical="center"/>
    </xf>
    <xf numFmtId="0" fontId="6" fillId="22" borderId="240">
      <alignment horizontal="right" vertical="center"/>
    </xf>
    <xf numFmtId="4" fontId="6" fillId="22" borderId="240">
      <alignment horizontal="right" vertical="center"/>
    </xf>
    <xf numFmtId="0" fontId="6" fillId="22" borderId="240">
      <alignment horizontal="right" vertical="center"/>
    </xf>
    <xf numFmtId="4" fontId="6" fillId="22" borderId="240">
      <alignment horizontal="right" vertical="center"/>
    </xf>
    <xf numFmtId="0" fontId="6" fillId="22" borderId="241">
      <alignment horizontal="right" vertical="center"/>
    </xf>
    <xf numFmtId="4" fontId="6" fillId="22" borderId="241">
      <alignment horizontal="right" vertical="center"/>
    </xf>
    <xf numFmtId="0" fontId="6" fillId="22" borderId="242">
      <alignment horizontal="right" vertical="center"/>
    </xf>
    <xf numFmtId="4" fontId="6" fillId="22" borderId="242">
      <alignment horizontal="right" vertical="center"/>
    </xf>
    <xf numFmtId="0" fontId="54" fillId="23" borderId="237" applyNumberFormat="0" applyAlignment="0" applyProtection="0"/>
    <xf numFmtId="0" fontId="4" fillId="22" borderId="243">
      <alignment horizontal="left" vertical="center" wrapText="1" indent="2"/>
    </xf>
    <xf numFmtId="0" fontId="4" fillId="0" borderId="243">
      <alignment horizontal="left" vertical="center" wrapText="1" indent="2"/>
    </xf>
    <xf numFmtId="0" fontId="4" fillId="21" borderId="241">
      <alignment horizontal="left" vertical="center"/>
    </xf>
    <xf numFmtId="0" fontId="62" fillId="7" borderId="237" applyNumberFormat="0" applyAlignment="0" applyProtection="0"/>
    <xf numFmtId="0" fontId="4" fillId="0" borderId="240">
      <alignment horizontal="right" vertical="center"/>
    </xf>
    <xf numFmtId="4" fontId="4" fillId="0" borderId="240">
      <alignment horizontal="right" vertical="center"/>
    </xf>
    <xf numFmtId="0" fontId="4" fillId="0" borderId="240" applyNumberFormat="0" applyFill="0" applyAlignment="0" applyProtection="0"/>
    <xf numFmtId="0" fontId="66" fillId="23" borderId="236" applyNumberFormat="0" applyAlignment="0" applyProtection="0"/>
    <xf numFmtId="178" fontId="4" fillId="29" borderId="240" applyNumberFormat="0" applyFont="0" applyBorder="0" applyAlignment="0" applyProtection="0">
      <alignment horizontal="right" vertical="center"/>
    </xf>
    <xf numFmtId="0" fontId="4" fillId="27" borderId="240"/>
    <xf numFmtId="4" fontId="4" fillId="27" borderId="240"/>
    <xf numFmtId="0" fontId="68" fillId="0" borderId="238" applyNumberFormat="0" applyFill="0" applyAlignment="0" applyProtection="0"/>
    <xf numFmtId="0" fontId="7" fillId="28" borderId="239" applyNumberFormat="0" applyFont="0" applyAlignment="0" applyProtection="0"/>
    <xf numFmtId="0" fontId="51" fillId="28" borderId="239" applyNumberFormat="0" applyFont="0" applyAlignment="0" applyProtection="0"/>
    <xf numFmtId="0" fontId="4" fillId="0" borderId="240" applyNumberFormat="0" applyFill="0" applyAlignment="0" applyProtection="0"/>
    <xf numFmtId="0" fontId="28" fillId="0" borderId="238" applyNumberFormat="0" applyFill="0" applyAlignment="0" applyProtection="0"/>
    <xf numFmtId="0" fontId="68" fillId="0" borderId="238" applyNumberFormat="0" applyFill="0" applyAlignment="0" applyProtection="0"/>
    <xf numFmtId="0" fontId="23" fillId="7" borderId="237" applyNumberFormat="0" applyAlignment="0" applyProtection="0"/>
    <xf numFmtId="0" fontId="54" fillId="23" borderId="237" applyNumberFormat="0" applyAlignment="0" applyProtection="0"/>
    <xf numFmtId="4" fontId="9" fillId="21" borderId="240">
      <alignment horizontal="right" vertical="center"/>
    </xf>
    <xf numFmtId="0" fontId="6" fillId="21" borderId="240">
      <alignment horizontal="right" vertical="center"/>
    </xf>
    <xf numFmtId="178" fontId="4" fillId="29" borderId="240" applyNumberFormat="0" applyFont="0" applyBorder="0" applyAlignment="0" applyProtection="0">
      <alignment horizontal="right" vertical="center"/>
    </xf>
    <xf numFmtId="0" fontId="28" fillId="0" borderId="238" applyNumberFormat="0" applyFill="0" applyAlignment="0" applyProtection="0"/>
    <xf numFmtId="49" fontId="4" fillId="0" borderId="240" applyNumberFormat="0" applyFont="0" applyFill="0" applyBorder="0" applyProtection="0">
      <alignment horizontal="left" vertical="center" indent="2"/>
    </xf>
    <xf numFmtId="49" fontId="4" fillId="0" borderId="241" applyNumberFormat="0" applyFont="0" applyFill="0" applyBorder="0" applyProtection="0">
      <alignment horizontal="left" vertical="center" indent="5"/>
    </xf>
    <xf numFmtId="49" fontId="4" fillId="0" borderId="240" applyNumberFormat="0" applyFont="0" applyFill="0" applyBorder="0" applyProtection="0">
      <alignment horizontal="left" vertical="center" indent="2"/>
    </xf>
    <xf numFmtId="4" fontId="4" fillId="0" borderId="240" applyFill="0" applyBorder="0" applyProtection="0">
      <alignment horizontal="right" vertical="center"/>
    </xf>
    <xf numFmtId="49" fontId="8" fillId="0" borderId="240" applyNumberFormat="0" applyFill="0" applyBorder="0" applyProtection="0">
      <alignment horizontal="left" vertical="center"/>
    </xf>
    <xf numFmtId="0" fontId="4" fillId="0" borderId="243">
      <alignment horizontal="left" vertical="center" wrapText="1" indent="2"/>
    </xf>
    <xf numFmtId="0" fontId="66" fillId="23" borderId="236" applyNumberFormat="0" applyAlignment="0" applyProtection="0"/>
    <xf numFmtId="0" fontId="6" fillId="22" borderId="242">
      <alignment horizontal="right" vertical="center"/>
    </xf>
    <xf numFmtId="0" fontId="23" fillId="7" borderId="237" applyNumberFormat="0" applyAlignment="0" applyProtection="0"/>
    <xf numFmtId="0" fontId="6" fillId="22" borderId="242">
      <alignment horizontal="right" vertical="center"/>
    </xf>
    <xf numFmtId="4" fontId="6" fillId="22" borderId="240">
      <alignment horizontal="right" vertical="center"/>
    </xf>
    <xf numFmtId="0" fontId="6" fillId="22" borderId="240">
      <alignment horizontal="right" vertical="center"/>
    </xf>
    <xf numFmtId="0" fontId="26" fillId="23" borderId="236" applyNumberFormat="0" applyAlignment="0" applyProtection="0"/>
    <xf numFmtId="0" fontId="16" fillId="23" borderId="237" applyNumberFormat="0" applyAlignment="0" applyProtection="0"/>
    <xf numFmtId="0" fontId="28" fillId="0" borderId="238" applyNumberFormat="0" applyFill="0" applyAlignment="0" applyProtection="0"/>
    <xf numFmtId="0" fontId="4" fillId="27" borderId="240"/>
    <xf numFmtId="4" fontId="4" fillId="27" borderId="240"/>
    <xf numFmtId="4" fontId="6" fillId="22" borderId="240">
      <alignment horizontal="right" vertical="center"/>
    </xf>
    <xf numFmtId="0" fontId="9" fillId="21" borderId="240">
      <alignment horizontal="right" vertical="center"/>
    </xf>
    <xf numFmtId="0" fontId="23" fillId="7" borderId="237" applyNumberFormat="0" applyAlignment="0" applyProtection="0"/>
    <xf numFmtId="0" fontId="54" fillId="23" borderId="237" applyNumberFormat="0" applyAlignment="0" applyProtection="0"/>
    <xf numFmtId="4" fontId="4" fillId="0" borderId="240">
      <alignment horizontal="right" vertical="center"/>
    </xf>
    <xf numFmtId="0" fontId="4" fillId="22" borderId="243">
      <alignment horizontal="left" vertical="center" wrapText="1" indent="2"/>
    </xf>
    <xf numFmtId="0" fontId="4" fillId="0" borderId="243">
      <alignment horizontal="left" vertical="center" wrapText="1" indent="2"/>
    </xf>
    <xf numFmtId="0" fontId="66" fillId="23" borderId="236" applyNumberFormat="0" applyAlignment="0" applyProtection="0"/>
    <xf numFmtId="0" fontId="62" fillId="7" borderId="237" applyNumberFormat="0" applyAlignment="0" applyProtection="0"/>
    <xf numFmtId="0" fontId="16" fillId="23" borderId="237" applyNumberFormat="0" applyAlignment="0" applyProtection="0"/>
    <xf numFmtId="0" fontId="26" fillId="23" borderId="236" applyNumberFormat="0" applyAlignment="0" applyProtection="0"/>
    <xf numFmtId="0" fontId="6" fillId="22" borderId="242">
      <alignment horizontal="right" vertical="center"/>
    </xf>
    <xf numFmtId="0" fontId="9" fillId="21" borderId="240">
      <alignment horizontal="right" vertical="center"/>
    </xf>
    <xf numFmtId="4" fontId="6" fillId="21" borderId="240">
      <alignment horizontal="right" vertical="center"/>
    </xf>
    <xf numFmtId="4" fontId="6" fillId="22" borderId="240">
      <alignment horizontal="right" vertical="center"/>
    </xf>
    <xf numFmtId="49" fontId="4" fillId="0" borderId="241" applyNumberFormat="0" applyFont="0" applyFill="0" applyBorder="0" applyProtection="0">
      <alignment horizontal="left" vertical="center" indent="5"/>
    </xf>
    <xf numFmtId="4" fontId="4" fillId="0" borderId="240" applyFill="0" applyBorder="0" applyProtection="0">
      <alignment horizontal="right" vertical="center"/>
    </xf>
    <xf numFmtId="4" fontId="6" fillId="21" borderId="240">
      <alignment horizontal="right" vertical="center"/>
    </xf>
    <xf numFmtId="0" fontId="62" fillId="7" borderId="237" applyNumberFormat="0" applyAlignment="0" applyProtection="0"/>
    <xf numFmtId="0" fontId="23" fillId="7" borderId="237" applyNumberFormat="0" applyAlignment="0" applyProtection="0"/>
    <xf numFmtId="0" fontId="16" fillId="23" borderId="237" applyNumberFormat="0" applyAlignment="0" applyProtection="0"/>
    <xf numFmtId="0" fontId="4" fillId="22" borderId="243">
      <alignment horizontal="left" vertical="center" wrapText="1" indent="2"/>
    </xf>
    <xf numFmtId="0" fontId="4" fillId="0" borderId="243">
      <alignment horizontal="left" vertical="center" wrapText="1" indent="2"/>
    </xf>
    <xf numFmtId="0" fontId="4" fillId="22" borderId="243">
      <alignment horizontal="left" vertical="center" wrapText="1" indent="2"/>
    </xf>
    <xf numFmtId="0" fontId="1" fillId="0" borderId="0"/>
    <xf numFmtId="0" fontId="1" fillId="0" borderId="0"/>
    <xf numFmtId="0" fontId="87" fillId="42" borderId="161" applyNumberFormat="0" applyAlignment="0" applyProtection="0"/>
    <xf numFmtId="0" fontId="88" fillId="42" borderId="19" applyNumberFormat="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91" fillId="0" borderId="162" applyNumberFormat="0" applyFill="0" applyAlignment="0" applyProtection="0"/>
    <xf numFmtId="0" fontId="1" fillId="43" borderId="0" applyNumberFormat="0" applyBorder="0" applyAlignment="0" applyProtection="0"/>
    <xf numFmtId="0" fontId="1" fillId="44" borderId="0" applyNumberFormat="0" applyBorder="0" applyAlignment="0" applyProtection="0"/>
    <xf numFmtId="0" fontId="92"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92"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92"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92"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92"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92" fillId="60" borderId="0" applyNumberFormat="0" applyBorder="0" applyAlignment="0" applyProtection="0"/>
    <xf numFmtId="0" fontId="54" fillId="23" borderId="246" applyNumberFormat="0" applyAlignment="0" applyProtection="0"/>
    <xf numFmtId="0" fontId="62" fillId="7" borderId="246" applyNumberFormat="0" applyAlignment="0" applyProtection="0"/>
    <xf numFmtId="0" fontId="1" fillId="0" borderId="0"/>
    <xf numFmtId="0" fontId="51" fillId="28" borderId="248" applyNumberFormat="0" applyFont="0" applyAlignment="0" applyProtection="0"/>
    <xf numFmtId="0" fontId="7"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54" fillId="23" borderId="246" applyNumberFormat="0" applyAlignment="0" applyProtection="0"/>
    <xf numFmtId="0" fontId="62" fillId="7" borderId="246" applyNumberFormat="0" applyAlignment="0" applyProtection="0"/>
    <xf numFmtId="0" fontId="51"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6" fillId="21" borderId="249">
      <alignment horizontal="right" vertical="center"/>
    </xf>
    <xf numFmtId="4" fontId="6" fillId="21" borderId="249">
      <alignment horizontal="right" vertical="center"/>
    </xf>
    <xf numFmtId="0" fontId="9" fillId="21" borderId="249">
      <alignment horizontal="right" vertical="center"/>
    </xf>
    <xf numFmtId="4" fontId="9" fillId="21" borderId="249">
      <alignment horizontal="right" vertical="center"/>
    </xf>
    <xf numFmtId="0" fontId="6" fillId="22" borderId="249">
      <alignment horizontal="right" vertical="center"/>
    </xf>
    <xf numFmtId="4" fontId="6" fillId="22" borderId="249">
      <alignment horizontal="right" vertical="center"/>
    </xf>
    <xf numFmtId="0" fontId="6" fillId="22" borderId="249">
      <alignment horizontal="right" vertical="center"/>
    </xf>
    <xf numFmtId="4" fontId="6" fillId="22" borderId="249">
      <alignment horizontal="right" vertical="center"/>
    </xf>
    <xf numFmtId="0" fontId="6" fillId="22" borderId="250">
      <alignment horizontal="right" vertical="center"/>
    </xf>
    <xf numFmtId="4" fontId="6" fillId="22" borderId="250">
      <alignment horizontal="right" vertical="center"/>
    </xf>
    <xf numFmtId="0" fontId="6" fillId="22" borderId="251">
      <alignment horizontal="right" vertical="center"/>
    </xf>
    <xf numFmtId="4" fontId="6" fillId="22" borderId="251">
      <alignment horizontal="right" vertical="center"/>
    </xf>
    <xf numFmtId="0" fontId="54" fillId="23" borderId="246" applyNumberFormat="0" applyAlignment="0" applyProtection="0"/>
    <xf numFmtId="0" fontId="4" fillId="22" borderId="252">
      <alignment horizontal="left" vertical="center" wrapText="1" indent="2"/>
    </xf>
    <xf numFmtId="0" fontId="4" fillId="0" borderId="252">
      <alignment horizontal="left" vertical="center" wrapText="1" indent="2"/>
    </xf>
    <xf numFmtId="0" fontId="4" fillId="21" borderId="250">
      <alignment horizontal="left" vertical="center"/>
    </xf>
    <xf numFmtId="0" fontId="62" fillId="7" borderId="246" applyNumberFormat="0" applyAlignment="0" applyProtection="0"/>
    <xf numFmtId="0" fontId="4" fillId="0" borderId="249">
      <alignment horizontal="right" vertical="center"/>
    </xf>
    <xf numFmtId="4" fontId="4" fillId="0" borderId="249">
      <alignment horizontal="right" vertical="center"/>
    </xf>
    <xf numFmtId="0" fontId="1" fillId="0" borderId="0"/>
    <xf numFmtId="0" fontId="4" fillId="0" borderId="249" applyNumberFormat="0" applyFill="0" applyAlignment="0" applyProtection="0"/>
    <xf numFmtId="0" fontId="66" fillId="23" borderId="245" applyNumberFormat="0" applyAlignment="0" applyProtection="0"/>
    <xf numFmtId="178" fontId="4" fillId="29" borderId="249" applyNumberFormat="0" applyFont="0" applyBorder="0" applyAlignment="0" applyProtection="0">
      <alignment horizontal="right" vertical="center"/>
    </xf>
    <xf numFmtId="0" fontId="4" fillId="27" borderId="249"/>
    <xf numFmtId="4" fontId="4" fillId="27" borderId="249"/>
    <xf numFmtId="0" fontId="68" fillId="0" borderId="24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9" fontId="4" fillId="0" borderId="249" applyNumberFormat="0" applyFont="0" applyFill="0" applyBorder="0" applyProtection="0">
      <alignment horizontal="left" vertical="center" indent="2"/>
    </xf>
    <xf numFmtId="49" fontId="4" fillId="0" borderId="250" applyNumberFormat="0" applyFont="0" applyFill="0" applyBorder="0" applyProtection="0">
      <alignment horizontal="left" vertical="center" indent="5"/>
    </xf>
    <xf numFmtId="0" fontId="1" fillId="0" borderId="0"/>
    <xf numFmtId="4" fontId="4" fillId="0" borderId="249" applyFill="0" applyBorder="0" applyProtection="0">
      <alignment horizontal="right" vertical="center"/>
    </xf>
    <xf numFmtId="49" fontId="8" fillId="0" borderId="249" applyNumberFormat="0" applyFill="0" applyBorder="0" applyProtection="0">
      <alignment horizontal="left" vertical="center"/>
    </xf>
    <xf numFmtId="0" fontId="1" fillId="0" borderId="0"/>
    <xf numFmtId="0" fontId="26" fillId="23" borderId="245" applyNumberFormat="0" applyAlignment="0" applyProtection="0"/>
    <xf numFmtId="0" fontId="16" fillId="23" borderId="246" applyNumberFormat="0" applyAlignment="0" applyProtection="0"/>
    <xf numFmtId="0" fontId="28" fillId="0" borderId="247" applyNumberFormat="0" applyFill="0" applyAlignment="0" applyProtection="0"/>
    <xf numFmtId="0" fontId="1" fillId="0" borderId="0"/>
    <xf numFmtId="0" fontId="1" fillId="0" borderId="0"/>
    <xf numFmtId="0" fontId="1" fillId="0" borderId="0"/>
    <xf numFmtId="0" fontId="1" fillId="0" borderId="0"/>
    <xf numFmtId="0" fontId="23" fillId="7" borderId="246" applyNumberFormat="0" applyAlignment="0" applyProtection="0"/>
    <xf numFmtId="0" fontId="1" fillId="0" borderId="0"/>
    <xf numFmtId="0" fontId="1" fillId="0" borderId="0"/>
    <xf numFmtId="0" fontId="1" fillId="0" borderId="0"/>
    <xf numFmtId="0" fontId="1" fillId="0" borderId="0"/>
    <xf numFmtId="0" fontId="4" fillId="22" borderId="252">
      <alignment horizontal="left" vertical="center" wrapText="1" indent="2"/>
    </xf>
    <xf numFmtId="0" fontId="4" fillId="0" borderId="252">
      <alignment horizontal="left" vertical="center" wrapText="1" indent="2"/>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6" fillId="22" borderId="249">
      <alignment horizontal="right" vertical="center"/>
    </xf>
    <xf numFmtId="0" fontId="4" fillId="27" borderId="249"/>
    <xf numFmtId="0" fontId="16" fillId="23" borderId="246" applyNumberFormat="0" applyAlignment="0" applyProtection="0"/>
    <xf numFmtId="0" fontId="6" fillId="21" borderId="249">
      <alignment horizontal="right" vertical="center"/>
    </xf>
    <xf numFmtId="0" fontId="4" fillId="0" borderId="249">
      <alignment horizontal="right" vertical="center"/>
    </xf>
    <xf numFmtId="0" fontId="68" fillId="0" borderId="247" applyNumberFormat="0" applyFill="0" applyAlignment="0" applyProtection="0"/>
    <xf numFmtId="0" fontId="4" fillId="21" borderId="250">
      <alignment horizontal="left" vertical="center"/>
    </xf>
    <xf numFmtId="0" fontId="62" fillId="7" borderId="246" applyNumberFormat="0" applyAlignment="0" applyProtection="0"/>
    <xf numFmtId="178" fontId="4" fillId="29" borderId="249" applyNumberFormat="0" applyFont="0" applyBorder="0" applyAlignment="0" applyProtection="0">
      <alignment horizontal="right" vertical="center"/>
    </xf>
    <xf numFmtId="0" fontId="51" fillId="28" borderId="248" applyNumberFormat="0" applyFont="0" applyAlignment="0" applyProtection="0"/>
    <xf numFmtId="0" fontId="4" fillId="0" borderId="252">
      <alignment horizontal="left" vertical="center" wrapText="1" indent="2"/>
    </xf>
    <xf numFmtId="4" fontId="4" fillId="27" borderId="249"/>
    <xf numFmtId="49" fontId="8" fillId="0" borderId="249" applyNumberFormat="0" applyFill="0" applyBorder="0" applyProtection="0">
      <alignment horizontal="left" vertical="center"/>
    </xf>
    <xf numFmtId="0" fontId="4" fillId="0" borderId="249">
      <alignment horizontal="right" vertical="center"/>
    </xf>
    <xf numFmtId="4" fontId="6" fillId="22" borderId="251">
      <alignment horizontal="right" vertical="center"/>
    </xf>
    <xf numFmtId="4" fontId="6" fillId="22" borderId="249">
      <alignment horizontal="right" vertical="center"/>
    </xf>
    <xf numFmtId="4" fontId="6" fillId="22" borderId="249">
      <alignment horizontal="right" vertical="center"/>
    </xf>
    <xf numFmtId="0" fontId="9" fillId="21" borderId="249">
      <alignment horizontal="right" vertical="center"/>
    </xf>
    <xf numFmtId="0" fontId="6" fillId="21" borderId="249">
      <alignment horizontal="right" vertical="center"/>
    </xf>
    <xf numFmtId="49" fontId="4" fillId="0" borderId="249" applyNumberFormat="0" applyFont="0" applyFill="0" applyBorder="0" applyProtection="0">
      <alignment horizontal="left" vertical="center" indent="2"/>
    </xf>
    <xf numFmtId="0" fontId="62" fillId="7" borderId="246" applyNumberFormat="0" applyAlignment="0" applyProtection="0"/>
    <xf numFmtId="0" fontId="26" fillId="23" borderId="245" applyNumberFormat="0" applyAlignment="0" applyProtection="0"/>
    <xf numFmtId="49" fontId="4" fillId="0" borderId="249" applyNumberFormat="0" applyFont="0" applyFill="0" applyBorder="0" applyProtection="0">
      <alignment horizontal="left" vertical="center" indent="2"/>
    </xf>
    <xf numFmtId="0" fontId="23" fillId="7" borderId="246" applyNumberFormat="0" applyAlignment="0" applyProtection="0"/>
    <xf numFmtId="4" fontId="4" fillId="0" borderId="249" applyFill="0" applyBorder="0" applyProtection="0">
      <alignment horizontal="right" vertical="center"/>
    </xf>
    <xf numFmtId="0" fontId="54" fillId="23" borderId="246" applyNumberFormat="0" applyAlignment="0" applyProtection="0"/>
    <xf numFmtId="0" fontId="68" fillId="0" borderId="247" applyNumberFormat="0" applyFill="0" applyAlignment="0" applyProtection="0"/>
    <xf numFmtId="0" fontId="66" fillId="23" borderId="245" applyNumberFormat="0" applyAlignment="0" applyProtection="0"/>
    <xf numFmtId="0" fontId="4" fillId="0" borderId="249" applyNumberFormat="0" applyFill="0" applyAlignment="0" applyProtection="0"/>
    <xf numFmtId="4" fontId="4" fillId="0" borderId="249">
      <alignment horizontal="right" vertical="center"/>
    </xf>
    <xf numFmtId="0" fontId="4" fillId="0" borderId="249">
      <alignment horizontal="right" vertical="center"/>
    </xf>
    <xf numFmtId="0" fontId="62" fillId="7" borderId="246" applyNumberFormat="0" applyAlignment="0" applyProtection="0"/>
    <xf numFmtId="0" fontId="26" fillId="23" borderId="245" applyNumberFormat="0" applyAlignment="0" applyProtection="0"/>
    <xf numFmtId="0" fontId="16" fillId="23" borderId="246" applyNumberFormat="0" applyAlignment="0" applyProtection="0"/>
    <xf numFmtId="0" fontId="4" fillId="22" borderId="252">
      <alignment horizontal="left" vertical="center" wrapText="1" indent="2"/>
    </xf>
    <xf numFmtId="0" fontId="54" fillId="23" borderId="246" applyNumberFormat="0" applyAlignment="0" applyProtection="0"/>
    <xf numFmtId="0" fontId="54" fillId="23" borderId="246" applyNumberFormat="0" applyAlignment="0" applyProtection="0"/>
    <xf numFmtId="4" fontId="6" fillId="22" borderId="250">
      <alignment horizontal="right" vertical="center"/>
    </xf>
    <xf numFmtId="0" fontId="6" fillId="22" borderId="250">
      <alignment horizontal="right" vertical="center"/>
    </xf>
    <xf numFmtId="0" fontId="6" fillId="22" borderId="249">
      <alignment horizontal="right" vertical="center"/>
    </xf>
    <xf numFmtId="4" fontId="9" fillId="21" borderId="249">
      <alignment horizontal="right" vertical="center"/>
    </xf>
    <xf numFmtId="0" fontId="23" fillId="7" borderId="246" applyNumberFormat="0" applyAlignment="0" applyProtection="0"/>
    <xf numFmtId="0" fontId="28" fillId="0" borderId="247" applyNumberFormat="0" applyFill="0" applyAlignment="0" applyProtection="0"/>
    <xf numFmtId="0" fontId="68" fillId="0" borderId="247" applyNumberFormat="0" applyFill="0" applyAlignment="0" applyProtection="0"/>
    <xf numFmtId="0" fontId="51" fillId="28" borderId="248" applyNumberFormat="0" applyFont="0" applyAlignment="0" applyProtection="0"/>
    <xf numFmtId="0" fontId="62" fillId="7" borderId="246" applyNumberFormat="0" applyAlignment="0" applyProtection="0"/>
    <xf numFmtId="49" fontId="8" fillId="0" borderId="249" applyNumberFormat="0" applyFill="0" applyBorder="0" applyProtection="0">
      <alignment horizontal="left" vertical="center"/>
    </xf>
    <xf numFmtId="0" fontId="4" fillId="22" borderId="252">
      <alignment horizontal="left" vertical="center" wrapText="1" indent="2"/>
    </xf>
    <xf numFmtId="0" fontId="54" fillId="23" borderId="246" applyNumberFormat="0" applyAlignment="0" applyProtection="0"/>
    <xf numFmtId="0" fontId="4" fillId="0" borderId="252">
      <alignment horizontal="left" vertical="center" wrapText="1" indent="2"/>
    </xf>
    <xf numFmtId="0" fontId="51" fillId="28" borderId="248" applyNumberFormat="0" applyFont="0" applyAlignment="0" applyProtection="0"/>
    <xf numFmtId="0" fontId="7"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4" fontId="4" fillId="27" borderId="249"/>
    <xf numFmtId="0" fontId="6" fillId="22" borderId="249">
      <alignment horizontal="right" vertical="center"/>
    </xf>
    <xf numFmtId="0" fontId="68" fillId="0" borderId="247" applyNumberFormat="0" applyFill="0" applyAlignment="0" applyProtection="0"/>
    <xf numFmtId="4" fontId="6" fillId="22" borderId="251">
      <alignment horizontal="right" vertical="center"/>
    </xf>
    <xf numFmtId="0" fontId="16" fillId="23" borderId="246" applyNumberFormat="0" applyAlignment="0" applyProtection="0"/>
    <xf numFmtId="0" fontId="6" fillId="22" borderId="250">
      <alignment horizontal="right" vertical="center"/>
    </xf>
    <xf numFmtId="0" fontId="54" fillId="23" borderId="246" applyNumberFormat="0" applyAlignment="0" applyProtection="0"/>
    <xf numFmtId="0" fontId="28" fillId="0" borderId="247" applyNumberFormat="0" applyFill="0" applyAlignment="0" applyProtection="0"/>
    <xf numFmtId="0" fontId="51" fillId="28" borderId="248" applyNumberFormat="0" applyFont="0" applyAlignment="0" applyProtection="0"/>
    <xf numFmtId="4" fontId="6" fillId="22" borderId="250">
      <alignment horizontal="right" vertical="center"/>
    </xf>
    <xf numFmtId="0" fontId="4" fillId="22" borderId="252">
      <alignment horizontal="left" vertical="center" wrapText="1" indent="2"/>
    </xf>
    <xf numFmtId="0" fontId="4" fillId="27" borderId="249"/>
    <xf numFmtId="178" fontId="4" fillId="29" borderId="249" applyNumberFormat="0" applyFont="0" applyBorder="0" applyAlignment="0" applyProtection="0">
      <alignment horizontal="right" vertical="center"/>
    </xf>
    <xf numFmtId="0" fontId="4" fillId="0" borderId="249" applyNumberFormat="0" applyFill="0" applyAlignment="0" applyProtection="0"/>
    <xf numFmtId="4" fontId="4" fillId="0" borderId="249" applyFill="0" applyBorder="0" applyProtection="0">
      <alignment horizontal="right" vertical="center"/>
    </xf>
    <xf numFmtId="4" fontId="6" fillId="21" borderId="249">
      <alignment horizontal="right" vertical="center"/>
    </xf>
    <xf numFmtId="0" fontId="28" fillId="0" borderId="247" applyNumberFormat="0" applyFill="0" applyAlignment="0" applyProtection="0"/>
    <xf numFmtId="49" fontId="8" fillId="0" borderId="249" applyNumberFormat="0" applyFill="0" applyBorder="0" applyProtection="0">
      <alignment horizontal="left" vertical="center"/>
    </xf>
    <xf numFmtId="49" fontId="4" fillId="0" borderId="250" applyNumberFormat="0" applyFont="0" applyFill="0" applyBorder="0" applyProtection="0">
      <alignment horizontal="left" vertical="center" indent="5"/>
    </xf>
    <xf numFmtId="0" fontId="4" fillId="21" borderId="250">
      <alignment horizontal="left" vertical="center"/>
    </xf>
    <xf numFmtId="0" fontId="54" fillId="23" borderId="246" applyNumberFormat="0" applyAlignment="0" applyProtection="0"/>
    <xf numFmtId="4" fontId="6" fillId="22" borderId="251">
      <alignment horizontal="right" vertical="center"/>
    </xf>
    <xf numFmtId="0" fontId="62" fillId="7" borderId="246" applyNumberFormat="0" applyAlignment="0" applyProtection="0"/>
    <xf numFmtId="0" fontId="62" fillId="7" borderId="246" applyNumberFormat="0" applyAlignment="0" applyProtection="0"/>
    <xf numFmtId="0" fontId="51"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6" fillId="22" borderId="249">
      <alignment horizontal="right" vertical="center"/>
    </xf>
    <xf numFmtId="0" fontId="7" fillId="28" borderId="248" applyNumberFormat="0" applyFont="0" applyAlignment="0" applyProtection="0"/>
    <xf numFmtId="4" fontId="4" fillId="0" borderId="249">
      <alignment horizontal="right" vertical="center"/>
    </xf>
    <xf numFmtId="0" fontId="68" fillId="0" borderId="247" applyNumberFormat="0" applyFill="0" applyAlignment="0" applyProtection="0"/>
    <xf numFmtId="0" fontId="6" fillId="22" borderId="249">
      <alignment horizontal="right" vertical="center"/>
    </xf>
    <xf numFmtId="0" fontId="6" fillId="22" borderId="249">
      <alignment horizontal="right" vertical="center"/>
    </xf>
    <xf numFmtId="4" fontId="9" fillId="21" borderId="249">
      <alignment horizontal="right" vertical="center"/>
    </xf>
    <xf numFmtId="0" fontId="6" fillId="21" borderId="249">
      <alignment horizontal="right" vertical="center"/>
    </xf>
    <xf numFmtId="4" fontId="6" fillId="21" borderId="249">
      <alignment horizontal="right" vertical="center"/>
    </xf>
    <xf numFmtId="0" fontId="9" fillId="21" borderId="249">
      <alignment horizontal="right" vertical="center"/>
    </xf>
    <xf numFmtId="4" fontId="9" fillId="21" borderId="249">
      <alignment horizontal="right" vertical="center"/>
    </xf>
    <xf numFmtId="0" fontId="6" fillId="22" borderId="249">
      <alignment horizontal="right" vertical="center"/>
    </xf>
    <xf numFmtId="4" fontId="6" fillId="22" borderId="249">
      <alignment horizontal="right" vertical="center"/>
    </xf>
    <xf numFmtId="0" fontId="6" fillId="22" borderId="249">
      <alignment horizontal="right" vertical="center"/>
    </xf>
    <xf numFmtId="4" fontId="6" fillId="22" borderId="249">
      <alignment horizontal="right" vertical="center"/>
    </xf>
    <xf numFmtId="0" fontId="6" fillId="22" borderId="250">
      <alignment horizontal="right" vertical="center"/>
    </xf>
    <xf numFmtId="4" fontId="6" fillId="22" borderId="250">
      <alignment horizontal="right" vertical="center"/>
    </xf>
    <xf numFmtId="0" fontId="6" fillId="22" borderId="251">
      <alignment horizontal="right" vertical="center"/>
    </xf>
    <xf numFmtId="4" fontId="6" fillId="22" borderId="251">
      <alignment horizontal="right" vertical="center"/>
    </xf>
    <xf numFmtId="0" fontId="54" fillId="23" borderId="246" applyNumberFormat="0" applyAlignment="0" applyProtection="0"/>
    <xf numFmtId="0" fontId="4" fillId="22" borderId="252">
      <alignment horizontal="left" vertical="center" wrapText="1" indent="2"/>
    </xf>
    <xf numFmtId="0" fontId="4" fillId="0" borderId="252">
      <alignment horizontal="left" vertical="center" wrapText="1" indent="2"/>
    </xf>
    <xf numFmtId="0" fontId="4" fillId="21" borderId="250">
      <alignment horizontal="left" vertical="center"/>
    </xf>
    <xf numFmtId="0" fontId="62" fillId="7" borderId="246" applyNumberFormat="0" applyAlignment="0" applyProtection="0"/>
    <xf numFmtId="0" fontId="4" fillId="0" borderId="249">
      <alignment horizontal="right" vertical="center"/>
    </xf>
    <xf numFmtId="4" fontId="4" fillId="0" borderId="249">
      <alignment horizontal="right" vertical="center"/>
    </xf>
    <xf numFmtId="0" fontId="4" fillId="0" borderId="249" applyNumberFormat="0" applyFill="0" applyAlignment="0" applyProtection="0"/>
    <xf numFmtId="0" fontId="66" fillId="23" borderId="245" applyNumberFormat="0" applyAlignment="0" applyProtection="0"/>
    <xf numFmtId="178" fontId="4" fillId="29" borderId="249" applyNumberFormat="0" applyFont="0" applyBorder="0" applyAlignment="0" applyProtection="0">
      <alignment horizontal="right" vertical="center"/>
    </xf>
    <xf numFmtId="0" fontId="4" fillId="27" borderId="249"/>
    <xf numFmtId="4" fontId="4" fillId="27" borderId="249"/>
    <xf numFmtId="0" fontId="68" fillId="0" borderId="247" applyNumberFormat="0" applyFill="0" applyAlignment="0" applyProtection="0"/>
    <xf numFmtId="0" fontId="7" fillId="28" borderId="248" applyNumberFormat="0" applyFont="0" applyAlignment="0" applyProtection="0"/>
    <xf numFmtId="0" fontId="51" fillId="28" borderId="248" applyNumberFormat="0" applyFont="0" applyAlignment="0" applyProtection="0"/>
    <xf numFmtId="0" fontId="4" fillId="0" borderId="249" applyNumberFormat="0" applyFill="0" applyAlignment="0" applyProtection="0"/>
    <xf numFmtId="0" fontId="28" fillId="0" borderId="247" applyNumberFormat="0" applyFill="0" applyAlignment="0" applyProtection="0"/>
    <xf numFmtId="0" fontId="68" fillId="0" borderId="247" applyNumberFormat="0" applyFill="0" applyAlignment="0" applyProtection="0"/>
    <xf numFmtId="0" fontId="23" fillId="7" borderId="246" applyNumberFormat="0" applyAlignment="0" applyProtection="0"/>
    <xf numFmtId="0" fontId="54" fillId="23" borderId="246" applyNumberFormat="0" applyAlignment="0" applyProtection="0"/>
    <xf numFmtId="4" fontId="9" fillId="21" borderId="249">
      <alignment horizontal="right" vertical="center"/>
    </xf>
    <xf numFmtId="0" fontId="6" fillId="21" borderId="249">
      <alignment horizontal="right" vertical="center"/>
    </xf>
    <xf numFmtId="178" fontId="4" fillId="29" borderId="249" applyNumberFormat="0" applyFont="0" applyBorder="0" applyAlignment="0" applyProtection="0">
      <alignment horizontal="right" vertical="center"/>
    </xf>
    <xf numFmtId="0" fontId="28" fillId="0" borderId="247" applyNumberFormat="0" applyFill="0" applyAlignment="0" applyProtection="0"/>
    <xf numFmtId="49" fontId="4" fillId="0" borderId="249" applyNumberFormat="0" applyFont="0" applyFill="0" applyBorder="0" applyProtection="0">
      <alignment horizontal="left" vertical="center" indent="2"/>
    </xf>
    <xf numFmtId="49" fontId="4" fillId="0" borderId="250" applyNumberFormat="0" applyFont="0" applyFill="0" applyBorder="0" applyProtection="0">
      <alignment horizontal="left" vertical="center" indent="5"/>
    </xf>
    <xf numFmtId="49" fontId="4" fillId="0" borderId="249" applyNumberFormat="0" applyFont="0" applyFill="0" applyBorder="0" applyProtection="0">
      <alignment horizontal="left" vertical="center" indent="2"/>
    </xf>
    <xf numFmtId="4" fontId="4" fillId="0" borderId="249" applyFill="0" applyBorder="0" applyProtection="0">
      <alignment horizontal="right" vertical="center"/>
    </xf>
    <xf numFmtId="49" fontId="8" fillId="0" borderId="249" applyNumberFormat="0" applyFill="0" applyBorder="0" applyProtection="0">
      <alignment horizontal="left" vertical="center"/>
    </xf>
    <xf numFmtId="0" fontId="4" fillId="0" borderId="252">
      <alignment horizontal="left" vertical="center" wrapText="1" indent="2"/>
    </xf>
    <xf numFmtId="0" fontId="66" fillId="23" borderId="245" applyNumberFormat="0" applyAlignment="0" applyProtection="0"/>
    <xf numFmtId="0" fontId="6" fillId="22" borderId="251">
      <alignment horizontal="right" vertical="center"/>
    </xf>
    <xf numFmtId="0" fontId="23" fillId="7" borderId="246" applyNumberFormat="0" applyAlignment="0" applyProtection="0"/>
    <xf numFmtId="0" fontId="6" fillId="22" borderId="251">
      <alignment horizontal="right" vertical="center"/>
    </xf>
    <xf numFmtId="4" fontId="6" fillId="22" borderId="249">
      <alignment horizontal="right" vertical="center"/>
    </xf>
    <xf numFmtId="0" fontId="6" fillId="22" borderId="249">
      <alignment horizontal="right" vertical="center"/>
    </xf>
    <xf numFmtId="0" fontId="26" fillId="23" borderId="245" applyNumberFormat="0" applyAlignment="0" applyProtection="0"/>
    <xf numFmtId="0" fontId="16" fillId="23" borderId="246" applyNumberFormat="0" applyAlignment="0" applyProtection="0"/>
    <xf numFmtId="0" fontId="28" fillId="0" borderId="247" applyNumberFormat="0" applyFill="0" applyAlignment="0" applyProtection="0"/>
    <xf numFmtId="0" fontId="4" fillId="27" borderId="249"/>
    <xf numFmtId="4" fontId="4" fillId="27" borderId="249"/>
    <xf numFmtId="4" fontId="6" fillId="22" borderId="249">
      <alignment horizontal="right" vertical="center"/>
    </xf>
    <xf numFmtId="0" fontId="9" fillId="21" borderId="249">
      <alignment horizontal="right" vertical="center"/>
    </xf>
    <xf numFmtId="0" fontId="23" fillId="7" borderId="246" applyNumberFormat="0" applyAlignment="0" applyProtection="0"/>
    <xf numFmtId="0" fontId="54" fillId="23" borderId="246" applyNumberFormat="0" applyAlignment="0" applyProtection="0"/>
    <xf numFmtId="4" fontId="4" fillId="0" borderId="249">
      <alignment horizontal="right" vertical="center"/>
    </xf>
    <xf numFmtId="0" fontId="4" fillId="22" borderId="252">
      <alignment horizontal="left" vertical="center" wrapText="1" indent="2"/>
    </xf>
    <xf numFmtId="0" fontId="4" fillId="0" borderId="252">
      <alignment horizontal="left" vertical="center" wrapText="1" indent="2"/>
    </xf>
    <xf numFmtId="0" fontId="66" fillId="23" borderId="245" applyNumberFormat="0" applyAlignment="0" applyProtection="0"/>
    <xf numFmtId="0" fontId="62" fillId="7" borderId="246" applyNumberFormat="0" applyAlignment="0" applyProtection="0"/>
    <xf numFmtId="0" fontId="16" fillId="23" borderId="246" applyNumberFormat="0" applyAlignment="0" applyProtection="0"/>
    <xf numFmtId="0" fontId="26" fillId="23" borderId="245" applyNumberFormat="0" applyAlignment="0" applyProtection="0"/>
    <xf numFmtId="0" fontId="6" fillId="22" borderId="251">
      <alignment horizontal="right" vertical="center"/>
    </xf>
    <xf numFmtId="0" fontId="9" fillId="21" borderId="249">
      <alignment horizontal="right" vertical="center"/>
    </xf>
    <xf numFmtId="4" fontId="6" fillId="21" borderId="249">
      <alignment horizontal="right" vertical="center"/>
    </xf>
    <xf numFmtId="4" fontId="6" fillId="22" borderId="249">
      <alignment horizontal="right" vertical="center"/>
    </xf>
    <xf numFmtId="49" fontId="4" fillId="0" borderId="250" applyNumberFormat="0" applyFont="0" applyFill="0" applyBorder="0" applyProtection="0">
      <alignment horizontal="left" vertical="center" indent="5"/>
    </xf>
    <xf numFmtId="4" fontId="4" fillId="0" borderId="249" applyFill="0" applyBorder="0" applyProtection="0">
      <alignment horizontal="right" vertical="center"/>
    </xf>
    <xf numFmtId="4" fontId="6" fillId="21" borderId="249">
      <alignment horizontal="right" vertical="center"/>
    </xf>
    <xf numFmtId="0" fontId="62" fillId="7" borderId="246" applyNumberFormat="0" applyAlignment="0" applyProtection="0"/>
    <xf numFmtId="0" fontId="23" fillId="7" borderId="246" applyNumberFormat="0" applyAlignment="0" applyProtection="0"/>
    <xf numFmtId="0" fontId="16" fillId="23" borderId="246" applyNumberFormat="0" applyAlignment="0" applyProtection="0"/>
    <xf numFmtId="0" fontId="4" fillId="22" borderId="252">
      <alignment horizontal="left" vertical="center" wrapText="1" indent="2"/>
    </xf>
    <xf numFmtId="0" fontId="4" fillId="0" borderId="252">
      <alignment horizontal="left" vertical="center" wrapText="1" indent="2"/>
    </xf>
    <xf numFmtId="0" fontId="4" fillId="22" borderId="252">
      <alignment horizontal="left" vertical="center" wrapText="1" indent="2"/>
    </xf>
    <xf numFmtId="0" fontId="4" fillId="0" borderId="252">
      <alignment horizontal="left" vertical="center" wrapText="1" indent="2"/>
    </xf>
    <xf numFmtId="0" fontId="26" fillId="23" borderId="245" applyNumberFormat="0" applyAlignment="0" applyProtection="0"/>
    <xf numFmtId="0" fontId="16" fillId="23" borderId="246" applyNumberFormat="0" applyAlignment="0" applyProtection="0"/>
    <xf numFmtId="0" fontId="54" fillId="23" borderId="246" applyNumberFormat="0" applyAlignment="0" applyProtection="0"/>
    <xf numFmtId="0" fontId="23" fillId="7" borderId="246" applyNumberFormat="0" applyAlignment="0" applyProtection="0"/>
    <xf numFmtId="0" fontId="28" fillId="0" borderId="247" applyNumberFormat="0" applyFill="0" applyAlignment="0" applyProtection="0"/>
    <xf numFmtId="0" fontId="62" fillId="7" borderId="246" applyNumberFormat="0" applyAlignment="0" applyProtection="0"/>
    <xf numFmtId="0" fontId="51" fillId="28" borderId="248" applyNumberFormat="0" applyFont="0" applyAlignment="0" applyProtection="0"/>
    <xf numFmtId="0" fontId="7"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54" fillId="23" borderId="246" applyNumberFormat="0" applyAlignment="0" applyProtection="0"/>
    <xf numFmtId="0" fontId="62" fillId="7" borderId="246" applyNumberFormat="0" applyAlignment="0" applyProtection="0"/>
    <xf numFmtId="0" fontId="51"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54" fillId="23" borderId="246" applyNumberFormat="0" applyAlignment="0" applyProtection="0"/>
    <xf numFmtId="0" fontId="62" fillId="7" borderId="246" applyNumberFormat="0" applyAlignment="0" applyProtection="0"/>
    <xf numFmtId="0" fontId="66" fillId="23" borderId="245" applyNumberFormat="0" applyAlignment="0" applyProtection="0"/>
    <xf numFmtId="0" fontId="68" fillId="0" borderId="247" applyNumberFormat="0" applyFill="0" applyAlignment="0" applyProtection="0"/>
    <xf numFmtId="0" fontId="26" fillId="23" borderId="245" applyNumberFormat="0" applyAlignment="0" applyProtection="0"/>
    <xf numFmtId="0" fontId="16" fillId="23" borderId="246" applyNumberFormat="0" applyAlignment="0" applyProtection="0"/>
    <xf numFmtId="0" fontId="28" fillId="0" borderId="247" applyNumberFormat="0" applyFill="0" applyAlignment="0" applyProtection="0"/>
    <xf numFmtId="49" fontId="4" fillId="0" borderId="249" applyNumberFormat="0" applyFont="0" applyFill="0" applyBorder="0" applyProtection="0">
      <alignment horizontal="left" vertical="center" indent="2"/>
    </xf>
    <xf numFmtId="0" fontId="6" fillId="21" borderId="249">
      <alignment horizontal="right" vertical="center"/>
    </xf>
    <xf numFmtId="4" fontId="6" fillId="21" borderId="249">
      <alignment horizontal="right" vertical="center"/>
    </xf>
    <xf numFmtId="0" fontId="9" fillId="21" borderId="249">
      <alignment horizontal="right" vertical="center"/>
    </xf>
    <xf numFmtId="4" fontId="9" fillId="21" borderId="249">
      <alignment horizontal="right" vertical="center"/>
    </xf>
    <xf numFmtId="0" fontId="6" fillId="22" borderId="249">
      <alignment horizontal="right" vertical="center"/>
    </xf>
    <xf numFmtId="4" fontId="6" fillId="22" borderId="249">
      <alignment horizontal="right" vertical="center"/>
    </xf>
    <xf numFmtId="0" fontId="6" fillId="22" borderId="249">
      <alignment horizontal="right" vertical="center"/>
    </xf>
    <xf numFmtId="4" fontId="6" fillId="22" borderId="249">
      <alignment horizontal="right" vertical="center"/>
    </xf>
    <xf numFmtId="0" fontId="23" fillId="7" borderId="246" applyNumberFormat="0" applyAlignment="0" applyProtection="0"/>
    <xf numFmtId="0" fontId="4" fillId="0" borderId="249">
      <alignment horizontal="right" vertical="center"/>
    </xf>
    <xf numFmtId="4" fontId="4" fillId="0" borderId="249">
      <alignment horizontal="right" vertical="center"/>
    </xf>
    <xf numFmtId="4" fontId="4" fillId="0" borderId="249" applyFill="0" applyBorder="0" applyProtection="0">
      <alignment horizontal="right" vertical="center"/>
    </xf>
    <xf numFmtId="49" fontId="8" fillId="0" borderId="249" applyNumberFormat="0" applyFill="0" applyBorder="0" applyProtection="0">
      <alignment horizontal="left" vertical="center"/>
    </xf>
    <xf numFmtId="0" fontId="4" fillId="0" borderId="249" applyNumberFormat="0" applyFill="0" applyAlignment="0" applyProtection="0"/>
    <xf numFmtId="178" fontId="4" fillId="29" borderId="249" applyNumberFormat="0" applyFont="0" applyBorder="0" applyAlignment="0" applyProtection="0">
      <alignment horizontal="right" vertical="center"/>
    </xf>
    <xf numFmtId="0" fontId="4" fillId="27" borderId="249"/>
    <xf numFmtId="4" fontId="4" fillId="27" borderId="249"/>
    <xf numFmtId="4" fontId="6" fillId="22" borderId="249">
      <alignment horizontal="right" vertical="center"/>
    </xf>
    <xf numFmtId="0" fontId="4" fillId="27" borderId="249"/>
    <xf numFmtId="0" fontId="16" fillId="23" borderId="246" applyNumberFormat="0" applyAlignment="0" applyProtection="0"/>
    <xf numFmtId="0" fontId="6" fillId="21" borderId="249">
      <alignment horizontal="right" vertical="center"/>
    </xf>
    <xf numFmtId="0" fontId="4" fillId="0" borderId="249">
      <alignment horizontal="right" vertical="center"/>
    </xf>
    <xf numFmtId="0" fontId="68" fillId="0" borderId="247" applyNumberFormat="0" applyFill="0" applyAlignment="0" applyProtection="0"/>
    <xf numFmtId="0" fontId="4" fillId="21" borderId="250">
      <alignment horizontal="left" vertical="center"/>
    </xf>
    <xf numFmtId="0" fontId="62" fillId="7" borderId="246" applyNumberFormat="0" applyAlignment="0" applyProtection="0"/>
    <xf numFmtId="178" fontId="4" fillId="29" borderId="249" applyNumberFormat="0" applyFont="0" applyBorder="0" applyAlignment="0" applyProtection="0">
      <alignment horizontal="right" vertical="center"/>
    </xf>
    <xf numFmtId="0" fontId="51" fillId="28" borderId="248" applyNumberFormat="0" applyFont="0" applyAlignment="0" applyProtection="0"/>
    <xf numFmtId="0" fontId="4" fillId="0" borderId="252">
      <alignment horizontal="left" vertical="center" wrapText="1" indent="2"/>
    </xf>
    <xf numFmtId="4" fontId="4" fillId="27" borderId="249"/>
    <xf numFmtId="49" fontId="8" fillId="0" borderId="249" applyNumberFormat="0" applyFill="0" applyBorder="0" applyProtection="0">
      <alignment horizontal="left" vertical="center"/>
    </xf>
    <xf numFmtId="0" fontId="4" fillId="0" borderId="249">
      <alignment horizontal="right" vertical="center"/>
    </xf>
    <xf numFmtId="4" fontId="6" fillId="22" borderId="251">
      <alignment horizontal="right" vertical="center"/>
    </xf>
    <xf numFmtId="4" fontId="6" fillId="22" borderId="249">
      <alignment horizontal="right" vertical="center"/>
    </xf>
    <xf numFmtId="4" fontId="6" fillId="22" borderId="249">
      <alignment horizontal="right" vertical="center"/>
    </xf>
    <xf numFmtId="0" fontId="9" fillId="21" borderId="249">
      <alignment horizontal="right" vertical="center"/>
    </xf>
    <xf numFmtId="0" fontId="6" fillId="21" borderId="249">
      <alignment horizontal="right" vertical="center"/>
    </xf>
    <xf numFmtId="49" fontId="4" fillId="0" borderId="249" applyNumberFormat="0" applyFont="0" applyFill="0" applyBorder="0" applyProtection="0">
      <alignment horizontal="left" vertical="center" indent="2"/>
    </xf>
    <xf numFmtId="0" fontId="62" fillId="7" borderId="246" applyNumberFormat="0" applyAlignment="0" applyProtection="0"/>
    <xf numFmtId="0" fontId="26" fillId="23" borderId="245" applyNumberFormat="0" applyAlignment="0" applyProtection="0"/>
    <xf numFmtId="49" fontId="4" fillId="0" borderId="249" applyNumberFormat="0" applyFont="0" applyFill="0" applyBorder="0" applyProtection="0">
      <alignment horizontal="left" vertical="center" indent="2"/>
    </xf>
    <xf numFmtId="0" fontId="23" fillId="7" borderId="246" applyNumberFormat="0" applyAlignment="0" applyProtection="0"/>
    <xf numFmtId="4" fontId="4" fillId="0" borderId="249" applyFill="0" applyBorder="0" applyProtection="0">
      <alignment horizontal="right" vertical="center"/>
    </xf>
    <xf numFmtId="0" fontId="54" fillId="23" borderId="246" applyNumberFormat="0" applyAlignment="0" applyProtection="0"/>
    <xf numFmtId="0" fontId="68" fillId="0" borderId="247" applyNumberFormat="0" applyFill="0" applyAlignment="0" applyProtection="0"/>
    <xf numFmtId="0" fontId="66" fillId="23" borderId="245" applyNumberFormat="0" applyAlignment="0" applyProtection="0"/>
    <xf numFmtId="0" fontId="4" fillId="0" borderId="249" applyNumberFormat="0" applyFill="0" applyAlignment="0" applyProtection="0"/>
    <xf numFmtId="4" fontId="4" fillId="0" borderId="249">
      <alignment horizontal="right" vertical="center"/>
    </xf>
    <xf numFmtId="0" fontId="4" fillId="0" borderId="249">
      <alignment horizontal="right" vertical="center"/>
    </xf>
    <xf numFmtId="0" fontId="62" fillId="7" borderId="246" applyNumberFormat="0" applyAlignment="0" applyProtection="0"/>
    <xf numFmtId="0" fontId="26" fillId="23" borderId="245" applyNumberFormat="0" applyAlignment="0" applyProtection="0"/>
    <xf numFmtId="0" fontId="16" fillId="23" borderId="246" applyNumberFormat="0" applyAlignment="0" applyProtection="0"/>
    <xf numFmtId="0" fontId="4" fillId="22" borderId="252">
      <alignment horizontal="left" vertical="center" wrapText="1" indent="2"/>
    </xf>
    <xf numFmtId="0" fontId="54" fillId="23" borderId="246" applyNumberFormat="0" applyAlignment="0" applyProtection="0"/>
    <xf numFmtId="0" fontId="54" fillId="23" borderId="246" applyNumberFormat="0" applyAlignment="0" applyProtection="0"/>
    <xf numFmtId="4" fontId="6" fillId="22" borderId="250">
      <alignment horizontal="right" vertical="center"/>
    </xf>
    <xf numFmtId="0" fontId="6" fillId="22" borderId="250">
      <alignment horizontal="right" vertical="center"/>
    </xf>
    <xf numFmtId="0" fontId="6" fillId="22" borderId="249">
      <alignment horizontal="right" vertical="center"/>
    </xf>
    <xf numFmtId="4" fontId="9" fillId="21" borderId="249">
      <alignment horizontal="right" vertical="center"/>
    </xf>
    <xf numFmtId="0" fontId="23" fillId="7" borderId="246" applyNumberFormat="0" applyAlignment="0" applyProtection="0"/>
    <xf numFmtId="0" fontId="28" fillId="0" borderId="247" applyNumberFormat="0" applyFill="0" applyAlignment="0" applyProtection="0"/>
    <xf numFmtId="0" fontId="68" fillId="0" borderId="247" applyNumberFormat="0" applyFill="0" applyAlignment="0" applyProtection="0"/>
    <xf numFmtId="0" fontId="51" fillId="28" borderId="248" applyNumberFormat="0" applyFont="0" applyAlignment="0" applyProtection="0"/>
    <xf numFmtId="0" fontId="62" fillId="7" borderId="246" applyNumberFormat="0" applyAlignment="0" applyProtection="0"/>
    <xf numFmtId="49" fontId="8" fillId="0" borderId="249" applyNumberFormat="0" applyFill="0" applyBorder="0" applyProtection="0">
      <alignment horizontal="left" vertical="center"/>
    </xf>
    <xf numFmtId="0" fontId="4" fillId="22" borderId="252">
      <alignment horizontal="left" vertical="center" wrapText="1" indent="2"/>
    </xf>
    <xf numFmtId="0" fontId="54" fillId="23" borderId="246" applyNumberFormat="0" applyAlignment="0" applyProtection="0"/>
    <xf numFmtId="0" fontId="4" fillId="0" borderId="252">
      <alignment horizontal="left" vertical="center" wrapText="1" indent="2"/>
    </xf>
    <xf numFmtId="0" fontId="51" fillId="28" borderId="248" applyNumberFormat="0" applyFont="0" applyAlignment="0" applyProtection="0"/>
    <xf numFmtId="0" fontId="7"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4" fontId="4" fillId="27" borderId="249"/>
    <xf numFmtId="0" fontId="6" fillId="22" borderId="249">
      <alignment horizontal="right" vertical="center"/>
    </xf>
    <xf numFmtId="0" fontId="68" fillId="0" borderId="247" applyNumberFormat="0" applyFill="0" applyAlignment="0" applyProtection="0"/>
    <xf numFmtId="4" fontId="6" fillId="22" borderId="251">
      <alignment horizontal="right" vertical="center"/>
    </xf>
    <xf numFmtId="0" fontId="16" fillId="23" borderId="246" applyNumberFormat="0" applyAlignment="0" applyProtection="0"/>
    <xf numFmtId="0" fontId="6" fillId="22" borderId="250">
      <alignment horizontal="right" vertical="center"/>
    </xf>
    <xf numFmtId="0" fontId="54" fillId="23" borderId="246" applyNumberFormat="0" applyAlignment="0" applyProtection="0"/>
    <xf numFmtId="0" fontId="28" fillId="0" borderId="247" applyNumberFormat="0" applyFill="0" applyAlignment="0" applyProtection="0"/>
    <xf numFmtId="0" fontId="51" fillId="28" borderId="248" applyNumberFormat="0" applyFont="0" applyAlignment="0" applyProtection="0"/>
    <xf numFmtId="4" fontId="6" fillId="22" borderId="250">
      <alignment horizontal="right" vertical="center"/>
    </xf>
    <xf numFmtId="0" fontId="4" fillId="22" borderId="252">
      <alignment horizontal="left" vertical="center" wrapText="1" indent="2"/>
    </xf>
    <xf numFmtId="0" fontId="4" fillId="27" borderId="249"/>
    <xf numFmtId="178" fontId="4" fillId="29" borderId="249" applyNumberFormat="0" applyFont="0" applyBorder="0" applyAlignment="0" applyProtection="0">
      <alignment horizontal="right" vertical="center"/>
    </xf>
    <xf numFmtId="0" fontId="4" fillId="0" borderId="249" applyNumberFormat="0" applyFill="0" applyAlignment="0" applyProtection="0"/>
    <xf numFmtId="4" fontId="4" fillId="0" borderId="249" applyFill="0" applyBorder="0" applyProtection="0">
      <alignment horizontal="right" vertical="center"/>
    </xf>
    <xf numFmtId="4" fontId="6" fillId="21" borderId="249">
      <alignment horizontal="right" vertical="center"/>
    </xf>
    <xf numFmtId="0" fontId="28" fillId="0" borderId="247" applyNumberFormat="0" applyFill="0" applyAlignment="0" applyProtection="0"/>
    <xf numFmtId="49" fontId="8" fillId="0" borderId="249" applyNumberFormat="0" applyFill="0" applyBorder="0" applyProtection="0">
      <alignment horizontal="left" vertical="center"/>
    </xf>
    <xf numFmtId="49" fontId="4" fillId="0" borderId="250" applyNumberFormat="0" applyFont="0" applyFill="0" applyBorder="0" applyProtection="0">
      <alignment horizontal="left" vertical="center" indent="5"/>
    </xf>
    <xf numFmtId="0" fontId="4" fillId="21" borderId="250">
      <alignment horizontal="left" vertical="center"/>
    </xf>
    <xf numFmtId="0" fontId="54" fillId="23" borderId="246" applyNumberFormat="0" applyAlignment="0" applyProtection="0"/>
    <xf numFmtId="4" fontId="6" fillId="22" borderId="251">
      <alignment horizontal="right" vertical="center"/>
    </xf>
    <xf numFmtId="0" fontId="62" fillId="7" borderId="246" applyNumberFormat="0" applyAlignment="0" applyProtection="0"/>
    <xf numFmtId="0" fontId="62" fillId="7" borderId="246" applyNumberFormat="0" applyAlignment="0" applyProtection="0"/>
    <xf numFmtId="0" fontId="51" fillId="28" borderId="248" applyNumberFormat="0" applyFont="0" applyAlignment="0" applyProtection="0"/>
    <xf numFmtId="0" fontId="66" fillId="23" borderId="245" applyNumberFormat="0" applyAlignment="0" applyProtection="0"/>
    <xf numFmtId="0" fontId="68" fillId="0" borderId="247" applyNumberFormat="0" applyFill="0" applyAlignment="0" applyProtection="0"/>
    <xf numFmtId="0" fontId="6" fillId="22" borderId="249">
      <alignment horizontal="right" vertical="center"/>
    </xf>
    <xf numFmtId="0" fontId="7" fillId="28" borderId="248" applyNumberFormat="0" applyFont="0" applyAlignment="0" applyProtection="0"/>
    <xf numFmtId="4" fontId="4" fillId="0" borderId="249">
      <alignment horizontal="right" vertical="center"/>
    </xf>
    <xf numFmtId="0" fontId="68" fillId="0" borderId="247" applyNumberFormat="0" applyFill="0" applyAlignment="0" applyProtection="0"/>
    <xf numFmtId="0" fontId="6" fillId="22" borderId="249">
      <alignment horizontal="right" vertical="center"/>
    </xf>
    <xf numFmtId="0" fontId="6" fillId="22" borderId="249">
      <alignment horizontal="right" vertical="center"/>
    </xf>
    <xf numFmtId="4" fontId="9" fillId="21" borderId="249">
      <alignment horizontal="right" vertical="center"/>
    </xf>
    <xf numFmtId="0" fontId="6" fillId="21" borderId="249">
      <alignment horizontal="right" vertical="center"/>
    </xf>
    <xf numFmtId="4" fontId="6" fillId="21" borderId="249">
      <alignment horizontal="right" vertical="center"/>
    </xf>
    <xf numFmtId="0" fontId="9" fillId="21" borderId="249">
      <alignment horizontal="right" vertical="center"/>
    </xf>
    <xf numFmtId="4" fontId="9" fillId="21" borderId="249">
      <alignment horizontal="right" vertical="center"/>
    </xf>
    <xf numFmtId="0" fontId="6" fillId="22" borderId="249">
      <alignment horizontal="right" vertical="center"/>
    </xf>
    <xf numFmtId="4" fontId="6" fillId="22" borderId="249">
      <alignment horizontal="right" vertical="center"/>
    </xf>
    <xf numFmtId="0" fontId="6" fillId="22" borderId="249">
      <alignment horizontal="right" vertical="center"/>
    </xf>
    <xf numFmtId="4" fontId="6" fillId="22" borderId="249">
      <alignment horizontal="right" vertical="center"/>
    </xf>
    <xf numFmtId="0" fontId="6" fillId="22" borderId="250">
      <alignment horizontal="right" vertical="center"/>
    </xf>
    <xf numFmtId="4" fontId="6" fillId="22" borderId="250">
      <alignment horizontal="right" vertical="center"/>
    </xf>
    <xf numFmtId="0" fontId="6" fillId="22" borderId="251">
      <alignment horizontal="right" vertical="center"/>
    </xf>
    <xf numFmtId="4" fontId="6" fillId="22" borderId="251">
      <alignment horizontal="right" vertical="center"/>
    </xf>
    <xf numFmtId="0" fontId="54" fillId="23" borderId="246" applyNumberFormat="0" applyAlignment="0" applyProtection="0"/>
    <xf numFmtId="0" fontId="4" fillId="22" borderId="252">
      <alignment horizontal="left" vertical="center" wrapText="1" indent="2"/>
    </xf>
    <xf numFmtId="0" fontId="4" fillId="0" borderId="252">
      <alignment horizontal="left" vertical="center" wrapText="1" indent="2"/>
    </xf>
    <xf numFmtId="0" fontId="4" fillId="21" borderId="250">
      <alignment horizontal="left" vertical="center"/>
    </xf>
    <xf numFmtId="0" fontId="62" fillId="7" borderId="246" applyNumberFormat="0" applyAlignment="0" applyProtection="0"/>
    <xf numFmtId="0" fontId="4" fillId="0" borderId="249">
      <alignment horizontal="right" vertical="center"/>
    </xf>
    <xf numFmtId="4" fontId="4" fillId="0" borderId="249">
      <alignment horizontal="right" vertical="center"/>
    </xf>
    <xf numFmtId="0" fontId="4" fillId="0" borderId="249" applyNumberFormat="0" applyFill="0" applyAlignment="0" applyProtection="0"/>
    <xf numFmtId="0" fontId="66" fillId="23" borderId="245" applyNumberFormat="0" applyAlignment="0" applyProtection="0"/>
    <xf numFmtId="178" fontId="4" fillId="29" borderId="249" applyNumberFormat="0" applyFont="0" applyBorder="0" applyAlignment="0" applyProtection="0">
      <alignment horizontal="right" vertical="center"/>
    </xf>
    <xf numFmtId="0" fontId="4" fillId="27" borderId="249"/>
    <xf numFmtId="4" fontId="4" fillId="27" borderId="249"/>
    <xf numFmtId="0" fontId="68" fillId="0" borderId="247" applyNumberFormat="0" applyFill="0" applyAlignment="0" applyProtection="0"/>
    <xf numFmtId="0" fontId="7" fillId="28" borderId="248" applyNumberFormat="0" applyFont="0" applyAlignment="0" applyProtection="0"/>
    <xf numFmtId="0" fontId="51" fillId="28" borderId="248" applyNumberFormat="0" applyFont="0" applyAlignment="0" applyProtection="0"/>
    <xf numFmtId="0" fontId="4" fillId="0" borderId="249" applyNumberFormat="0" applyFill="0" applyAlignment="0" applyProtection="0"/>
    <xf numFmtId="0" fontId="28" fillId="0" borderId="247" applyNumberFormat="0" applyFill="0" applyAlignment="0" applyProtection="0"/>
    <xf numFmtId="0" fontId="68" fillId="0" borderId="247" applyNumberFormat="0" applyFill="0" applyAlignment="0" applyProtection="0"/>
    <xf numFmtId="0" fontId="23" fillId="7" borderId="246" applyNumberFormat="0" applyAlignment="0" applyProtection="0"/>
    <xf numFmtId="0" fontId="54" fillId="23" borderId="246" applyNumberFormat="0" applyAlignment="0" applyProtection="0"/>
    <xf numFmtId="4" fontId="9" fillId="21" borderId="249">
      <alignment horizontal="right" vertical="center"/>
    </xf>
    <xf numFmtId="0" fontId="6" fillId="21" borderId="249">
      <alignment horizontal="right" vertical="center"/>
    </xf>
    <xf numFmtId="178" fontId="4" fillId="29" borderId="249" applyNumberFormat="0" applyFont="0" applyBorder="0" applyAlignment="0" applyProtection="0">
      <alignment horizontal="right" vertical="center"/>
    </xf>
    <xf numFmtId="0" fontId="28" fillId="0" borderId="247" applyNumberFormat="0" applyFill="0" applyAlignment="0" applyProtection="0"/>
    <xf numFmtId="49" fontId="4" fillId="0" borderId="249" applyNumberFormat="0" applyFont="0" applyFill="0" applyBorder="0" applyProtection="0">
      <alignment horizontal="left" vertical="center" indent="2"/>
    </xf>
    <xf numFmtId="49" fontId="4" fillId="0" borderId="250" applyNumberFormat="0" applyFont="0" applyFill="0" applyBorder="0" applyProtection="0">
      <alignment horizontal="left" vertical="center" indent="5"/>
    </xf>
    <xf numFmtId="49" fontId="4" fillId="0" borderId="249" applyNumberFormat="0" applyFont="0" applyFill="0" applyBorder="0" applyProtection="0">
      <alignment horizontal="left" vertical="center" indent="2"/>
    </xf>
    <xf numFmtId="4" fontId="4" fillId="0" borderId="249" applyFill="0" applyBorder="0" applyProtection="0">
      <alignment horizontal="right" vertical="center"/>
    </xf>
    <xf numFmtId="49" fontId="8" fillId="0" borderId="249" applyNumberFormat="0" applyFill="0" applyBorder="0" applyProtection="0">
      <alignment horizontal="left" vertical="center"/>
    </xf>
    <xf numFmtId="0" fontId="4" fillId="0" borderId="252">
      <alignment horizontal="left" vertical="center" wrapText="1" indent="2"/>
    </xf>
    <xf numFmtId="0" fontId="66" fillId="23" borderId="245" applyNumberFormat="0" applyAlignment="0" applyProtection="0"/>
    <xf numFmtId="0" fontId="6" fillId="22" borderId="251">
      <alignment horizontal="right" vertical="center"/>
    </xf>
    <xf numFmtId="0" fontId="23" fillId="7" borderId="246" applyNumberFormat="0" applyAlignment="0" applyProtection="0"/>
    <xf numFmtId="0" fontId="6" fillId="22" borderId="251">
      <alignment horizontal="right" vertical="center"/>
    </xf>
    <xf numFmtId="4" fontId="6" fillId="22" borderId="249">
      <alignment horizontal="right" vertical="center"/>
    </xf>
    <xf numFmtId="0" fontId="6" fillId="22" borderId="249">
      <alignment horizontal="right" vertical="center"/>
    </xf>
    <xf numFmtId="0" fontId="26" fillId="23" borderId="245" applyNumberFormat="0" applyAlignment="0" applyProtection="0"/>
    <xf numFmtId="0" fontId="16" fillId="23" borderId="246" applyNumberFormat="0" applyAlignment="0" applyProtection="0"/>
    <xf numFmtId="0" fontId="28" fillId="0" borderId="247" applyNumberFormat="0" applyFill="0" applyAlignment="0" applyProtection="0"/>
    <xf numFmtId="0" fontId="4" fillId="27" borderId="249"/>
    <xf numFmtId="4" fontId="4" fillId="27" borderId="249"/>
    <xf numFmtId="4" fontId="6" fillId="22" borderId="249">
      <alignment horizontal="right" vertical="center"/>
    </xf>
    <xf numFmtId="0" fontId="9" fillId="21" borderId="249">
      <alignment horizontal="right" vertical="center"/>
    </xf>
    <xf numFmtId="0" fontId="23" fillId="7" borderId="246" applyNumberFormat="0" applyAlignment="0" applyProtection="0"/>
    <xf numFmtId="0" fontId="54" fillId="23" borderId="246" applyNumberFormat="0" applyAlignment="0" applyProtection="0"/>
    <xf numFmtId="4" fontId="4" fillId="0" borderId="249">
      <alignment horizontal="right" vertical="center"/>
    </xf>
    <xf numFmtId="0" fontId="4" fillId="22" borderId="252">
      <alignment horizontal="left" vertical="center" wrapText="1" indent="2"/>
    </xf>
    <xf numFmtId="0" fontId="4" fillId="0" borderId="252">
      <alignment horizontal="left" vertical="center" wrapText="1" indent="2"/>
    </xf>
    <xf numFmtId="0" fontId="66" fillId="23" borderId="245" applyNumberFormat="0" applyAlignment="0" applyProtection="0"/>
    <xf numFmtId="0" fontId="62" fillId="7" borderId="246" applyNumberFormat="0" applyAlignment="0" applyProtection="0"/>
    <xf numFmtId="0" fontId="16" fillId="23" borderId="246" applyNumberFormat="0" applyAlignment="0" applyProtection="0"/>
    <xf numFmtId="0" fontId="26" fillId="23" borderId="245" applyNumberFormat="0" applyAlignment="0" applyProtection="0"/>
    <xf numFmtId="0" fontId="6" fillId="22" borderId="251">
      <alignment horizontal="right" vertical="center"/>
    </xf>
    <xf numFmtId="0" fontId="9" fillId="21" borderId="249">
      <alignment horizontal="right" vertical="center"/>
    </xf>
    <xf numFmtId="4" fontId="6" fillId="21" borderId="249">
      <alignment horizontal="right" vertical="center"/>
    </xf>
    <xf numFmtId="4" fontId="6" fillId="22" borderId="249">
      <alignment horizontal="right" vertical="center"/>
    </xf>
    <xf numFmtId="49" fontId="4" fillId="0" borderId="250" applyNumberFormat="0" applyFont="0" applyFill="0" applyBorder="0" applyProtection="0">
      <alignment horizontal="left" vertical="center" indent="5"/>
    </xf>
    <xf numFmtId="4" fontId="4" fillId="0" borderId="249" applyFill="0" applyBorder="0" applyProtection="0">
      <alignment horizontal="right" vertical="center"/>
    </xf>
    <xf numFmtId="4" fontId="6" fillId="21" borderId="249">
      <alignment horizontal="right" vertical="center"/>
    </xf>
    <xf numFmtId="0" fontId="62" fillId="7" borderId="246" applyNumberFormat="0" applyAlignment="0" applyProtection="0"/>
    <xf numFmtId="0" fontId="23" fillId="7" borderId="246" applyNumberFormat="0" applyAlignment="0" applyProtection="0"/>
    <xf numFmtId="0" fontId="16" fillId="23" borderId="246" applyNumberFormat="0" applyAlignment="0" applyProtection="0"/>
    <xf numFmtId="0" fontId="4" fillId="22" borderId="252">
      <alignment horizontal="left" vertical="center" wrapText="1" indent="2"/>
    </xf>
    <xf numFmtId="0" fontId="4" fillId="0" borderId="252">
      <alignment horizontal="left" vertical="center" wrapText="1" indent="2"/>
    </xf>
    <xf numFmtId="0" fontId="4" fillId="22" borderId="252">
      <alignment horizontal="left" vertical="center" wrapText="1" indent="2"/>
    </xf>
    <xf numFmtId="0" fontId="1" fillId="0" borderId="0"/>
    <xf numFmtId="38" fontId="2" fillId="0" borderId="0" applyFont="0" applyFill="0" applyBorder="0" applyAlignment="0" applyProtection="0">
      <alignment vertical="center"/>
    </xf>
    <xf numFmtId="0" fontId="1" fillId="0" borderId="0"/>
    <xf numFmtId="4" fontId="4" fillId="0" borderId="249" applyFill="0" applyBorder="0" applyProtection="0">
      <alignment horizontal="right" vertical="center"/>
    </xf>
    <xf numFmtId="0" fontId="1" fillId="0" borderId="0"/>
    <xf numFmtId="0" fontId="1" fillId="0" borderId="0"/>
    <xf numFmtId="0" fontId="1" fillId="0" borderId="0"/>
    <xf numFmtId="0" fontId="42" fillId="0" borderId="0" applyNumberFormat="0" applyFill="0" applyBorder="0" applyAlignment="0" applyProtection="0"/>
    <xf numFmtId="9"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78">
    <xf numFmtId="0" fontId="0" fillId="0" borderId="0" xfId="0">
      <alignment vertical="center"/>
    </xf>
    <xf numFmtId="0" fontId="75" fillId="0" borderId="0" xfId="0" applyFont="1" applyAlignment="1">
      <alignment vertical="center" wrapText="1"/>
    </xf>
    <xf numFmtId="0" fontId="75" fillId="30" borderId="0" xfId="0" applyFont="1" applyFill="1">
      <alignment vertical="center"/>
    </xf>
    <xf numFmtId="0" fontId="75" fillId="0" borderId="0" xfId="0" applyFont="1">
      <alignment vertical="center"/>
    </xf>
    <xf numFmtId="3" fontId="75" fillId="0" borderId="0" xfId="0" applyNumberFormat="1" applyFont="1">
      <alignment vertical="center"/>
    </xf>
    <xf numFmtId="4" fontId="77" fillId="0" borderId="0" xfId="113" applyFont="1" applyAlignment="1">
      <alignment horizontal="right" vertical="center"/>
    </xf>
    <xf numFmtId="177" fontId="75" fillId="0" borderId="0" xfId="0" applyNumberFormat="1" applyFont="1">
      <alignment vertical="center"/>
    </xf>
    <xf numFmtId="4" fontId="75" fillId="0" borderId="0" xfId="0" applyNumberFormat="1" applyFont="1">
      <alignment vertical="center"/>
    </xf>
    <xf numFmtId="4" fontId="76" fillId="0" borderId="0" xfId="116" applyNumberFormat="1" applyFont="1" applyFill="1" applyAlignment="1" applyProtection="1">
      <alignment vertical="center"/>
    </xf>
    <xf numFmtId="0" fontId="78" fillId="0" borderId="0" xfId="0" applyFont="1">
      <alignment vertical="center"/>
    </xf>
    <xf numFmtId="4" fontId="75" fillId="0" borderId="0" xfId="0" quotePrefix="1" applyNumberFormat="1" applyFont="1">
      <alignment vertical="center"/>
    </xf>
    <xf numFmtId="2" fontId="75" fillId="0" borderId="0" xfId="0" quotePrefix="1" applyNumberFormat="1" applyFont="1">
      <alignment vertical="center"/>
    </xf>
    <xf numFmtId="9" fontId="75" fillId="0" borderId="0" xfId="3547" applyFont="1" applyFill="1" applyAlignment="1">
      <alignment vertical="center" wrapText="1"/>
    </xf>
    <xf numFmtId="0" fontId="83" fillId="37" borderId="21" xfId="0" applyFont="1" applyFill="1" applyBorder="1">
      <alignment vertical="center"/>
    </xf>
    <xf numFmtId="0" fontId="81" fillId="0" borderId="0" xfId="0" applyFont="1">
      <alignment vertical="center"/>
    </xf>
    <xf numFmtId="0" fontId="78" fillId="41" borderId="0" xfId="0" applyFont="1" applyFill="1">
      <alignment vertical="center"/>
    </xf>
    <xf numFmtId="0" fontId="79" fillId="38" borderId="145" xfId="0" applyFont="1" applyFill="1" applyBorder="1" applyAlignment="1">
      <alignment horizontal="center" vertical="center" wrapText="1"/>
    </xf>
    <xf numFmtId="3" fontId="80" fillId="41" borderId="146" xfId="0" applyNumberFormat="1" applyFont="1" applyFill="1" applyBorder="1">
      <alignment vertical="center"/>
    </xf>
    <xf numFmtId="0" fontId="80" fillId="33" borderId="147" xfId="0" applyFont="1" applyFill="1" applyBorder="1">
      <alignment vertical="center"/>
    </xf>
    <xf numFmtId="0" fontId="80" fillId="36" borderId="147" xfId="0" applyFont="1" applyFill="1" applyBorder="1" applyAlignment="1">
      <alignment vertical="center" wrapText="1"/>
    </xf>
    <xf numFmtId="0" fontId="80" fillId="35" borderId="147" xfId="0" applyFont="1" applyFill="1" applyBorder="1" applyAlignment="1">
      <alignment horizontal="left" vertical="center" wrapText="1"/>
    </xf>
    <xf numFmtId="0" fontId="80" fillId="35" borderId="149" xfId="0" applyFont="1" applyFill="1" applyBorder="1" applyAlignment="1">
      <alignment horizontal="left" vertical="center" wrapText="1"/>
    </xf>
    <xf numFmtId="0" fontId="80" fillId="33" borderId="150" xfId="0" applyFont="1" applyFill="1" applyBorder="1">
      <alignment vertical="center"/>
    </xf>
    <xf numFmtId="3" fontId="80" fillId="41" borderId="151" xfId="0" applyNumberFormat="1" applyFont="1" applyFill="1" applyBorder="1">
      <alignment vertical="center"/>
    </xf>
    <xf numFmtId="0" fontId="80" fillId="33" borderId="153" xfId="0" applyFont="1" applyFill="1" applyBorder="1">
      <alignment vertical="center"/>
    </xf>
    <xf numFmtId="3" fontId="80" fillId="41" borderId="154" xfId="113" quotePrefix="1" applyNumberFormat="1" applyFont="1" applyFill="1" applyBorder="1" applyAlignment="1">
      <alignment horizontal="right" vertical="center"/>
    </xf>
    <xf numFmtId="0" fontId="80" fillId="36" borderId="153" xfId="0" applyFont="1" applyFill="1" applyBorder="1" applyAlignment="1">
      <alignment vertical="center" wrapText="1"/>
    </xf>
    <xf numFmtId="0" fontId="80" fillId="35" borderId="153" xfId="0" applyFont="1" applyFill="1" applyBorder="1" applyAlignment="1">
      <alignment vertical="center" wrapText="1"/>
    </xf>
    <xf numFmtId="0" fontId="80" fillId="35" borderId="155" xfId="0" applyFont="1" applyFill="1" applyBorder="1" applyAlignment="1">
      <alignment vertical="center" wrapText="1"/>
    </xf>
    <xf numFmtId="3" fontId="81" fillId="38" borderId="158" xfId="0" applyNumberFormat="1" applyFont="1" applyFill="1" applyBorder="1">
      <alignment vertical="center"/>
    </xf>
    <xf numFmtId="180" fontId="80" fillId="0" borderId="159" xfId="0" applyNumberFormat="1" applyFont="1" applyBorder="1" applyAlignment="1">
      <alignment horizontal="left" vertical="center" wrapText="1"/>
    </xf>
    <xf numFmtId="17" fontId="80" fillId="0" borderId="159" xfId="0" applyNumberFormat="1" applyFont="1" applyBorder="1" applyAlignment="1">
      <alignment horizontal="left" vertical="center" wrapText="1"/>
    </xf>
    <xf numFmtId="3" fontId="80" fillId="41" borderId="185" xfId="113" quotePrefix="1" applyNumberFormat="1" applyFont="1" applyFill="1" applyBorder="1" applyAlignment="1">
      <alignment horizontal="right" vertical="center"/>
    </xf>
    <xf numFmtId="0" fontId="83" fillId="37" borderId="21" xfId="0" applyFont="1" applyFill="1" applyBorder="1" applyAlignment="1">
      <alignment vertical="center" wrapText="1"/>
    </xf>
    <xf numFmtId="3" fontId="80" fillId="41" borderId="193" xfId="0" applyNumberFormat="1" applyFont="1" applyFill="1" applyBorder="1">
      <alignment vertical="center"/>
    </xf>
    <xf numFmtId="3" fontId="80" fillId="41" borderId="194" xfId="0" applyNumberFormat="1" applyFont="1" applyFill="1" applyBorder="1">
      <alignment vertical="center"/>
    </xf>
    <xf numFmtId="9" fontId="80" fillId="41" borderId="154" xfId="113" quotePrefix="1" applyNumberFormat="1" applyFont="1" applyFill="1" applyBorder="1" applyAlignment="1">
      <alignment horizontal="right" vertical="center"/>
    </xf>
    <xf numFmtId="10" fontId="80" fillId="41" borderId="154" xfId="113" quotePrefix="1" applyNumberFormat="1" applyFont="1" applyFill="1" applyBorder="1" applyAlignment="1">
      <alignment horizontal="right" vertical="center"/>
    </xf>
    <xf numFmtId="181" fontId="80" fillId="41" borderId="154" xfId="113" quotePrefix="1" applyNumberFormat="1" applyFont="1" applyFill="1" applyBorder="1" applyAlignment="1">
      <alignment horizontal="right" vertical="center"/>
    </xf>
    <xf numFmtId="0" fontId="80" fillId="41" borderId="146" xfId="0" applyFont="1" applyFill="1" applyBorder="1" applyAlignment="1">
      <alignment horizontal="right" vertical="center"/>
    </xf>
    <xf numFmtId="0" fontId="80" fillId="41" borderId="184" xfId="0" applyFont="1" applyFill="1" applyBorder="1" applyAlignment="1">
      <alignment horizontal="right" vertical="center"/>
    </xf>
    <xf numFmtId="0" fontId="80" fillId="41" borderId="190" xfId="0" applyFont="1" applyFill="1" applyBorder="1" applyAlignment="1">
      <alignment horizontal="right" vertical="center"/>
    </xf>
    <xf numFmtId="0" fontId="84" fillId="37" borderId="114" xfId="0" applyFont="1" applyFill="1" applyBorder="1">
      <alignment vertical="center"/>
    </xf>
    <xf numFmtId="0" fontId="84" fillId="37" borderId="144" xfId="0" applyFont="1" applyFill="1" applyBorder="1">
      <alignment vertical="center"/>
    </xf>
    <xf numFmtId="0" fontId="84" fillId="37" borderId="200" xfId="0" applyFont="1" applyFill="1" applyBorder="1">
      <alignment vertical="center"/>
    </xf>
    <xf numFmtId="0" fontId="79" fillId="38" borderId="201" xfId="0" applyFont="1" applyFill="1" applyBorder="1" applyAlignment="1">
      <alignment horizontal="center" vertical="center" wrapText="1"/>
    </xf>
    <xf numFmtId="3" fontId="81" fillId="38" borderId="202" xfId="0" applyNumberFormat="1" applyFont="1" applyFill="1" applyBorder="1">
      <alignment vertical="center"/>
    </xf>
    <xf numFmtId="3" fontId="80" fillId="41" borderId="194" xfId="0" applyNumberFormat="1" applyFont="1" applyFill="1" applyBorder="1" applyAlignment="1">
      <alignment horizontal="right" vertical="center"/>
    </xf>
    <xf numFmtId="0" fontId="82" fillId="37" borderId="0" xfId="0" applyFont="1" applyFill="1">
      <alignment vertical="center"/>
    </xf>
    <xf numFmtId="0" fontId="80" fillId="35" borderId="147" xfId="0" applyFont="1" applyFill="1" applyBorder="1" applyAlignment="1">
      <alignment vertical="center" wrapText="1"/>
    </xf>
    <xf numFmtId="0" fontId="80" fillId="35" borderId="149" xfId="0" applyFont="1" applyFill="1" applyBorder="1" applyAlignment="1">
      <alignment vertical="center" wrapText="1"/>
    </xf>
    <xf numFmtId="0" fontId="80" fillId="36" borderId="153" xfId="0" applyFont="1" applyFill="1" applyBorder="1" applyAlignment="1">
      <alignment horizontal="left" vertical="center" wrapText="1"/>
    </xf>
    <xf numFmtId="0" fontId="80" fillId="36" borderId="147" xfId="0" applyFont="1" applyFill="1" applyBorder="1" applyAlignment="1">
      <alignment horizontal="left" vertical="center" wrapText="1"/>
    </xf>
    <xf numFmtId="0" fontId="80" fillId="36" borderId="155" xfId="0" applyFont="1" applyFill="1" applyBorder="1" applyAlignment="1">
      <alignment horizontal="left" vertical="center" wrapText="1"/>
    </xf>
    <xf numFmtId="0" fontId="80" fillId="36" borderId="149" xfId="0" applyFont="1" applyFill="1" applyBorder="1" applyAlignment="1">
      <alignment horizontal="left" vertical="center" wrapText="1"/>
    </xf>
    <xf numFmtId="0" fontId="80" fillId="63" borderId="153" xfId="0" applyFont="1" applyFill="1" applyBorder="1">
      <alignment vertical="center"/>
    </xf>
    <xf numFmtId="0" fontId="80" fillId="63" borderId="147" xfId="0" applyFont="1" applyFill="1" applyBorder="1">
      <alignment vertical="center"/>
    </xf>
    <xf numFmtId="0" fontId="80" fillId="64" borderId="155" xfId="0" applyFont="1" applyFill="1" applyBorder="1">
      <alignment vertical="center"/>
    </xf>
    <xf numFmtId="0" fontId="80" fillId="64" borderId="149" xfId="0" applyFont="1" applyFill="1" applyBorder="1">
      <alignment vertical="center"/>
    </xf>
    <xf numFmtId="0" fontId="80" fillId="64" borderId="153" xfId="0" applyFont="1" applyFill="1" applyBorder="1" applyAlignment="1">
      <alignment horizontal="left" vertical="center" wrapText="1"/>
    </xf>
    <xf numFmtId="0" fontId="80" fillId="64" borderId="147" xfId="0" applyFont="1" applyFill="1" applyBorder="1" applyAlignment="1">
      <alignment horizontal="left" vertical="center" wrapText="1"/>
    </xf>
    <xf numFmtId="0" fontId="84" fillId="62" borderId="144" xfId="0" applyFont="1" applyFill="1" applyBorder="1">
      <alignment vertical="center"/>
    </xf>
    <xf numFmtId="0" fontId="83" fillId="62" borderId="21" xfId="0" applyFont="1" applyFill="1" applyBorder="1">
      <alignment vertical="center"/>
    </xf>
    <xf numFmtId="3" fontId="80" fillId="41" borderId="146" xfId="0" applyNumberFormat="1" applyFont="1" applyFill="1" applyBorder="1" applyAlignment="1">
      <alignment horizontal="right" vertical="center"/>
    </xf>
    <xf numFmtId="9" fontId="80" fillId="41" borderId="151" xfId="3546" applyNumberFormat="1" applyFont="1" applyFill="1" applyBorder="1" applyAlignment="1">
      <alignment horizontal="right" vertical="center"/>
    </xf>
    <xf numFmtId="9" fontId="80" fillId="41" borderId="146" xfId="3546" applyNumberFormat="1" applyFont="1" applyFill="1" applyBorder="1" applyAlignment="1">
      <alignment horizontal="right" vertical="center"/>
    </xf>
    <xf numFmtId="0" fontId="80" fillId="40" borderId="145" xfId="0" applyFont="1" applyFill="1" applyBorder="1" applyAlignment="1">
      <alignment horizontal="center" vertical="center" wrapText="1"/>
    </xf>
    <xf numFmtId="9" fontId="80" fillId="41" borderId="152" xfId="113" quotePrefix="1" applyNumberFormat="1" applyFont="1" applyFill="1" applyBorder="1" applyAlignment="1">
      <alignment horizontal="right" vertical="center"/>
    </xf>
    <xf numFmtId="182" fontId="80" fillId="41" borderId="151" xfId="3546" applyNumberFormat="1" applyFont="1" applyFill="1" applyBorder="1" applyAlignment="1">
      <alignment horizontal="right" vertical="center"/>
    </xf>
    <xf numFmtId="182" fontId="80" fillId="41" borderId="146" xfId="3546" applyNumberFormat="1" applyFont="1" applyFill="1" applyBorder="1" applyAlignment="1">
      <alignment horizontal="right" vertical="center"/>
    </xf>
    <xf numFmtId="0" fontId="80" fillId="41" borderId="154" xfId="113" quotePrefix="1" applyNumberFormat="1" applyFont="1" applyFill="1" applyBorder="1" applyAlignment="1">
      <alignment horizontal="right" vertical="center"/>
    </xf>
    <xf numFmtId="0" fontId="83" fillId="39" borderId="114" xfId="0" applyFont="1" applyFill="1" applyBorder="1">
      <alignment vertical="center"/>
    </xf>
    <xf numFmtId="0" fontId="94" fillId="66" borderId="144" xfId="0" applyFont="1" applyFill="1" applyBorder="1">
      <alignment vertical="center"/>
    </xf>
    <xf numFmtId="9" fontId="80" fillId="41" borderId="193" xfId="3547" applyFont="1" applyFill="1" applyBorder="1" applyAlignment="1">
      <alignment horizontal="right" vertical="center"/>
    </xf>
    <xf numFmtId="9" fontId="80" fillId="41" borderId="194" xfId="3547" applyFont="1" applyFill="1" applyBorder="1" applyAlignment="1">
      <alignment horizontal="right" vertical="center"/>
    </xf>
    <xf numFmtId="9" fontId="80" fillId="41" borderId="195" xfId="3547" applyFont="1" applyFill="1" applyBorder="1" applyAlignment="1">
      <alignment horizontal="right" vertical="center"/>
    </xf>
    <xf numFmtId="0" fontId="83" fillId="65" borderId="212" xfId="0" applyFont="1" applyFill="1" applyBorder="1">
      <alignment vertical="center"/>
    </xf>
    <xf numFmtId="0" fontId="83" fillId="66" borderId="114" xfId="0" applyFont="1" applyFill="1" applyBorder="1">
      <alignment vertical="center"/>
    </xf>
    <xf numFmtId="0" fontId="83" fillId="66" borderId="144" xfId="0" applyFont="1" applyFill="1" applyBorder="1">
      <alignment vertical="center"/>
    </xf>
    <xf numFmtId="0" fontId="79" fillId="67" borderId="145" xfId="0" applyFont="1" applyFill="1" applyBorder="1" applyAlignment="1">
      <alignment horizontal="center" vertical="center" wrapText="1"/>
    </xf>
    <xf numFmtId="0" fontId="80" fillId="67" borderId="145" xfId="0" applyFont="1" applyFill="1" applyBorder="1" applyAlignment="1">
      <alignment horizontal="center" vertical="center" wrapText="1"/>
    </xf>
    <xf numFmtId="0" fontId="80" fillId="61" borderId="213" xfId="0" applyFont="1" applyFill="1" applyBorder="1" applyAlignment="1">
      <alignment horizontal="center" vertical="center" wrapText="1"/>
    </xf>
    <xf numFmtId="0" fontId="80" fillId="35" borderId="145" xfId="0" applyFont="1" applyFill="1" applyBorder="1" applyAlignment="1">
      <alignment horizontal="center" vertical="center" wrapText="1"/>
    </xf>
    <xf numFmtId="9" fontId="80" fillId="41" borderId="190" xfId="0" applyNumberFormat="1" applyFont="1" applyFill="1" applyBorder="1" applyAlignment="1">
      <alignment horizontal="right" vertical="center"/>
    </xf>
    <xf numFmtId="4" fontId="80" fillId="0" borderId="208" xfId="0" applyNumberFormat="1" applyFont="1" applyBorder="1" applyAlignment="1">
      <alignment horizontal="right" vertical="center"/>
    </xf>
    <xf numFmtId="182" fontId="80" fillId="41" borderId="158" xfId="3546" applyNumberFormat="1" applyFont="1" applyFill="1" applyBorder="1" applyAlignment="1">
      <alignment horizontal="right" vertical="center"/>
    </xf>
    <xf numFmtId="3" fontId="80" fillId="41" borderId="214" xfId="113" quotePrefix="1" applyNumberFormat="1" applyFont="1" applyFill="1" applyBorder="1" applyAlignment="1">
      <alignment horizontal="right" vertical="center"/>
    </xf>
    <xf numFmtId="3" fontId="81" fillId="38" borderId="208" xfId="0" applyNumberFormat="1" applyFont="1" applyFill="1" applyBorder="1">
      <alignment vertical="center"/>
    </xf>
    <xf numFmtId="3" fontId="80" fillId="38" borderId="21" xfId="0" applyNumberFormat="1" applyFont="1" applyFill="1" applyBorder="1">
      <alignment vertical="center"/>
    </xf>
    <xf numFmtId="0" fontId="80" fillId="41" borderId="198" xfId="0" applyFont="1" applyFill="1" applyBorder="1" applyAlignment="1">
      <alignment horizontal="right" vertical="center"/>
    </xf>
    <xf numFmtId="0" fontId="80" fillId="41" borderId="182" xfId="0" applyFont="1" applyFill="1" applyBorder="1" applyAlignment="1">
      <alignment horizontal="right" vertical="center"/>
    </xf>
    <xf numFmtId="9" fontId="80" fillId="0" borderId="215" xfId="3547" applyFont="1" applyFill="1" applyBorder="1" applyAlignment="1">
      <alignment horizontal="right" vertical="center"/>
    </xf>
    <xf numFmtId="0" fontId="80" fillId="41" borderId="215" xfId="0" applyFont="1" applyFill="1" applyBorder="1" applyAlignment="1">
      <alignment horizontal="right" vertical="center"/>
    </xf>
    <xf numFmtId="0" fontId="80" fillId="41" borderId="219" xfId="0" applyFont="1" applyFill="1" applyBorder="1" applyAlignment="1">
      <alignment horizontal="right" vertical="center"/>
    </xf>
    <xf numFmtId="0" fontId="80" fillId="41" borderId="218" xfId="0" applyFont="1" applyFill="1" applyBorder="1" applyAlignment="1">
      <alignment horizontal="right" vertical="center"/>
    </xf>
    <xf numFmtId="9" fontId="80" fillId="0" borderId="217" xfId="3547" applyFont="1" applyFill="1" applyBorder="1" applyAlignment="1">
      <alignment horizontal="right" vertical="center"/>
    </xf>
    <xf numFmtId="4" fontId="80" fillId="0" borderId="217" xfId="0" applyNumberFormat="1" applyFont="1" applyBorder="1" applyAlignment="1">
      <alignment horizontal="right" vertical="center"/>
    </xf>
    <xf numFmtId="0" fontId="80" fillId="41" borderId="217" xfId="0" applyFont="1" applyFill="1" applyBorder="1" applyAlignment="1">
      <alignment horizontal="right" vertical="center"/>
    </xf>
    <xf numFmtId="3" fontId="81" fillId="38" borderId="193" xfId="0" applyNumberFormat="1" applyFont="1" applyFill="1" applyBorder="1">
      <alignment vertical="center"/>
    </xf>
    <xf numFmtId="3" fontId="80" fillId="38" borderId="146" xfId="0" applyNumberFormat="1" applyFont="1" applyFill="1" applyBorder="1">
      <alignment vertical="center"/>
    </xf>
    <xf numFmtId="3" fontId="81" fillId="38" borderId="220" xfId="0" applyNumberFormat="1" applyFont="1" applyFill="1" applyBorder="1">
      <alignment vertical="center"/>
    </xf>
    <xf numFmtId="3" fontId="80" fillId="38" borderId="221" xfId="0" applyNumberFormat="1" applyFont="1" applyFill="1" applyBorder="1">
      <alignment vertical="center"/>
    </xf>
    <xf numFmtId="0" fontId="80" fillId="41" borderId="223" xfId="0" applyFont="1" applyFill="1" applyBorder="1" applyAlignment="1">
      <alignment horizontal="right" vertical="center"/>
    </xf>
    <xf numFmtId="9" fontId="80" fillId="0" borderId="194" xfId="3547" applyFont="1" applyFill="1" applyBorder="1" applyAlignment="1">
      <alignment horizontal="right" vertical="center"/>
    </xf>
    <xf numFmtId="4" fontId="80" fillId="0" borderId="194" xfId="0" applyNumberFormat="1" applyFont="1" applyBorder="1" applyAlignment="1">
      <alignment horizontal="right" vertical="center"/>
    </xf>
    <xf numFmtId="0" fontId="80" fillId="41" borderId="194" xfId="0" applyFont="1" applyFill="1" applyBorder="1" applyAlignment="1">
      <alignment horizontal="right" vertical="center"/>
    </xf>
    <xf numFmtId="3" fontId="81" fillId="38" borderId="194" xfId="0" applyNumberFormat="1" applyFont="1" applyFill="1" applyBorder="1">
      <alignment vertical="center"/>
    </xf>
    <xf numFmtId="9" fontId="80" fillId="41" borderId="146" xfId="0" applyNumberFormat="1" applyFont="1" applyFill="1" applyBorder="1" applyAlignment="1">
      <alignment horizontal="right" vertical="center"/>
    </xf>
    <xf numFmtId="9" fontId="80" fillId="41" borderId="184" xfId="0" applyNumberFormat="1" applyFont="1" applyFill="1" applyBorder="1" applyAlignment="1">
      <alignment horizontal="right" vertical="center"/>
    </xf>
    <xf numFmtId="181" fontId="80" fillId="41" borderId="190" xfId="0" applyNumberFormat="1" applyFont="1" applyFill="1" applyBorder="1" applyAlignment="1">
      <alignment horizontal="right" vertical="center"/>
    </xf>
    <xf numFmtId="0" fontId="80" fillId="0" borderId="0" xfId="0" applyFont="1">
      <alignment vertical="center"/>
    </xf>
    <xf numFmtId="0" fontId="80" fillId="0" borderId="0" xfId="0" applyFont="1" applyAlignment="1">
      <alignment vertical="center" wrapText="1"/>
    </xf>
    <xf numFmtId="0" fontId="80" fillId="30" borderId="0" xfId="0" applyFont="1" applyFill="1">
      <alignment vertical="center"/>
    </xf>
    <xf numFmtId="0" fontId="95" fillId="0" borderId="0" xfId="0" applyFont="1">
      <alignment vertical="center"/>
    </xf>
    <xf numFmtId="177" fontId="80" fillId="0" borderId="0" xfId="0" applyNumberFormat="1" applyFont="1">
      <alignment vertical="center"/>
    </xf>
    <xf numFmtId="3" fontId="80" fillId="0" borderId="0" xfId="0" applyNumberFormat="1" applyFont="1">
      <alignment vertical="center"/>
    </xf>
    <xf numFmtId="182" fontId="80" fillId="0" borderId="0" xfId="3546" applyNumberFormat="1" applyFont="1" applyAlignment="1">
      <alignment vertical="center"/>
    </xf>
    <xf numFmtId="0" fontId="80" fillId="0" borderId="179" xfId="0" applyFont="1" applyBorder="1" applyAlignment="1">
      <alignment vertical="center" wrapText="1"/>
    </xf>
    <xf numFmtId="0" fontId="80" fillId="0" borderId="189" xfId="0" applyFont="1" applyBorder="1" applyAlignment="1">
      <alignment vertical="center" wrapText="1"/>
    </xf>
    <xf numFmtId="0" fontId="96" fillId="67" borderId="187" xfId="0" applyFont="1" applyFill="1" applyBorder="1">
      <alignment vertical="center"/>
    </xf>
    <xf numFmtId="0" fontId="81" fillId="67" borderId="0" xfId="0" applyFont="1" applyFill="1">
      <alignment vertical="center"/>
    </xf>
    <xf numFmtId="0" fontId="75" fillId="67" borderId="0" xfId="0" applyFont="1" applyFill="1">
      <alignment vertical="center"/>
    </xf>
    <xf numFmtId="9" fontId="75" fillId="0" borderId="0" xfId="0" applyNumberFormat="1" applyFont="1">
      <alignment vertical="center"/>
    </xf>
    <xf numFmtId="0" fontId="97" fillId="0" borderId="0" xfId="0" applyFont="1" applyAlignment="1">
      <alignment vertical="center" wrapText="1"/>
    </xf>
    <xf numFmtId="0" fontId="84" fillId="37" borderId="224" xfId="0" applyFont="1" applyFill="1" applyBorder="1">
      <alignment vertical="center"/>
    </xf>
    <xf numFmtId="0" fontId="79" fillId="38" borderId="225" xfId="0" applyFont="1" applyFill="1" applyBorder="1" applyAlignment="1">
      <alignment horizontal="center" vertical="center" wrapText="1"/>
    </xf>
    <xf numFmtId="0" fontId="99" fillId="37" borderId="0" xfId="0" applyFont="1" applyFill="1">
      <alignment vertical="center"/>
    </xf>
    <xf numFmtId="0" fontId="84" fillId="37" borderId="226" xfId="0" applyFont="1" applyFill="1" applyBorder="1">
      <alignment vertical="center"/>
    </xf>
    <xf numFmtId="3" fontId="80" fillId="0" borderId="151" xfId="0" applyNumberFormat="1" applyFont="1" applyBorder="1">
      <alignment vertical="center"/>
    </xf>
    <xf numFmtId="0" fontId="80" fillId="40" borderId="227" xfId="0" applyFont="1" applyFill="1" applyBorder="1" applyAlignment="1">
      <alignment horizontal="center" vertical="center" wrapText="1"/>
    </xf>
    <xf numFmtId="9" fontId="80" fillId="41" borderId="158" xfId="3546" applyNumberFormat="1" applyFont="1" applyFill="1" applyBorder="1" applyAlignment="1">
      <alignment horizontal="right" vertical="center"/>
    </xf>
    <xf numFmtId="3" fontId="81" fillId="38" borderId="214" xfId="0" applyNumberFormat="1" applyFont="1" applyFill="1" applyBorder="1">
      <alignment vertical="center"/>
    </xf>
    <xf numFmtId="3" fontId="80" fillId="41" borderId="152" xfId="0" applyNumberFormat="1" applyFont="1" applyFill="1" applyBorder="1">
      <alignment vertical="center"/>
    </xf>
    <xf numFmtId="3" fontId="80" fillId="0" borderId="194" xfId="0" applyNumberFormat="1" applyFont="1" applyBorder="1">
      <alignment vertical="center"/>
    </xf>
    <xf numFmtId="3" fontId="80" fillId="0" borderId="146" xfId="0" applyNumberFormat="1" applyFont="1" applyBorder="1">
      <alignment vertical="center"/>
    </xf>
    <xf numFmtId="17" fontId="80" fillId="0" borderId="159" xfId="0" applyNumberFormat="1" applyFont="1" applyBorder="1" applyAlignment="1">
      <alignment horizontal="center" vertical="center"/>
    </xf>
    <xf numFmtId="180" fontId="80" fillId="0" borderId="159" xfId="0" applyNumberFormat="1" applyFont="1" applyBorder="1" applyAlignment="1">
      <alignment horizontal="left" vertical="center"/>
    </xf>
    <xf numFmtId="9" fontId="80" fillId="0" borderId="193" xfId="3547" applyFont="1" applyFill="1" applyBorder="1" applyAlignment="1">
      <alignment horizontal="right" vertical="center"/>
    </xf>
    <xf numFmtId="9" fontId="80" fillId="0" borderId="154" xfId="113" quotePrefix="1" applyNumberFormat="1" applyFont="1" applyBorder="1" applyAlignment="1">
      <alignment horizontal="right" vertical="center"/>
    </xf>
    <xf numFmtId="3" fontId="80" fillId="0" borderId="154" xfId="113" quotePrefix="1" applyNumberFormat="1" applyFont="1" applyBorder="1" applyAlignment="1">
      <alignment horizontal="right" vertical="center"/>
    </xf>
    <xf numFmtId="9" fontId="80" fillId="0" borderId="195" xfId="3547" applyFont="1" applyFill="1" applyBorder="1" applyAlignment="1">
      <alignment horizontal="right" vertical="center"/>
    </xf>
    <xf numFmtId="3" fontId="80" fillId="0" borderId="185" xfId="113" quotePrefix="1" applyNumberFormat="1" applyFont="1" applyBorder="1" applyAlignment="1">
      <alignment horizontal="right" vertical="center"/>
    </xf>
    <xf numFmtId="0" fontId="80" fillId="0" borderId="184" xfId="0" applyFont="1" applyBorder="1" applyAlignment="1">
      <alignment horizontal="right" vertical="center"/>
    </xf>
    <xf numFmtId="0" fontId="101" fillId="0" borderId="0" xfId="0" applyFont="1">
      <alignment vertical="center"/>
    </xf>
    <xf numFmtId="3" fontId="101" fillId="0" borderId="0" xfId="0" applyNumberFormat="1" applyFont="1">
      <alignment vertical="center"/>
    </xf>
    <xf numFmtId="38" fontId="75" fillId="0" borderId="0" xfId="6015" applyFont="1">
      <alignment vertical="center"/>
    </xf>
    <xf numFmtId="3" fontId="80" fillId="0" borderId="146" xfId="0" applyNumberFormat="1" applyFont="1" applyBorder="1" applyAlignment="1">
      <alignment horizontal="right" vertical="center"/>
    </xf>
    <xf numFmtId="3" fontId="80" fillId="0" borderId="256" xfId="0" applyNumberFormat="1" applyFont="1" applyBorder="1">
      <alignment vertical="center"/>
    </xf>
    <xf numFmtId="3" fontId="80" fillId="0" borderId="203" xfId="0" applyNumberFormat="1" applyFont="1" applyBorder="1">
      <alignment vertical="center"/>
    </xf>
    <xf numFmtId="3" fontId="80" fillId="0" borderId="184" xfId="0" applyNumberFormat="1" applyFont="1" applyBorder="1">
      <alignment vertical="center"/>
    </xf>
    <xf numFmtId="3" fontId="80" fillId="0" borderId="195" xfId="0" applyNumberFormat="1" applyFont="1" applyBorder="1">
      <alignment vertical="center"/>
    </xf>
    <xf numFmtId="17" fontId="80" fillId="0" borderId="205" xfId="0" applyNumberFormat="1" applyFont="1" applyBorder="1" applyAlignment="1">
      <alignment horizontal="center" vertical="center"/>
    </xf>
    <xf numFmtId="0" fontId="81" fillId="38" borderId="262" xfId="0" applyFont="1" applyFill="1" applyBorder="1" applyAlignment="1">
      <alignment horizontal="center" vertical="center"/>
    </xf>
    <xf numFmtId="0" fontId="81" fillId="38" borderId="263" xfId="0" applyFont="1" applyFill="1" applyBorder="1" applyAlignment="1">
      <alignment horizontal="center" vertical="center"/>
    </xf>
    <xf numFmtId="180" fontId="80" fillId="0" borderId="205" xfId="0" applyNumberFormat="1" applyFont="1" applyBorder="1" applyAlignment="1">
      <alignment horizontal="left" vertical="center"/>
    </xf>
    <xf numFmtId="3" fontId="80" fillId="0" borderId="151" xfId="0" applyNumberFormat="1" applyFont="1" applyFill="1" applyBorder="1">
      <alignment vertical="center"/>
    </xf>
    <xf numFmtId="3" fontId="80" fillId="0" borderId="193" xfId="0" applyNumberFormat="1" applyFont="1" applyFill="1" applyBorder="1">
      <alignment vertical="center"/>
    </xf>
    <xf numFmtId="3" fontId="80" fillId="0" borderId="146" xfId="0" applyNumberFormat="1" applyFont="1" applyFill="1" applyBorder="1">
      <alignment vertical="center"/>
    </xf>
    <xf numFmtId="3" fontId="80" fillId="0" borderId="194" xfId="0" applyNumberFormat="1" applyFont="1" applyFill="1" applyBorder="1">
      <alignment vertical="center"/>
    </xf>
    <xf numFmtId="3" fontId="80" fillId="0" borderId="184" xfId="0" applyNumberFormat="1" applyFont="1" applyFill="1" applyBorder="1">
      <alignment vertical="center"/>
    </xf>
    <xf numFmtId="3" fontId="80" fillId="0" borderId="195" xfId="0" applyNumberFormat="1" applyFont="1" applyFill="1" applyBorder="1">
      <alignment vertical="center"/>
    </xf>
    <xf numFmtId="3" fontId="80" fillId="0" borderId="194" xfId="0" applyNumberFormat="1" applyFont="1" applyFill="1" applyBorder="1" applyAlignment="1">
      <alignment horizontal="right" vertical="center"/>
    </xf>
    <xf numFmtId="3" fontId="80" fillId="0" borderId="148" xfId="0" applyNumberFormat="1" applyFont="1" applyFill="1" applyBorder="1">
      <alignment vertical="center"/>
    </xf>
    <xf numFmtId="3" fontId="80" fillId="0" borderId="253" xfId="0" applyNumberFormat="1" applyFont="1" applyFill="1" applyBorder="1" applyAlignment="1">
      <alignment horizontal="right" vertical="center"/>
    </xf>
    <xf numFmtId="3" fontId="80" fillId="0" borderId="255" xfId="0" applyNumberFormat="1" applyFont="1" applyFill="1" applyBorder="1">
      <alignment vertical="center"/>
    </xf>
    <xf numFmtId="3" fontId="80" fillId="0" borderId="254" xfId="0" applyNumberFormat="1" applyFont="1" applyFill="1" applyBorder="1">
      <alignment vertical="center"/>
    </xf>
    <xf numFmtId="0" fontId="80" fillId="0" borderId="190" xfId="0" applyFont="1" applyFill="1" applyBorder="1" applyAlignment="1">
      <alignment horizontal="right" vertical="center"/>
    </xf>
    <xf numFmtId="9" fontId="80" fillId="0" borderId="190" xfId="0" applyNumberFormat="1" applyFont="1" applyFill="1" applyBorder="1" applyAlignment="1">
      <alignment horizontal="right" vertical="center"/>
    </xf>
    <xf numFmtId="0" fontId="80" fillId="0" borderId="146" xfId="0" applyFont="1" applyFill="1" applyBorder="1" applyAlignment="1">
      <alignment horizontal="right" vertical="center"/>
    </xf>
    <xf numFmtId="0" fontId="80" fillId="0" borderId="184" xfId="0" applyFont="1" applyFill="1" applyBorder="1" applyAlignment="1">
      <alignment horizontal="right" vertical="center"/>
    </xf>
    <xf numFmtId="9" fontId="80" fillId="0" borderId="190" xfId="0" quotePrefix="1" applyNumberFormat="1" applyFont="1" applyFill="1" applyBorder="1" applyAlignment="1">
      <alignment horizontal="right" vertical="center"/>
    </xf>
    <xf numFmtId="0" fontId="78" fillId="0" borderId="0" xfId="0" applyFont="1" applyAlignment="1">
      <alignment horizontal="center" vertical="center"/>
    </xf>
    <xf numFmtId="0" fontId="82" fillId="37" borderId="187" xfId="0" applyFont="1" applyFill="1" applyBorder="1" applyAlignment="1">
      <alignment horizontal="left" vertical="center"/>
    </xf>
    <xf numFmtId="0" fontId="82" fillId="37" borderId="0" xfId="0" applyFont="1" applyFill="1" applyAlignment="1">
      <alignment horizontal="left" vertical="center"/>
    </xf>
    <xf numFmtId="0" fontId="82" fillId="37" borderId="213" xfId="0" applyFont="1" applyFill="1" applyBorder="1" applyAlignment="1">
      <alignment horizontal="left" vertical="center"/>
    </xf>
    <xf numFmtId="0" fontId="82" fillId="37" borderId="257" xfId="0" applyFont="1" applyFill="1" applyBorder="1" applyAlignment="1">
      <alignment horizontal="left" vertical="center"/>
    </xf>
    <xf numFmtId="0" fontId="82" fillId="37" borderId="258" xfId="0" applyFont="1" applyFill="1" applyBorder="1" applyAlignment="1">
      <alignment horizontal="left" vertical="center"/>
    </xf>
    <xf numFmtId="0" fontId="82" fillId="37" borderId="259" xfId="0" applyFont="1" applyFill="1" applyBorder="1" applyAlignment="1">
      <alignment horizontal="left" vertical="center"/>
    </xf>
    <xf numFmtId="0" fontId="80" fillId="0" borderId="187" xfId="0" applyFont="1" applyBorder="1" applyAlignment="1">
      <alignment horizontal="left" vertical="center" wrapText="1"/>
    </xf>
    <xf numFmtId="0" fontId="80" fillId="0" borderId="0" xfId="0" applyFont="1" applyAlignment="1">
      <alignment horizontal="left" vertical="center" wrapText="1"/>
    </xf>
    <xf numFmtId="0" fontId="80" fillId="0" borderId="0" xfId="0" applyFont="1" applyAlignment="1">
      <alignment horizontal="left" vertical="center"/>
    </xf>
    <xf numFmtId="0" fontId="80" fillId="0" borderId="213" xfId="0" applyFont="1" applyBorder="1" applyAlignment="1">
      <alignment horizontal="left" vertical="center"/>
    </xf>
    <xf numFmtId="0" fontId="80" fillId="0" borderId="159" xfId="0" applyFont="1" applyBorder="1" applyAlignment="1">
      <alignment horizontal="left" vertical="center" wrapText="1"/>
    </xf>
    <xf numFmtId="0" fontId="82" fillId="37" borderId="260" xfId="0" applyFont="1" applyFill="1" applyBorder="1" applyAlignment="1">
      <alignment horizontal="left" vertical="center"/>
    </xf>
    <xf numFmtId="0" fontId="82" fillId="37" borderId="159" xfId="0" applyFont="1" applyFill="1" applyBorder="1" applyAlignment="1">
      <alignment horizontal="left" vertical="center"/>
    </xf>
    <xf numFmtId="0" fontId="82" fillId="37" borderId="261" xfId="0" applyFont="1" applyFill="1" applyBorder="1" applyAlignment="1">
      <alignment horizontal="left" vertical="center"/>
    </xf>
    <xf numFmtId="0" fontId="81" fillId="38" borderId="263" xfId="0" applyFont="1" applyFill="1" applyBorder="1" applyAlignment="1">
      <alignment horizontal="center" vertical="center"/>
    </xf>
    <xf numFmtId="0" fontId="81" fillId="38" borderId="264" xfId="0" applyFont="1" applyFill="1" applyBorder="1" applyAlignment="1">
      <alignment horizontal="center" vertical="center"/>
    </xf>
    <xf numFmtId="0" fontId="80" fillId="0" borderId="213" xfId="0" applyFont="1" applyBorder="1" applyAlignment="1">
      <alignment horizontal="left" vertical="center" wrapText="1"/>
    </xf>
    <xf numFmtId="0" fontId="82" fillId="37" borderId="244" xfId="0" applyFont="1" applyFill="1" applyBorder="1" applyAlignment="1">
      <alignment horizontal="left" vertical="center"/>
    </xf>
    <xf numFmtId="0" fontId="82" fillId="37" borderId="146" xfId="0" applyFont="1" applyFill="1" applyBorder="1" applyAlignment="1">
      <alignment horizontal="left" vertical="center"/>
    </xf>
    <xf numFmtId="0" fontId="82" fillId="37" borderId="147" xfId="0" applyFont="1" applyFill="1" applyBorder="1" applyAlignment="1">
      <alignment horizontal="left" vertical="center"/>
    </xf>
    <xf numFmtId="0" fontId="86" fillId="0" borderId="187" xfId="116" applyFont="1" applyBorder="1" applyAlignment="1" applyProtection="1">
      <alignment horizontal="left" vertical="center" wrapText="1"/>
    </xf>
    <xf numFmtId="0" fontId="86" fillId="0" borderId="0" xfId="116" applyFont="1" applyBorder="1" applyAlignment="1" applyProtection="1">
      <alignment horizontal="left" vertical="center" wrapText="1"/>
    </xf>
    <xf numFmtId="0" fontId="82" fillId="37" borderId="216" xfId="0" applyFont="1" applyFill="1" applyBorder="1" applyAlignment="1">
      <alignment horizontal="left" vertical="center"/>
    </xf>
    <xf numFmtId="0" fontId="82" fillId="37" borderId="160" xfId="0" applyFont="1" applyFill="1" applyBorder="1" applyAlignment="1">
      <alignment horizontal="left" vertical="center"/>
    </xf>
    <xf numFmtId="0" fontId="80" fillId="0" borderId="244" xfId="0" applyFont="1" applyBorder="1" applyAlignment="1">
      <alignment horizontal="left" vertical="center" wrapText="1"/>
    </xf>
    <xf numFmtId="0" fontId="80" fillId="0" borderId="146" xfId="0" applyFont="1" applyBorder="1" applyAlignment="1">
      <alignment horizontal="left" vertical="center" wrapText="1"/>
    </xf>
    <xf numFmtId="0" fontId="80" fillId="0" borderId="147" xfId="0" applyFont="1" applyBorder="1" applyAlignment="1">
      <alignment horizontal="left" vertical="center" wrapText="1"/>
    </xf>
    <xf numFmtId="0" fontId="80" fillId="0" borderId="265" xfId="0" applyFont="1" applyBorder="1" applyAlignment="1">
      <alignment horizontal="left" vertical="center" wrapText="1"/>
    </xf>
    <xf numFmtId="0" fontId="80" fillId="0" borderId="151" xfId="0" applyFont="1" applyBorder="1" applyAlignment="1">
      <alignment horizontal="left" vertical="center" wrapText="1"/>
    </xf>
    <xf numFmtId="0" fontId="80" fillId="0" borderId="151" xfId="0" applyFont="1" applyBorder="1" applyAlignment="1">
      <alignment horizontal="left" vertical="center"/>
    </xf>
    <xf numFmtId="0" fontId="80" fillId="0" borderId="150" xfId="0" applyFont="1" applyBorder="1" applyAlignment="1">
      <alignment horizontal="left" vertical="center"/>
    </xf>
    <xf numFmtId="0" fontId="80" fillId="0" borderId="222" xfId="0" applyFont="1" applyBorder="1" applyAlignment="1">
      <alignment horizontal="left" vertical="center" wrapText="1"/>
    </xf>
    <xf numFmtId="0" fontId="80" fillId="0" borderId="190" xfId="0" applyFont="1" applyBorder="1" applyAlignment="1">
      <alignment horizontal="left" vertical="center" wrapText="1"/>
    </xf>
    <xf numFmtId="0" fontId="80" fillId="0" borderId="180" xfId="0" applyFont="1" applyBorder="1" applyAlignment="1">
      <alignment horizontal="left" vertical="center" wrapText="1"/>
    </xf>
    <xf numFmtId="0" fontId="100" fillId="37" borderId="0" xfId="0" applyFont="1" applyFill="1" applyAlignment="1">
      <alignment horizontal="center" vertical="center"/>
    </xf>
    <xf numFmtId="3" fontId="80" fillId="0" borderId="204" xfId="0" applyNumberFormat="1" applyFont="1" applyBorder="1" applyAlignment="1">
      <alignment horizontal="center" vertical="center"/>
    </xf>
    <xf numFmtId="3" fontId="80" fillId="0" borderId="205" xfId="0" applyNumberFormat="1" applyFont="1" applyBorder="1" applyAlignment="1">
      <alignment horizontal="center" vertical="center"/>
    </xf>
    <xf numFmtId="3" fontId="80" fillId="0" borderId="206" xfId="0" applyNumberFormat="1" applyFont="1" applyBorder="1" applyAlignment="1">
      <alignment horizontal="center" vertical="center"/>
    </xf>
    <xf numFmtId="3" fontId="80" fillId="0" borderId="207" xfId="0" applyNumberFormat="1" applyFont="1" applyBorder="1" applyAlignment="1">
      <alignment horizontal="center" vertical="center"/>
    </xf>
    <xf numFmtId="0" fontId="79" fillId="38" borderId="186" xfId="0" applyFont="1" applyFill="1" applyBorder="1" applyAlignment="1">
      <alignment horizontal="center" vertical="center"/>
    </xf>
    <xf numFmtId="0" fontId="79" fillId="38" borderId="189" xfId="0" applyFont="1" applyFill="1" applyBorder="1" applyAlignment="1">
      <alignment horizontal="center" vertical="center"/>
    </xf>
    <xf numFmtId="0" fontId="79" fillId="38" borderId="187" xfId="0" applyFont="1" applyFill="1" applyBorder="1" applyAlignment="1">
      <alignment horizontal="center" vertical="center"/>
    </xf>
    <xf numFmtId="0" fontId="79" fillId="38" borderId="160" xfId="0" applyFont="1" applyFill="1" applyBorder="1" applyAlignment="1">
      <alignment horizontal="center" vertical="center"/>
    </xf>
    <xf numFmtId="0" fontId="79" fillId="38" borderId="191" xfId="0" applyFont="1" applyFill="1" applyBorder="1" applyAlignment="1">
      <alignment horizontal="center" vertical="center"/>
    </xf>
    <xf numFmtId="0" fontId="79" fillId="38" borderId="192" xfId="0" applyFont="1" applyFill="1" applyBorder="1" applyAlignment="1">
      <alignment horizontal="center" vertical="center"/>
    </xf>
    <xf numFmtId="0" fontId="81" fillId="38" borderId="209" xfId="0" applyFont="1" applyFill="1" applyBorder="1" applyAlignment="1">
      <alignment horizontal="center" vertical="center"/>
    </xf>
    <xf numFmtId="0" fontId="81" fillId="38" borderId="222" xfId="0" applyFont="1" applyFill="1" applyBorder="1" applyAlignment="1">
      <alignment horizontal="center" vertical="center"/>
    </xf>
    <xf numFmtId="0" fontId="81" fillId="38" borderId="216" xfId="0" applyFont="1" applyFill="1" applyBorder="1" applyAlignment="1">
      <alignment horizontal="center" vertical="center"/>
    </xf>
    <xf numFmtId="0" fontId="81" fillId="38" borderId="210" xfId="0" applyFont="1" applyFill="1" applyBorder="1" applyAlignment="1">
      <alignment horizontal="center" vertical="center"/>
    </xf>
    <xf numFmtId="0" fontId="80" fillId="36" borderId="186" xfId="0" applyFont="1" applyFill="1" applyBorder="1" applyAlignment="1">
      <alignment horizontal="center" vertical="center" wrapText="1"/>
    </xf>
    <xf numFmtId="0" fontId="80" fillId="36" borderId="187" xfId="0" applyFont="1" applyFill="1" applyBorder="1" applyAlignment="1">
      <alignment horizontal="center" vertical="center" wrapText="1"/>
    </xf>
    <xf numFmtId="0" fontId="80" fillId="36" borderId="199" xfId="0" applyFont="1" applyFill="1" applyBorder="1" applyAlignment="1">
      <alignment horizontal="center" vertical="center" wrapText="1"/>
    </xf>
    <xf numFmtId="0" fontId="80" fillId="36" borderId="189" xfId="0" applyFont="1" applyFill="1" applyBorder="1" applyAlignment="1">
      <alignment horizontal="center" vertical="center" wrapText="1"/>
    </xf>
    <xf numFmtId="0" fontId="80" fillId="36" borderId="160" xfId="0" applyFont="1" applyFill="1" applyBorder="1" applyAlignment="1">
      <alignment horizontal="center" vertical="center" wrapText="1"/>
    </xf>
    <xf numFmtId="0" fontId="80" fillId="36" borderId="183" xfId="0" applyFont="1" applyFill="1" applyBorder="1" applyAlignment="1">
      <alignment horizontal="center" vertical="center" wrapText="1"/>
    </xf>
    <xf numFmtId="0" fontId="80" fillId="35" borderId="186" xfId="0" applyFont="1" applyFill="1" applyBorder="1" applyAlignment="1">
      <alignment horizontal="center" vertical="center" wrapText="1"/>
    </xf>
    <xf numFmtId="0" fontId="80" fillId="35" borderId="187" xfId="0" applyFont="1" applyFill="1" applyBorder="1" applyAlignment="1">
      <alignment horizontal="center" vertical="center" wrapText="1"/>
    </xf>
    <xf numFmtId="0" fontId="80" fillId="35" borderId="199" xfId="0" applyFont="1" applyFill="1" applyBorder="1" applyAlignment="1">
      <alignment horizontal="center" vertical="center" wrapText="1"/>
    </xf>
    <xf numFmtId="0" fontId="80" fillId="35" borderId="189" xfId="0" applyFont="1" applyFill="1" applyBorder="1" applyAlignment="1">
      <alignment horizontal="center" vertical="center" wrapText="1"/>
    </xf>
    <xf numFmtId="0" fontId="80" fillId="35" borderId="160" xfId="0" applyFont="1" applyFill="1" applyBorder="1" applyAlignment="1">
      <alignment horizontal="center" vertical="center" wrapText="1"/>
    </xf>
    <xf numFmtId="0" fontId="80" fillId="35" borderId="183" xfId="0" applyFont="1" applyFill="1" applyBorder="1" applyAlignment="1">
      <alignment horizontal="center" vertical="center" wrapText="1"/>
    </xf>
    <xf numFmtId="3" fontId="80" fillId="0" borderId="179" xfId="0" applyNumberFormat="1" applyFont="1" applyBorder="1" applyAlignment="1">
      <alignment horizontal="center" vertical="center"/>
    </xf>
    <xf numFmtId="3" fontId="80" fillId="0" borderId="180" xfId="0" applyNumberFormat="1" applyFont="1" applyBorder="1" applyAlignment="1">
      <alignment horizontal="center" vertical="center"/>
    </xf>
    <xf numFmtId="3" fontId="80" fillId="0" borderId="149" xfId="0" applyNumberFormat="1" applyFont="1" applyBorder="1" applyAlignment="1">
      <alignment horizontal="center" vertical="center"/>
    </xf>
    <xf numFmtId="3" fontId="80" fillId="0" borderId="192" xfId="0" applyNumberFormat="1" applyFont="1" applyBorder="1" applyAlignment="1">
      <alignment horizontal="center" vertical="center"/>
    </xf>
    <xf numFmtId="0" fontId="79" fillId="38" borderId="114" xfId="0" applyFont="1" applyFill="1" applyBorder="1" applyAlignment="1">
      <alignment horizontal="center" vertical="center" wrapText="1"/>
    </xf>
    <xf numFmtId="0" fontId="79" fillId="38" borderId="143" xfId="0" applyFont="1" applyFill="1" applyBorder="1" applyAlignment="1">
      <alignment horizontal="center" vertical="center" wrapText="1"/>
    </xf>
    <xf numFmtId="0" fontId="80" fillId="34" borderId="186" xfId="0" applyFont="1" applyFill="1" applyBorder="1" applyAlignment="1">
      <alignment horizontal="center" vertical="center" wrapText="1"/>
    </xf>
    <xf numFmtId="0" fontId="80" fillId="34" borderId="187" xfId="0" applyFont="1" applyFill="1" applyBorder="1" applyAlignment="1">
      <alignment horizontal="center" vertical="center" wrapText="1"/>
    </xf>
    <xf numFmtId="0" fontId="80" fillId="34" borderId="199" xfId="0" applyFont="1" applyFill="1" applyBorder="1" applyAlignment="1">
      <alignment horizontal="center" vertical="center" wrapText="1"/>
    </xf>
    <xf numFmtId="0" fontId="80" fillId="34" borderId="189" xfId="0" applyFont="1" applyFill="1" applyBorder="1" applyAlignment="1">
      <alignment horizontal="center" vertical="center" wrapText="1"/>
    </xf>
    <xf numFmtId="0" fontId="80" fillId="34" borderId="160" xfId="0" applyFont="1" applyFill="1" applyBorder="1" applyAlignment="1">
      <alignment horizontal="center" vertical="center" wrapText="1"/>
    </xf>
    <xf numFmtId="0" fontId="80" fillId="34" borderId="183" xfId="0" applyFont="1" applyFill="1" applyBorder="1" applyAlignment="1">
      <alignment horizontal="center" vertical="center" wrapText="1"/>
    </xf>
    <xf numFmtId="0" fontId="80" fillId="33" borderId="196" xfId="0" applyFont="1" applyFill="1" applyBorder="1" applyAlignment="1">
      <alignment horizontal="center" vertical="center"/>
    </xf>
    <xf numFmtId="0" fontId="80" fillId="33" borderId="197" xfId="0" applyFont="1" applyFill="1" applyBorder="1" applyAlignment="1">
      <alignment horizontal="center" vertical="center"/>
    </xf>
    <xf numFmtId="0" fontId="80" fillId="33" borderId="198" xfId="0" applyFont="1" applyFill="1" applyBorder="1" applyAlignment="1">
      <alignment horizontal="center" vertical="center"/>
    </xf>
    <xf numFmtId="0" fontId="80" fillId="33" borderId="189" xfId="0" applyFont="1" applyFill="1" applyBorder="1" applyAlignment="1">
      <alignment horizontal="center" vertical="center" wrapText="1"/>
    </xf>
    <xf numFmtId="0" fontId="80" fillId="33" borderId="160" xfId="0" applyFont="1" applyFill="1" applyBorder="1" applyAlignment="1">
      <alignment horizontal="center" vertical="center" wrapText="1"/>
    </xf>
    <xf numFmtId="0" fontId="80" fillId="33" borderId="183" xfId="0" applyFont="1" applyFill="1" applyBorder="1" applyAlignment="1">
      <alignment horizontal="center" vertical="center" wrapText="1"/>
    </xf>
    <xf numFmtId="0" fontId="80" fillId="33" borderId="179" xfId="0" applyFont="1" applyFill="1" applyBorder="1" applyAlignment="1">
      <alignment horizontal="center" vertical="center" wrapText="1"/>
    </xf>
    <xf numFmtId="0" fontId="80" fillId="33" borderId="181" xfId="0" applyFont="1" applyFill="1" applyBorder="1" applyAlignment="1">
      <alignment horizontal="center" vertical="center"/>
    </xf>
    <xf numFmtId="0" fontId="80" fillId="33" borderId="0" xfId="0" applyFont="1" applyFill="1" applyAlignment="1">
      <alignment horizontal="center" vertical="center"/>
    </xf>
    <xf numFmtId="0" fontId="80" fillId="33" borderId="182" xfId="0" applyFont="1" applyFill="1" applyBorder="1" applyAlignment="1">
      <alignment horizontal="center" vertical="center"/>
    </xf>
    <xf numFmtId="0" fontId="80" fillId="33" borderId="186" xfId="0" applyFont="1" applyFill="1" applyBorder="1" applyAlignment="1">
      <alignment horizontal="center" vertical="center"/>
    </xf>
    <xf numFmtId="0" fontId="80" fillId="33" borderId="187" xfId="0" applyFont="1" applyFill="1" applyBorder="1" applyAlignment="1">
      <alignment horizontal="center" vertical="center"/>
    </xf>
    <xf numFmtId="0" fontId="80" fillId="33" borderId="188" xfId="0" applyFont="1" applyFill="1" applyBorder="1" applyAlignment="1">
      <alignment horizontal="center" vertical="center"/>
    </xf>
    <xf numFmtId="0" fontId="80" fillId="33" borderId="180" xfId="0" applyFont="1" applyFill="1" applyBorder="1" applyAlignment="1">
      <alignment horizontal="center" vertical="center" wrapText="1"/>
    </xf>
    <xf numFmtId="0" fontId="80" fillId="33" borderId="211" xfId="0" applyFont="1" applyFill="1" applyBorder="1" applyAlignment="1">
      <alignment horizontal="center" vertical="center" wrapText="1"/>
    </xf>
    <xf numFmtId="0" fontId="80" fillId="33" borderId="0" xfId="0" applyFont="1" applyFill="1" applyAlignment="1">
      <alignment horizontal="center" vertical="center" wrapText="1"/>
    </xf>
    <xf numFmtId="0" fontId="80" fillId="33" borderId="182" xfId="0" applyFont="1" applyFill="1" applyBorder="1" applyAlignment="1">
      <alignment horizontal="center" vertical="center" wrapText="1"/>
    </xf>
    <xf numFmtId="0" fontId="84" fillId="39" borderId="224" xfId="0" applyFont="1" applyFill="1" applyBorder="1" applyAlignment="1">
      <alignment horizontal="left" vertical="center"/>
    </xf>
    <xf numFmtId="0" fontId="84" fillId="39" borderId="144" xfId="0" applyFont="1" applyFill="1" applyBorder="1" applyAlignment="1">
      <alignment horizontal="left" vertical="center"/>
    </xf>
    <xf numFmtId="0" fontId="84" fillId="39" borderId="143" xfId="0" applyFont="1" applyFill="1" applyBorder="1" applyAlignment="1">
      <alignment horizontal="left" vertical="center"/>
    </xf>
    <xf numFmtId="0" fontId="81" fillId="38" borderId="156" xfId="0" applyFont="1" applyFill="1" applyBorder="1" applyAlignment="1">
      <alignment horizontal="left" vertical="center"/>
    </xf>
    <xf numFmtId="0" fontId="81" fillId="38" borderId="157" xfId="0" applyFont="1" applyFill="1" applyBorder="1" applyAlignment="1">
      <alignment horizontal="left" vertical="center"/>
    </xf>
    <xf numFmtId="0" fontId="98" fillId="67" borderId="187" xfId="0" applyFont="1" applyFill="1" applyBorder="1" applyAlignment="1">
      <alignment horizontal="center" vertical="center"/>
    </xf>
    <xf numFmtId="0" fontId="98" fillId="67" borderId="0" xfId="0" applyFont="1" applyFill="1" applyAlignment="1">
      <alignment horizontal="center" vertical="center"/>
    </xf>
    <xf numFmtId="180" fontId="80" fillId="41" borderId="159" xfId="0" applyNumberFormat="1" applyFont="1" applyFill="1" applyBorder="1" applyAlignment="1">
      <alignment horizontal="left" vertical="center"/>
    </xf>
    <xf numFmtId="17" fontId="80" fillId="41" borderId="159" xfId="0" applyNumberFormat="1" applyFont="1" applyFill="1" applyBorder="1" applyAlignment="1">
      <alignment horizontal="center" vertical="center"/>
    </xf>
    <xf numFmtId="0" fontId="80" fillId="41" borderId="244" xfId="0" applyFont="1" applyFill="1" applyBorder="1" applyAlignment="1">
      <alignment horizontal="left" vertical="center" wrapText="1"/>
    </xf>
    <xf numFmtId="0" fontId="80" fillId="41" borderId="146" xfId="0" applyFont="1" applyFill="1" applyBorder="1" applyAlignment="1">
      <alignment horizontal="left" vertical="center" wrapText="1"/>
    </xf>
    <xf numFmtId="0" fontId="80" fillId="41" borderId="147" xfId="0" applyFont="1" applyFill="1" applyBorder="1" applyAlignment="1">
      <alignment horizontal="left" vertical="center" wrapText="1"/>
    </xf>
    <xf numFmtId="0" fontId="80" fillId="41" borderId="210" xfId="0" applyFont="1" applyFill="1" applyBorder="1" applyAlignment="1">
      <alignment horizontal="left" vertical="center" wrapText="1"/>
    </xf>
    <xf numFmtId="0" fontId="80" fillId="41" borderId="21" xfId="0" applyFont="1" applyFill="1" applyBorder="1" applyAlignment="1">
      <alignment horizontal="left" vertical="center" wrapText="1"/>
    </xf>
    <xf numFmtId="0" fontId="80" fillId="41" borderId="21" xfId="0" applyFont="1" applyFill="1" applyBorder="1" applyAlignment="1">
      <alignment horizontal="left" vertical="center"/>
    </xf>
    <xf numFmtId="0" fontId="80" fillId="41" borderId="192" xfId="0" applyFont="1" applyFill="1" applyBorder="1" applyAlignment="1">
      <alignment horizontal="left" vertical="center"/>
    </xf>
  </cellXfs>
  <cellStyles count="6031">
    <cellStyle name="???????????" xfId="290" xr:uid="{00000000-0005-0000-0000-000000000000}"/>
    <cellStyle name="20 % - Akzent1" xfId="164" xr:uid="{00000000-0005-0000-0000-000002000000}"/>
    <cellStyle name="20 % - Akzent1 2" xfId="477" xr:uid="{00000000-0005-0000-0000-000003000000}"/>
    <cellStyle name="20 % - Akzent1 3" xfId="346" xr:uid="{00000000-0005-0000-0000-000004000000}"/>
    <cellStyle name="20 % - Akzent1 4" xfId="3580" hidden="1" xr:uid="{00000000-0005-0000-0000-000005000000}"/>
    <cellStyle name="20 % - Akzent1 4" xfId="3752" hidden="1" xr:uid="{00000000-0005-0000-0000-000006000000}"/>
    <cellStyle name="20 % - Akzent1 4" xfId="4324" hidden="1" xr:uid="{00000000-0005-0000-0000-000007000000}"/>
    <cellStyle name="20 % - Akzent1 4" xfId="4475" hidden="1" xr:uid="{00000000-0005-0000-0000-000008000000}"/>
    <cellStyle name="20 % - Akzent1 4" xfId="3624" hidden="1" xr:uid="{00000000-0005-0000-0000-000009000000}"/>
    <cellStyle name="20 % - Akzent1 4" xfId="4524" hidden="1" xr:uid="{00000000-0005-0000-0000-00000A000000}"/>
    <cellStyle name="20 % - Akzent1 4" xfId="4555" hidden="1" xr:uid="{00000000-0005-0000-0000-00000B000000}"/>
    <cellStyle name="20 % - Akzent1 4" xfId="4636" hidden="1" xr:uid="{00000000-0005-0000-0000-00000C000000}"/>
    <cellStyle name="20 % - Akzent1 4" xfId="5444" hidden="1" xr:uid="{00000000-0005-0000-0000-00000D000000}"/>
    <cellStyle name="20 % - Akzent2" xfId="165" xr:uid="{00000000-0005-0000-0000-00000E000000}"/>
    <cellStyle name="20 % - Akzent2 2" xfId="478" xr:uid="{00000000-0005-0000-0000-00000F000000}"/>
    <cellStyle name="20 % - Akzent2 3" xfId="347" xr:uid="{00000000-0005-0000-0000-000010000000}"/>
    <cellStyle name="20 % - Akzent2 4" xfId="3583" hidden="1" xr:uid="{00000000-0005-0000-0000-000011000000}"/>
    <cellStyle name="20 % - Akzent2 4" xfId="3876" hidden="1" xr:uid="{00000000-0005-0000-0000-000012000000}"/>
    <cellStyle name="20 % - Akzent2 4" xfId="4421" hidden="1" xr:uid="{00000000-0005-0000-0000-000013000000}"/>
    <cellStyle name="20 % - Akzent2 4" xfId="4460" hidden="1" xr:uid="{00000000-0005-0000-0000-000014000000}"/>
    <cellStyle name="20 % - Akzent2 4" xfId="4474" hidden="1" xr:uid="{00000000-0005-0000-0000-000015000000}"/>
    <cellStyle name="20 % - Akzent2 4" xfId="4532" hidden="1" xr:uid="{00000000-0005-0000-0000-000016000000}"/>
    <cellStyle name="20 % - Akzent2 4" xfId="4558" hidden="1" xr:uid="{00000000-0005-0000-0000-000017000000}"/>
    <cellStyle name="20 % - Akzent2 4" xfId="4682" hidden="1" xr:uid="{00000000-0005-0000-0000-000018000000}"/>
    <cellStyle name="20 % - Akzent2 4" xfId="5447" hidden="1" xr:uid="{00000000-0005-0000-0000-000019000000}"/>
    <cellStyle name="20 % - Akzent3" xfId="166" xr:uid="{00000000-0005-0000-0000-00001A000000}"/>
    <cellStyle name="20 % - Akzent3 2" xfId="479" xr:uid="{00000000-0005-0000-0000-00001B000000}"/>
    <cellStyle name="20 % - Akzent3 3" xfId="348" xr:uid="{00000000-0005-0000-0000-00001C000000}"/>
    <cellStyle name="20 % - Akzent3 4" xfId="3587" hidden="1" xr:uid="{00000000-0005-0000-0000-00001D000000}"/>
    <cellStyle name="20 % - Akzent3 4" xfId="3775" hidden="1" xr:uid="{00000000-0005-0000-0000-00001E000000}"/>
    <cellStyle name="20 % - Akzent3 4" xfId="3658" hidden="1" xr:uid="{00000000-0005-0000-0000-00001F000000}"/>
    <cellStyle name="20 % - Akzent3 4" xfId="3620" hidden="1" xr:uid="{00000000-0005-0000-0000-000020000000}"/>
    <cellStyle name="20 % - Akzent3 4" xfId="4294" hidden="1" xr:uid="{00000000-0005-0000-0000-000021000000}"/>
    <cellStyle name="20 % - Akzent3 4" xfId="4336" hidden="1" xr:uid="{00000000-0005-0000-0000-000022000000}"/>
    <cellStyle name="20 % - Akzent3 4" xfId="4561" hidden="1" xr:uid="{00000000-0005-0000-0000-000023000000}"/>
    <cellStyle name="20 % - Akzent3 4" xfId="4643" hidden="1" xr:uid="{00000000-0005-0000-0000-000024000000}"/>
    <cellStyle name="20 % - Akzent3 4" xfId="5450" hidden="1" xr:uid="{00000000-0005-0000-0000-000025000000}"/>
    <cellStyle name="20 % - Akzent4" xfId="167" xr:uid="{00000000-0005-0000-0000-000026000000}"/>
    <cellStyle name="20 % - Akzent4 2" xfId="480" xr:uid="{00000000-0005-0000-0000-000027000000}"/>
    <cellStyle name="20 % - Akzent4 3" xfId="349" xr:uid="{00000000-0005-0000-0000-000028000000}"/>
    <cellStyle name="20 % - Akzent4 4" xfId="3591" hidden="1" xr:uid="{00000000-0005-0000-0000-000029000000}"/>
    <cellStyle name="20 % - Akzent4 4" xfId="3774" hidden="1" xr:uid="{00000000-0005-0000-0000-00002A000000}"/>
    <cellStyle name="20 % - Akzent4 4" xfId="4457" hidden="1" xr:uid="{00000000-0005-0000-0000-00002B000000}"/>
    <cellStyle name="20 % - Akzent4 4" xfId="3861" hidden="1" xr:uid="{00000000-0005-0000-0000-00002C000000}"/>
    <cellStyle name="20 % - Akzent4 4" xfId="4316" hidden="1" xr:uid="{00000000-0005-0000-0000-00002D000000}"/>
    <cellStyle name="20 % - Akzent4 4" xfId="4535" hidden="1" xr:uid="{00000000-0005-0000-0000-00002E000000}"/>
    <cellStyle name="20 % - Akzent4 4" xfId="4564" hidden="1" xr:uid="{00000000-0005-0000-0000-00002F000000}"/>
    <cellStyle name="20 % - Akzent4 4" xfId="4642" hidden="1" xr:uid="{00000000-0005-0000-0000-000030000000}"/>
    <cellStyle name="20 % - Akzent4 4" xfId="5453" hidden="1" xr:uid="{00000000-0005-0000-0000-000031000000}"/>
    <cellStyle name="20 % - Akzent5" xfId="168" xr:uid="{00000000-0005-0000-0000-000032000000}"/>
    <cellStyle name="20 % - Akzent5 2" xfId="481" xr:uid="{00000000-0005-0000-0000-000033000000}"/>
    <cellStyle name="20 % - Akzent5 3" xfId="350" xr:uid="{00000000-0005-0000-0000-000034000000}"/>
    <cellStyle name="20 % - Akzent5 4" xfId="3595" hidden="1" xr:uid="{00000000-0005-0000-0000-000035000000}"/>
    <cellStyle name="20 % - Akzent5 4" xfId="3763" hidden="1" xr:uid="{00000000-0005-0000-0000-000036000000}"/>
    <cellStyle name="20 % - Akzent5 4" xfId="4484" hidden="1" xr:uid="{00000000-0005-0000-0000-000037000000}"/>
    <cellStyle name="20 % - Akzent5 4" xfId="4492" hidden="1" xr:uid="{00000000-0005-0000-0000-000038000000}"/>
    <cellStyle name="20 % - Akzent5 4" xfId="4432" hidden="1" xr:uid="{00000000-0005-0000-0000-000039000000}"/>
    <cellStyle name="20 % - Akzent5 4" xfId="4540" hidden="1" xr:uid="{00000000-0005-0000-0000-00003A000000}"/>
    <cellStyle name="20 % - Akzent5 4" xfId="4567" hidden="1" xr:uid="{00000000-0005-0000-0000-00003B000000}"/>
    <cellStyle name="20 % - Akzent5 4" xfId="4640" hidden="1" xr:uid="{00000000-0005-0000-0000-00003C000000}"/>
    <cellStyle name="20 % - Akzent5 4" xfId="5456" hidden="1" xr:uid="{00000000-0005-0000-0000-00003D000000}"/>
    <cellStyle name="20 % - Akzent6" xfId="169" xr:uid="{00000000-0005-0000-0000-00003E000000}"/>
    <cellStyle name="20 % - Akzent6 2" xfId="482" xr:uid="{00000000-0005-0000-0000-00003F000000}"/>
    <cellStyle name="20 % - Akzent6 3" xfId="351" xr:uid="{00000000-0005-0000-0000-000040000000}"/>
    <cellStyle name="20 % - Akzent6 4" xfId="3598" hidden="1" xr:uid="{00000000-0005-0000-0000-000041000000}"/>
    <cellStyle name="20 % - Akzent6 4" xfId="3868" hidden="1" xr:uid="{00000000-0005-0000-0000-000042000000}"/>
    <cellStyle name="20 % - Akzent6 4" xfId="3659" hidden="1" xr:uid="{00000000-0005-0000-0000-000043000000}"/>
    <cellStyle name="20 % - Akzent6 4" xfId="4315" hidden="1" xr:uid="{00000000-0005-0000-0000-000044000000}"/>
    <cellStyle name="20 % - Akzent6 4" xfId="3572" hidden="1" xr:uid="{00000000-0005-0000-0000-000045000000}"/>
    <cellStyle name="20 % - Akzent6 4" xfId="4488" hidden="1" xr:uid="{00000000-0005-0000-0000-000046000000}"/>
    <cellStyle name="20 % - Akzent6 4" xfId="4570" hidden="1" xr:uid="{00000000-0005-0000-0000-000047000000}"/>
    <cellStyle name="20 % - Akzent6 4" xfId="4676" hidden="1" xr:uid="{00000000-0005-0000-0000-000048000000}"/>
    <cellStyle name="20 % - Akzent6 4" xfId="5459" hidden="1" xr:uid="{00000000-0005-0000-0000-000049000000}"/>
    <cellStyle name="20% - Accent1" xfId="1" xr:uid="{00000000-0005-0000-0000-00004A000000}"/>
    <cellStyle name="20% - Accent1 2" xfId="170" xr:uid="{00000000-0005-0000-0000-00004B000000}"/>
    <cellStyle name="20% - Accent1 3" xfId="302" xr:uid="{00000000-0005-0000-0000-00004C000000}"/>
    <cellStyle name="20% - Accent2" xfId="2" xr:uid="{00000000-0005-0000-0000-00004D000000}"/>
    <cellStyle name="20% - Accent2 2" xfId="171" xr:uid="{00000000-0005-0000-0000-00004E000000}"/>
    <cellStyle name="20% - Accent2 3" xfId="303" xr:uid="{00000000-0005-0000-0000-00004F000000}"/>
    <cellStyle name="20% - Accent3" xfId="3" xr:uid="{00000000-0005-0000-0000-000050000000}"/>
    <cellStyle name="20% - Accent3 2" xfId="172" xr:uid="{00000000-0005-0000-0000-000051000000}"/>
    <cellStyle name="20% - Accent3 3" xfId="304" xr:uid="{00000000-0005-0000-0000-000052000000}"/>
    <cellStyle name="20% - Accent4" xfId="4" xr:uid="{00000000-0005-0000-0000-000053000000}"/>
    <cellStyle name="20% - Accent4 2" xfId="173" xr:uid="{00000000-0005-0000-0000-000054000000}"/>
    <cellStyle name="20% - Accent4 3" xfId="305" xr:uid="{00000000-0005-0000-0000-000055000000}"/>
    <cellStyle name="20% - Accent5" xfId="5" xr:uid="{00000000-0005-0000-0000-000056000000}"/>
    <cellStyle name="20% - Accent5 2" xfId="174" xr:uid="{00000000-0005-0000-0000-000057000000}"/>
    <cellStyle name="20% - Accent5 3" xfId="306" xr:uid="{00000000-0005-0000-0000-000058000000}"/>
    <cellStyle name="20% - Accent6" xfId="6" xr:uid="{00000000-0005-0000-0000-000059000000}"/>
    <cellStyle name="20% - Accent6 2" xfId="175" xr:uid="{00000000-0005-0000-0000-00005A000000}"/>
    <cellStyle name="20% - Accent6 3" xfId="307" xr:uid="{00000000-0005-0000-0000-00005B000000}"/>
    <cellStyle name="2x indented GHG Textfiels" xfId="7" xr:uid="{00000000-0005-0000-0000-00005C000000}"/>
    <cellStyle name="2x indented GHG Textfiels 2" xfId="8" xr:uid="{00000000-0005-0000-0000-00005D000000}"/>
    <cellStyle name="2x indented GHG Textfiels 2 2" xfId="177" xr:uid="{00000000-0005-0000-0000-00005E000000}"/>
    <cellStyle name="2x indented GHG Textfiels 2 3" xfId="176" xr:uid="{00000000-0005-0000-0000-00005F000000}"/>
    <cellStyle name="2x indented GHG Textfiels 3" xfId="178" xr:uid="{00000000-0005-0000-0000-000060000000}"/>
    <cellStyle name="2x indented GHG Textfiels 3 2" xfId="504" xr:uid="{00000000-0005-0000-0000-000061000000}"/>
    <cellStyle name="2x indented GHG Textfiels 3 2 2" xfId="634" xr:uid="{00000000-0005-0000-0000-000062000000}"/>
    <cellStyle name="2x indented GHG Textfiels 3 2 2 10" xfId="3335" xr:uid="{00000000-0005-0000-0000-000063000000}"/>
    <cellStyle name="2x indented GHG Textfiels 3 2 2 11" xfId="3905" xr:uid="{00000000-0005-0000-0000-000064000000}"/>
    <cellStyle name="2x indented GHG Textfiels 3 2 2 12" xfId="3769" xr:uid="{00000000-0005-0000-0000-000065000000}"/>
    <cellStyle name="2x indented GHG Textfiels 3 2 2 13" xfId="4705" xr:uid="{00000000-0005-0000-0000-000066000000}"/>
    <cellStyle name="2x indented GHG Textfiels 3 2 2 14" xfId="5085" xr:uid="{00000000-0005-0000-0000-000067000000}"/>
    <cellStyle name="2x indented GHG Textfiels 3 2 2 15" xfId="5662" xr:uid="{00000000-0005-0000-0000-000068000000}"/>
    <cellStyle name="2x indented GHG Textfiels 3 2 2 2" xfId="274" xr:uid="{00000000-0005-0000-0000-000069000000}"/>
    <cellStyle name="2x indented GHG Textfiels 3 2 2 2 2" xfId="4119" xr:uid="{00000000-0005-0000-0000-00006A000000}"/>
    <cellStyle name="2x indented GHG Textfiels 3 2 2 2 3" xfId="3843" xr:uid="{00000000-0005-0000-0000-00006B000000}"/>
    <cellStyle name="2x indented GHG Textfiels 3 2 2 2 4" xfId="4917" xr:uid="{00000000-0005-0000-0000-00006C000000}"/>
    <cellStyle name="2x indented GHG Textfiels 3 2 2 2 5" xfId="5291" xr:uid="{00000000-0005-0000-0000-00006D000000}"/>
    <cellStyle name="2x indented GHG Textfiels 3 2 2 2 6" xfId="5868" xr:uid="{00000000-0005-0000-0000-00006E000000}"/>
    <cellStyle name="2x indented GHG Textfiels 3 2 2 3" xfId="1549" xr:uid="{00000000-0005-0000-0000-00006F000000}"/>
    <cellStyle name="2x indented GHG Textfiels 3 2 2 4" xfId="1528" xr:uid="{00000000-0005-0000-0000-000070000000}"/>
    <cellStyle name="2x indented GHG Textfiels 3 2 2 5" xfId="1975" xr:uid="{00000000-0005-0000-0000-000071000000}"/>
    <cellStyle name="2x indented GHG Textfiels 3 2 2 6" xfId="2379" xr:uid="{00000000-0005-0000-0000-000072000000}"/>
    <cellStyle name="2x indented GHG Textfiels 3 2 2 7" xfId="2559" xr:uid="{00000000-0005-0000-0000-000073000000}"/>
    <cellStyle name="2x indented GHG Textfiels 3 2 2 8" xfId="2933" xr:uid="{00000000-0005-0000-0000-000074000000}"/>
    <cellStyle name="2x indented GHG Textfiels 3 2 2 9" xfId="3101" xr:uid="{00000000-0005-0000-0000-000075000000}"/>
    <cellStyle name="2x indented GHG Textfiels 3 2 3" xfId="1310" xr:uid="{00000000-0005-0000-0000-000076000000}"/>
    <cellStyle name="2x indented GHG Textfiels 3 2 3 2" xfId="4082" xr:uid="{00000000-0005-0000-0000-000077000000}"/>
    <cellStyle name="2x indented GHG Textfiels 3 2 3 3" xfId="3548" xr:uid="{00000000-0005-0000-0000-000078000000}"/>
    <cellStyle name="2x indented GHG Textfiels 3 2 3 4" xfId="4880" xr:uid="{00000000-0005-0000-0000-000079000000}"/>
    <cellStyle name="2x indented GHG Textfiels 3 2 3 5" xfId="5254" xr:uid="{00000000-0005-0000-0000-00007A000000}"/>
    <cellStyle name="2x indented GHG Textfiels 3 2 3 6" xfId="5831" xr:uid="{00000000-0005-0000-0000-00007B000000}"/>
    <cellStyle name="2x indented GHG Textfiels 3 3" xfId="452" xr:uid="{00000000-0005-0000-0000-00007C000000}"/>
    <cellStyle name="2x indented GHG Textfiels 3 3 10" xfId="1784" xr:uid="{00000000-0005-0000-0000-00007D000000}"/>
    <cellStyle name="2x indented GHG Textfiels 3 3 11" xfId="2885" xr:uid="{00000000-0005-0000-0000-00007E000000}"/>
    <cellStyle name="2x indented GHG Textfiels 3 3 12" xfId="2855" xr:uid="{00000000-0005-0000-0000-00007F000000}"/>
    <cellStyle name="2x indented GHG Textfiels 3 3 13" xfId="3297" xr:uid="{00000000-0005-0000-0000-000080000000}"/>
    <cellStyle name="2x indented GHG Textfiels 3 3 14" xfId="3782" xr:uid="{00000000-0005-0000-0000-000081000000}"/>
    <cellStyle name="2x indented GHG Textfiels 3 3 15" xfId="4369" xr:uid="{00000000-0005-0000-0000-000082000000}"/>
    <cellStyle name="2x indented GHG Textfiels 3 3 16" xfId="4647" xr:uid="{00000000-0005-0000-0000-000083000000}"/>
    <cellStyle name="2x indented GHG Textfiels 3 3 17" xfId="4601" xr:uid="{00000000-0005-0000-0000-000084000000}"/>
    <cellStyle name="2x indented GHG Textfiels 3 3 18" xfId="5555" xr:uid="{00000000-0005-0000-0000-000085000000}"/>
    <cellStyle name="2x indented GHG Textfiels 3 3 2" xfId="739" xr:uid="{00000000-0005-0000-0000-000086000000}"/>
    <cellStyle name="2x indented GHG Textfiels 3 3 2 10" xfId="3440" xr:uid="{00000000-0005-0000-0000-000087000000}"/>
    <cellStyle name="2x indented GHG Textfiels 3 3 2 11" xfId="4010" xr:uid="{00000000-0005-0000-0000-000088000000}"/>
    <cellStyle name="2x indented GHG Textfiels 3 3 2 12" xfId="4498" xr:uid="{00000000-0005-0000-0000-000089000000}"/>
    <cellStyle name="2x indented GHG Textfiels 3 3 2 13" xfId="4810" xr:uid="{00000000-0005-0000-0000-00008A000000}"/>
    <cellStyle name="2x indented GHG Textfiels 3 3 2 14" xfId="5190" xr:uid="{00000000-0005-0000-0000-00008B000000}"/>
    <cellStyle name="2x indented GHG Textfiels 3 3 2 15" xfId="5767" xr:uid="{00000000-0005-0000-0000-00008C000000}"/>
    <cellStyle name="2x indented GHG Textfiels 3 3 2 2" xfId="1420" xr:uid="{00000000-0005-0000-0000-00008D000000}"/>
    <cellStyle name="2x indented GHG Textfiels 3 3 2 2 2" xfId="4224" xr:uid="{00000000-0005-0000-0000-00008E000000}"/>
    <cellStyle name="2x indented GHG Textfiels 3 3 2 2 3" xfId="3710" xr:uid="{00000000-0005-0000-0000-00008F000000}"/>
    <cellStyle name="2x indented GHG Textfiels 3 3 2 2 4" xfId="5022" xr:uid="{00000000-0005-0000-0000-000090000000}"/>
    <cellStyle name="2x indented GHG Textfiels 3 3 2 2 5" xfId="5396" xr:uid="{00000000-0005-0000-0000-000091000000}"/>
    <cellStyle name="2x indented GHG Textfiels 3 3 2 2 6" xfId="5973" xr:uid="{00000000-0005-0000-0000-000092000000}"/>
    <cellStyle name="2x indented GHG Textfiels 3 3 2 3" xfId="1654" xr:uid="{00000000-0005-0000-0000-000093000000}"/>
    <cellStyle name="2x indented GHG Textfiels 3 3 2 4" xfId="1926" xr:uid="{00000000-0005-0000-0000-000094000000}"/>
    <cellStyle name="2x indented GHG Textfiels 3 3 2 5" xfId="2305" xr:uid="{00000000-0005-0000-0000-000095000000}"/>
    <cellStyle name="2x indented GHG Textfiels 3 3 2 6" xfId="2484" xr:uid="{00000000-0005-0000-0000-000096000000}"/>
    <cellStyle name="2x indented GHG Textfiels 3 3 2 7" xfId="2664" xr:uid="{00000000-0005-0000-0000-000097000000}"/>
    <cellStyle name="2x indented GHG Textfiels 3 3 2 8" xfId="3038" xr:uid="{00000000-0005-0000-0000-000098000000}"/>
    <cellStyle name="2x indented GHG Textfiels 3 3 2 9" xfId="3206" xr:uid="{00000000-0005-0000-0000-000099000000}"/>
    <cellStyle name="2x indented GHG Textfiels 3 3 3" xfId="741" xr:uid="{00000000-0005-0000-0000-00009A000000}"/>
    <cellStyle name="2x indented GHG Textfiels 3 3 3 10" xfId="3442" xr:uid="{00000000-0005-0000-0000-00009B000000}"/>
    <cellStyle name="2x indented GHG Textfiels 3 3 3 11" xfId="4012" xr:uid="{00000000-0005-0000-0000-00009C000000}"/>
    <cellStyle name="2x indented GHG Textfiels 3 3 3 12" xfId="3836" xr:uid="{00000000-0005-0000-0000-00009D000000}"/>
    <cellStyle name="2x indented GHG Textfiels 3 3 3 13" xfId="4812" xr:uid="{00000000-0005-0000-0000-00009E000000}"/>
    <cellStyle name="2x indented GHG Textfiels 3 3 3 14" xfId="5192" xr:uid="{00000000-0005-0000-0000-00009F000000}"/>
    <cellStyle name="2x indented GHG Textfiels 3 3 3 15" xfId="5769" xr:uid="{00000000-0005-0000-0000-0000A0000000}"/>
    <cellStyle name="2x indented GHG Textfiels 3 3 3 2" xfId="1422" xr:uid="{00000000-0005-0000-0000-0000A1000000}"/>
    <cellStyle name="2x indented GHG Textfiels 3 3 3 2 2" xfId="4226" xr:uid="{00000000-0005-0000-0000-0000A2000000}"/>
    <cellStyle name="2x indented GHG Textfiels 3 3 3 2 3" xfId="4358" xr:uid="{00000000-0005-0000-0000-0000A3000000}"/>
    <cellStyle name="2x indented GHG Textfiels 3 3 3 2 4" xfId="5024" xr:uid="{00000000-0005-0000-0000-0000A4000000}"/>
    <cellStyle name="2x indented GHG Textfiels 3 3 3 2 5" xfId="5398" xr:uid="{00000000-0005-0000-0000-0000A5000000}"/>
    <cellStyle name="2x indented GHG Textfiels 3 3 3 2 6" xfId="5975" xr:uid="{00000000-0005-0000-0000-0000A6000000}"/>
    <cellStyle name="2x indented GHG Textfiels 3 3 3 3" xfId="1656" xr:uid="{00000000-0005-0000-0000-0000A7000000}"/>
    <cellStyle name="2x indented GHG Textfiels 3 3 3 4" xfId="1928" xr:uid="{00000000-0005-0000-0000-0000A8000000}"/>
    <cellStyle name="2x indented GHG Textfiels 3 3 3 5" xfId="2307" xr:uid="{00000000-0005-0000-0000-0000A9000000}"/>
    <cellStyle name="2x indented GHG Textfiels 3 3 3 6" xfId="2486" xr:uid="{00000000-0005-0000-0000-0000AA000000}"/>
    <cellStyle name="2x indented GHG Textfiels 3 3 3 7" xfId="2666" xr:uid="{00000000-0005-0000-0000-0000AB000000}"/>
    <cellStyle name="2x indented GHG Textfiels 3 3 3 8" xfId="3040" xr:uid="{00000000-0005-0000-0000-0000AC000000}"/>
    <cellStyle name="2x indented GHG Textfiels 3 3 3 9" xfId="3208" xr:uid="{00000000-0005-0000-0000-0000AD000000}"/>
    <cellStyle name="2x indented GHG Textfiels 3 3 4" xfId="637" xr:uid="{00000000-0005-0000-0000-0000AE000000}"/>
    <cellStyle name="2x indented GHG Textfiels 3 3 4 10" xfId="3338" xr:uid="{00000000-0005-0000-0000-0000AF000000}"/>
    <cellStyle name="2x indented GHG Textfiels 3 3 4 11" xfId="3908" xr:uid="{00000000-0005-0000-0000-0000B0000000}"/>
    <cellStyle name="2x indented GHG Textfiels 3 3 4 12" xfId="3792" xr:uid="{00000000-0005-0000-0000-0000B1000000}"/>
    <cellStyle name="2x indented GHG Textfiels 3 3 4 13" xfId="4708" xr:uid="{00000000-0005-0000-0000-0000B2000000}"/>
    <cellStyle name="2x indented GHG Textfiels 3 3 4 14" xfId="5088" xr:uid="{00000000-0005-0000-0000-0000B3000000}"/>
    <cellStyle name="2x indented GHG Textfiels 3 3 4 15" xfId="5665" xr:uid="{00000000-0005-0000-0000-0000B4000000}"/>
    <cellStyle name="2x indented GHG Textfiels 3 3 4 2" xfId="878" xr:uid="{00000000-0005-0000-0000-0000B5000000}"/>
    <cellStyle name="2x indented GHG Textfiels 3 3 4 2 2" xfId="4122" xr:uid="{00000000-0005-0000-0000-0000B6000000}"/>
    <cellStyle name="2x indented GHG Textfiels 3 3 4 2 3" xfId="3849" xr:uid="{00000000-0005-0000-0000-0000B7000000}"/>
    <cellStyle name="2x indented GHG Textfiels 3 3 4 2 4" xfId="4920" xr:uid="{00000000-0005-0000-0000-0000B8000000}"/>
    <cellStyle name="2x indented GHG Textfiels 3 3 4 2 5" xfId="5294" xr:uid="{00000000-0005-0000-0000-0000B9000000}"/>
    <cellStyle name="2x indented GHG Textfiels 3 3 4 2 6" xfId="5871" xr:uid="{00000000-0005-0000-0000-0000BA000000}"/>
    <cellStyle name="2x indented GHG Textfiels 3 3 4 3" xfId="1552" xr:uid="{00000000-0005-0000-0000-0000BB000000}"/>
    <cellStyle name="2x indented GHG Textfiels 3 3 4 4" xfId="1748" xr:uid="{00000000-0005-0000-0000-0000BC000000}"/>
    <cellStyle name="2x indented GHG Textfiels 3 3 4 5" xfId="849" xr:uid="{00000000-0005-0000-0000-0000BD000000}"/>
    <cellStyle name="2x indented GHG Textfiels 3 3 4 6" xfId="2382" xr:uid="{00000000-0005-0000-0000-0000BE000000}"/>
    <cellStyle name="2x indented GHG Textfiels 3 3 4 7" xfId="2562" xr:uid="{00000000-0005-0000-0000-0000BF000000}"/>
    <cellStyle name="2x indented GHG Textfiels 3 3 4 8" xfId="2936" xr:uid="{00000000-0005-0000-0000-0000C0000000}"/>
    <cellStyle name="2x indented GHG Textfiels 3 3 4 9" xfId="3104" xr:uid="{00000000-0005-0000-0000-0000C1000000}"/>
    <cellStyle name="2x indented GHG Textfiels 3 3 5" xfId="1363" xr:uid="{00000000-0005-0000-0000-0000C2000000}"/>
    <cellStyle name="2x indented GHG Textfiels 3 3 6" xfId="214" xr:uid="{00000000-0005-0000-0000-0000C3000000}"/>
    <cellStyle name="2x indented GHG Textfiels 3 3 7" xfId="1791" xr:uid="{00000000-0005-0000-0000-0000C4000000}"/>
    <cellStyle name="2x indented GHG Textfiels 3 3 8" xfId="1470" xr:uid="{00000000-0005-0000-0000-0000C5000000}"/>
    <cellStyle name="2x indented GHG Textfiels 3 3 9" xfId="2020" xr:uid="{00000000-0005-0000-0000-0000C6000000}"/>
    <cellStyle name="2x indented GHG Textfiels 3 4" xfId="1339" xr:uid="{00000000-0005-0000-0000-0000C7000000}"/>
    <cellStyle name="40 % - Akzent1" xfId="179" xr:uid="{00000000-0005-0000-0000-0000C8000000}"/>
    <cellStyle name="40 % - Akzent1 2" xfId="483" xr:uid="{00000000-0005-0000-0000-0000C9000000}"/>
    <cellStyle name="40 % - Akzent1 3" xfId="352" xr:uid="{00000000-0005-0000-0000-0000CA000000}"/>
    <cellStyle name="40 % - Akzent1 4" xfId="3581" hidden="1" xr:uid="{00000000-0005-0000-0000-0000CB000000}"/>
    <cellStyle name="40 % - Akzent1 4" xfId="3869" hidden="1" xr:uid="{00000000-0005-0000-0000-0000CC000000}"/>
    <cellStyle name="40 % - Akzent1 4" xfId="4469" hidden="1" xr:uid="{00000000-0005-0000-0000-0000CD000000}"/>
    <cellStyle name="40 % - Akzent1 4" xfId="4413" hidden="1" xr:uid="{00000000-0005-0000-0000-0000CE000000}"/>
    <cellStyle name="40 % - Akzent1 4" xfId="4451" hidden="1" xr:uid="{00000000-0005-0000-0000-0000CF000000}"/>
    <cellStyle name="40 % - Akzent1 4" xfId="4537" hidden="1" xr:uid="{00000000-0005-0000-0000-0000D0000000}"/>
    <cellStyle name="40 % - Akzent1 4" xfId="4556" hidden="1" xr:uid="{00000000-0005-0000-0000-0000D1000000}"/>
    <cellStyle name="40 % - Akzent1 4" xfId="4677" hidden="1" xr:uid="{00000000-0005-0000-0000-0000D2000000}"/>
    <cellStyle name="40 % - Akzent1 4" xfId="5445" hidden="1" xr:uid="{00000000-0005-0000-0000-0000D3000000}"/>
    <cellStyle name="40 % - Akzent2" xfId="180" xr:uid="{00000000-0005-0000-0000-0000D4000000}"/>
    <cellStyle name="40 % - Akzent2 2" xfId="484" xr:uid="{00000000-0005-0000-0000-0000D5000000}"/>
    <cellStyle name="40 % - Akzent2 3" xfId="353" xr:uid="{00000000-0005-0000-0000-0000D6000000}"/>
    <cellStyle name="40 % - Akzent2 4" xfId="3584" hidden="1" xr:uid="{00000000-0005-0000-0000-0000D7000000}"/>
    <cellStyle name="40 % - Akzent2 4" xfId="3773" hidden="1" xr:uid="{00000000-0005-0000-0000-0000D8000000}"/>
    <cellStyle name="40 % - Akzent2 4" xfId="4449" hidden="1" xr:uid="{00000000-0005-0000-0000-0000D9000000}"/>
    <cellStyle name="40 % - Akzent2 4" xfId="4490" hidden="1" xr:uid="{00000000-0005-0000-0000-0000DA000000}"/>
    <cellStyle name="40 % - Akzent2 4" xfId="4419" hidden="1" xr:uid="{00000000-0005-0000-0000-0000DB000000}"/>
    <cellStyle name="40 % - Akzent2 4" xfId="4534" hidden="1" xr:uid="{00000000-0005-0000-0000-0000DC000000}"/>
    <cellStyle name="40 % - Akzent2 4" xfId="4559" hidden="1" xr:uid="{00000000-0005-0000-0000-0000DD000000}"/>
    <cellStyle name="40 % - Akzent2 4" xfId="4641" hidden="1" xr:uid="{00000000-0005-0000-0000-0000DE000000}"/>
    <cellStyle name="40 % - Akzent2 4" xfId="5448" hidden="1" xr:uid="{00000000-0005-0000-0000-0000DF000000}"/>
    <cellStyle name="40 % - Akzent3" xfId="181" xr:uid="{00000000-0005-0000-0000-0000E0000000}"/>
    <cellStyle name="40 % - Akzent3 2" xfId="485" xr:uid="{00000000-0005-0000-0000-0000E1000000}"/>
    <cellStyle name="40 % - Akzent3 3" xfId="354" xr:uid="{00000000-0005-0000-0000-0000E2000000}"/>
    <cellStyle name="40 % - Akzent3 4" xfId="3588" hidden="1" xr:uid="{00000000-0005-0000-0000-0000E3000000}"/>
    <cellStyle name="40 % - Akzent3 4" xfId="3762" hidden="1" xr:uid="{00000000-0005-0000-0000-0000E4000000}"/>
    <cellStyle name="40 % - Akzent3 4" xfId="4406" hidden="1" xr:uid="{00000000-0005-0000-0000-0000E5000000}"/>
    <cellStyle name="40 % - Akzent3 4" xfId="4268" hidden="1" xr:uid="{00000000-0005-0000-0000-0000E6000000}"/>
    <cellStyle name="40 % - Akzent3 4" xfId="3879" hidden="1" xr:uid="{00000000-0005-0000-0000-0000E7000000}"/>
    <cellStyle name="40 % - Akzent3 4" xfId="4531" hidden="1" xr:uid="{00000000-0005-0000-0000-0000E8000000}"/>
    <cellStyle name="40 % - Akzent3 4" xfId="4562" hidden="1" xr:uid="{00000000-0005-0000-0000-0000E9000000}"/>
    <cellStyle name="40 % - Akzent3 4" xfId="4639" hidden="1" xr:uid="{00000000-0005-0000-0000-0000EA000000}"/>
    <cellStyle name="40 % - Akzent3 4" xfId="5451" hidden="1" xr:uid="{00000000-0005-0000-0000-0000EB000000}"/>
    <cellStyle name="40 % - Akzent4" xfId="182" xr:uid="{00000000-0005-0000-0000-0000EC000000}"/>
    <cellStyle name="40 % - Akzent4 2" xfId="486" xr:uid="{00000000-0005-0000-0000-0000ED000000}"/>
    <cellStyle name="40 % - Akzent4 3" xfId="355" xr:uid="{00000000-0005-0000-0000-0000EE000000}"/>
    <cellStyle name="40 % - Akzent4 4" xfId="3592" hidden="1" xr:uid="{00000000-0005-0000-0000-0000EF000000}"/>
    <cellStyle name="40 % - Akzent4 4" xfId="3871" hidden="1" xr:uid="{00000000-0005-0000-0000-0000F0000000}"/>
    <cellStyle name="40 % - Akzent4 4" xfId="4359" hidden="1" xr:uid="{00000000-0005-0000-0000-0000F1000000}"/>
    <cellStyle name="40 % - Akzent4 4" xfId="4346" hidden="1" xr:uid="{00000000-0005-0000-0000-0000F2000000}"/>
    <cellStyle name="40 % - Akzent4 4" xfId="3559" hidden="1" xr:uid="{00000000-0005-0000-0000-0000F3000000}"/>
    <cellStyle name="40 % - Akzent4 4" xfId="4526" hidden="1" xr:uid="{00000000-0005-0000-0000-0000F4000000}"/>
    <cellStyle name="40 % - Akzent4 4" xfId="4565" hidden="1" xr:uid="{00000000-0005-0000-0000-0000F5000000}"/>
    <cellStyle name="40 % - Akzent4 4" xfId="4679" hidden="1" xr:uid="{00000000-0005-0000-0000-0000F6000000}"/>
    <cellStyle name="40 % - Akzent4 4" xfId="5454" hidden="1" xr:uid="{00000000-0005-0000-0000-0000F7000000}"/>
    <cellStyle name="40 % - Akzent5" xfId="183" xr:uid="{00000000-0005-0000-0000-0000F8000000}"/>
    <cellStyle name="40 % - Akzent5 2" xfId="487" xr:uid="{00000000-0005-0000-0000-0000F9000000}"/>
    <cellStyle name="40 % - Akzent5 3" xfId="356" xr:uid="{00000000-0005-0000-0000-0000FA000000}"/>
    <cellStyle name="40 % - Akzent5 4" xfId="3596" hidden="1" xr:uid="{00000000-0005-0000-0000-0000FB000000}"/>
    <cellStyle name="40 % - Akzent5 4" xfId="3754" hidden="1" xr:uid="{00000000-0005-0000-0000-0000FC000000}"/>
    <cellStyle name="40 % - Akzent5 4" xfId="4395" hidden="1" xr:uid="{00000000-0005-0000-0000-0000FD000000}"/>
    <cellStyle name="40 % - Akzent5 4" xfId="4361" hidden="1" xr:uid="{00000000-0005-0000-0000-0000FE000000}"/>
    <cellStyle name="40 % - Akzent5 4" xfId="4266" hidden="1" xr:uid="{00000000-0005-0000-0000-0000FF000000}"/>
    <cellStyle name="40 % - Akzent5 4" xfId="4529" hidden="1" xr:uid="{00000000-0005-0000-0000-000000010000}"/>
    <cellStyle name="40 % - Akzent5 4" xfId="4568" hidden="1" xr:uid="{00000000-0005-0000-0000-000001010000}"/>
    <cellStyle name="40 % - Akzent5 4" xfId="4637" hidden="1" xr:uid="{00000000-0005-0000-0000-000002010000}"/>
    <cellStyle name="40 % - Akzent5 4" xfId="5457" hidden="1" xr:uid="{00000000-0005-0000-0000-000003010000}"/>
    <cellStyle name="40 % - Akzent6" xfId="184" xr:uid="{00000000-0005-0000-0000-000004010000}"/>
    <cellStyle name="40 % - Akzent6 2" xfId="488" xr:uid="{00000000-0005-0000-0000-000005010000}"/>
    <cellStyle name="40 % - Akzent6 3" xfId="357" xr:uid="{00000000-0005-0000-0000-000006010000}"/>
    <cellStyle name="40 % - Akzent6 4" xfId="3599" hidden="1" xr:uid="{00000000-0005-0000-0000-000007010000}"/>
    <cellStyle name="40 % - Akzent6 4" xfId="3814" hidden="1" xr:uid="{00000000-0005-0000-0000-000008010000}"/>
    <cellStyle name="40 % - Akzent6 4" xfId="4404" hidden="1" xr:uid="{00000000-0005-0000-0000-000009010000}"/>
    <cellStyle name="40 % - Akzent6 4" xfId="4461" hidden="1" xr:uid="{00000000-0005-0000-0000-00000A010000}"/>
    <cellStyle name="40 % - Akzent6 4" xfId="4479" hidden="1" xr:uid="{00000000-0005-0000-0000-00000B010000}"/>
    <cellStyle name="40 % - Akzent6 4" xfId="4530" hidden="1" xr:uid="{00000000-0005-0000-0000-00000C010000}"/>
    <cellStyle name="40 % - Akzent6 4" xfId="4571" hidden="1" xr:uid="{00000000-0005-0000-0000-00000D010000}"/>
    <cellStyle name="40 % - Akzent6 4" xfId="4656" hidden="1" xr:uid="{00000000-0005-0000-0000-00000E010000}"/>
    <cellStyle name="40 % - Akzent6 4" xfId="5460" hidden="1" xr:uid="{00000000-0005-0000-0000-00000F010000}"/>
    <cellStyle name="40% - Accent1" xfId="9" xr:uid="{00000000-0005-0000-0000-000010010000}"/>
    <cellStyle name="40% - Accent1 2" xfId="185" xr:uid="{00000000-0005-0000-0000-000011010000}"/>
    <cellStyle name="40% - Accent1 3" xfId="308" xr:uid="{00000000-0005-0000-0000-000012010000}"/>
    <cellStyle name="40% - Accent2" xfId="10" xr:uid="{00000000-0005-0000-0000-000013010000}"/>
    <cellStyle name="40% - Accent2 2" xfId="186" xr:uid="{00000000-0005-0000-0000-000014010000}"/>
    <cellStyle name="40% - Accent2 3" xfId="309" xr:uid="{00000000-0005-0000-0000-000015010000}"/>
    <cellStyle name="40% - Accent3" xfId="11" xr:uid="{00000000-0005-0000-0000-000016010000}"/>
    <cellStyle name="40% - Accent3 2" xfId="187" xr:uid="{00000000-0005-0000-0000-000017010000}"/>
    <cellStyle name="40% - Accent3 3" xfId="310" xr:uid="{00000000-0005-0000-0000-000018010000}"/>
    <cellStyle name="40% - Accent4" xfId="12" xr:uid="{00000000-0005-0000-0000-000019010000}"/>
    <cellStyle name="40% - Accent4 2" xfId="188" xr:uid="{00000000-0005-0000-0000-00001A010000}"/>
    <cellStyle name="40% - Accent4 3" xfId="311" xr:uid="{00000000-0005-0000-0000-00001B010000}"/>
    <cellStyle name="40% - Accent5" xfId="13" xr:uid="{00000000-0005-0000-0000-00001C010000}"/>
    <cellStyle name="40% - Accent5 2" xfId="189" xr:uid="{00000000-0005-0000-0000-00001D010000}"/>
    <cellStyle name="40% - Accent5 3" xfId="312" xr:uid="{00000000-0005-0000-0000-00001E010000}"/>
    <cellStyle name="40% - Accent6" xfId="14" xr:uid="{00000000-0005-0000-0000-00001F010000}"/>
    <cellStyle name="40% - Accent6 2" xfId="190" xr:uid="{00000000-0005-0000-0000-000020010000}"/>
    <cellStyle name="40% - Accent6 3" xfId="313" xr:uid="{00000000-0005-0000-0000-000021010000}"/>
    <cellStyle name="5x indented GHG Textfiels" xfId="15" xr:uid="{00000000-0005-0000-0000-000022010000}"/>
    <cellStyle name="5x indented GHG Textfiels 2" xfId="16" xr:uid="{00000000-0005-0000-0000-000023010000}"/>
    <cellStyle name="5x indented GHG Textfiels 2 2" xfId="192" xr:uid="{00000000-0005-0000-0000-000024010000}"/>
    <cellStyle name="5x indented GHG Textfiels 2 3" xfId="191" xr:uid="{00000000-0005-0000-0000-000025010000}"/>
    <cellStyle name="5x indented GHG Textfiels 3" xfId="193" xr:uid="{00000000-0005-0000-0000-000026010000}"/>
    <cellStyle name="5x indented GHG Textfiels 3 2" xfId="505" xr:uid="{00000000-0005-0000-0000-000027010000}"/>
    <cellStyle name="5x indented GHG Textfiels 3 2 2" xfId="1065" xr:uid="{00000000-0005-0000-0000-000028010000}"/>
    <cellStyle name="5x indented GHG Textfiels 3 2 3" xfId="277" xr:uid="{00000000-0005-0000-0000-000029010000}"/>
    <cellStyle name="5x indented GHG Textfiels 3 2 4" xfId="1462" xr:uid="{00000000-0005-0000-0000-00002A010000}"/>
    <cellStyle name="5x indented GHG Textfiels 3 2 5" xfId="1015" xr:uid="{00000000-0005-0000-0000-00002B010000}"/>
    <cellStyle name="5x indented GHG Textfiels 3 2 6" xfId="1114" xr:uid="{00000000-0005-0000-0000-00002C010000}"/>
    <cellStyle name="5x indented GHG Textfiels 3 2 7" xfId="1019" xr:uid="{00000000-0005-0000-0000-00002D010000}"/>
    <cellStyle name="5x indented GHG Textfiels 3 2 8" xfId="2357" xr:uid="{00000000-0005-0000-0000-00002E010000}"/>
    <cellStyle name="5x indented GHG Textfiels 3 3" xfId="453" xr:uid="{00000000-0005-0000-0000-00002F010000}"/>
    <cellStyle name="5x indented GHG Textfiels 3 3 10" xfId="1699" xr:uid="{00000000-0005-0000-0000-000030010000}"/>
    <cellStyle name="5x indented GHG Textfiels 3 3 11" xfId="2886" xr:uid="{00000000-0005-0000-0000-000031010000}"/>
    <cellStyle name="5x indented GHG Textfiels 3 3 12" xfId="2889" xr:uid="{00000000-0005-0000-0000-000032010000}"/>
    <cellStyle name="5x indented GHG Textfiels 3 3 13" xfId="3298" xr:uid="{00000000-0005-0000-0000-000033010000}"/>
    <cellStyle name="5x indented GHG Textfiels 3 3 14" xfId="3783" xr:uid="{00000000-0005-0000-0000-000034010000}"/>
    <cellStyle name="5x indented GHG Textfiels 3 3 15" xfId="3575" xr:uid="{00000000-0005-0000-0000-000035010000}"/>
    <cellStyle name="5x indented GHG Textfiels 3 3 16" xfId="4648" xr:uid="{00000000-0005-0000-0000-000036010000}"/>
    <cellStyle name="5x indented GHG Textfiels 3 3 17" xfId="4583" xr:uid="{00000000-0005-0000-0000-000037010000}"/>
    <cellStyle name="5x indented GHG Textfiels 3 3 18" xfId="5556" xr:uid="{00000000-0005-0000-0000-000038010000}"/>
    <cellStyle name="5x indented GHG Textfiels 3 3 2" xfId="740" xr:uid="{00000000-0005-0000-0000-000039010000}"/>
    <cellStyle name="5x indented GHG Textfiels 3 3 2 10" xfId="3441" xr:uid="{00000000-0005-0000-0000-00003A010000}"/>
    <cellStyle name="5x indented GHG Textfiels 3 3 2 11" xfId="4011" xr:uid="{00000000-0005-0000-0000-00003B010000}"/>
    <cellStyle name="5x indented GHG Textfiels 3 3 2 12" xfId="4270" xr:uid="{00000000-0005-0000-0000-00003C010000}"/>
    <cellStyle name="5x indented GHG Textfiels 3 3 2 13" xfId="4811" xr:uid="{00000000-0005-0000-0000-00003D010000}"/>
    <cellStyle name="5x indented GHG Textfiels 3 3 2 14" xfId="5191" xr:uid="{00000000-0005-0000-0000-00003E010000}"/>
    <cellStyle name="5x indented GHG Textfiels 3 3 2 15" xfId="5768" xr:uid="{00000000-0005-0000-0000-00003F010000}"/>
    <cellStyle name="5x indented GHG Textfiels 3 3 2 2" xfId="1421" xr:uid="{00000000-0005-0000-0000-000040010000}"/>
    <cellStyle name="5x indented GHG Textfiels 3 3 2 2 2" xfId="4225" xr:uid="{00000000-0005-0000-0000-000041010000}"/>
    <cellStyle name="5x indented GHG Textfiels 3 3 2 2 3" xfId="4313" xr:uid="{00000000-0005-0000-0000-000042010000}"/>
    <cellStyle name="5x indented GHG Textfiels 3 3 2 2 4" xfId="5023" xr:uid="{00000000-0005-0000-0000-000043010000}"/>
    <cellStyle name="5x indented GHG Textfiels 3 3 2 2 5" xfId="5397" xr:uid="{00000000-0005-0000-0000-000044010000}"/>
    <cellStyle name="5x indented GHG Textfiels 3 3 2 2 6" xfId="5974" xr:uid="{00000000-0005-0000-0000-000045010000}"/>
    <cellStyle name="5x indented GHG Textfiels 3 3 2 3" xfId="1655" xr:uid="{00000000-0005-0000-0000-000046010000}"/>
    <cellStyle name="5x indented GHG Textfiels 3 3 2 4" xfId="1927" xr:uid="{00000000-0005-0000-0000-000047010000}"/>
    <cellStyle name="5x indented GHG Textfiels 3 3 2 5" xfId="2306" xr:uid="{00000000-0005-0000-0000-000048010000}"/>
    <cellStyle name="5x indented GHG Textfiels 3 3 2 6" xfId="2485" xr:uid="{00000000-0005-0000-0000-000049010000}"/>
    <cellStyle name="5x indented GHG Textfiels 3 3 2 7" xfId="2665" xr:uid="{00000000-0005-0000-0000-00004A010000}"/>
    <cellStyle name="5x indented GHG Textfiels 3 3 2 8" xfId="3039" xr:uid="{00000000-0005-0000-0000-00004B010000}"/>
    <cellStyle name="5x indented GHG Textfiels 3 3 2 9" xfId="3207" xr:uid="{00000000-0005-0000-0000-00004C010000}"/>
    <cellStyle name="5x indented GHG Textfiels 3 3 3" xfId="687" xr:uid="{00000000-0005-0000-0000-00004D010000}"/>
    <cellStyle name="5x indented GHG Textfiels 3 3 3 10" xfId="3388" xr:uid="{00000000-0005-0000-0000-00004E010000}"/>
    <cellStyle name="5x indented GHG Textfiels 3 3 3 11" xfId="3958" xr:uid="{00000000-0005-0000-0000-00004F010000}"/>
    <cellStyle name="5x indented GHG Textfiels 3 3 3 12" xfId="3634" xr:uid="{00000000-0005-0000-0000-000050010000}"/>
    <cellStyle name="5x indented GHG Textfiels 3 3 3 13" xfId="4758" xr:uid="{00000000-0005-0000-0000-000051010000}"/>
    <cellStyle name="5x indented GHG Textfiels 3 3 3 14" xfId="5138" xr:uid="{00000000-0005-0000-0000-000052010000}"/>
    <cellStyle name="5x indented GHG Textfiels 3 3 3 15" xfId="5715" xr:uid="{00000000-0005-0000-0000-000053010000}"/>
    <cellStyle name="5x indented GHG Textfiels 3 3 3 2" xfId="1254" xr:uid="{00000000-0005-0000-0000-000054010000}"/>
    <cellStyle name="5x indented GHG Textfiels 3 3 3 2 2" xfId="4172" xr:uid="{00000000-0005-0000-0000-000055010000}"/>
    <cellStyle name="5x indented GHG Textfiels 3 3 3 2 3" xfId="4275" xr:uid="{00000000-0005-0000-0000-000056010000}"/>
    <cellStyle name="5x indented GHG Textfiels 3 3 3 2 4" xfId="4970" xr:uid="{00000000-0005-0000-0000-000057010000}"/>
    <cellStyle name="5x indented GHG Textfiels 3 3 3 2 5" xfId="5344" xr:uid="{00000000-0005-0000-0000-000058010000}"/>
    <cellStyle name="5x indented GHG Textfiels 3 3 3 2 6" xfId="5921" xr:uid="{00000000-0005-0000-0000-000059010000}"/>
    <cellStyle name="5x indented GHG Textfiels 3 3 3 3" xfId="1602" xr:uid="{00000000-0005-0000-0000-00005A010000}"/>
    <cellStyle name="5x indented GHG Textfiels 3 3 3 4" xfId="1874" xr:uid="{00000000-0005-0000-0000-00005B010000}"/>
    <cellStyle name="5x indented GHG Textfiels 3 3 3 5" xfId="1755" xr:uid="{00000000-0005-0000-0000-00005C010000}"/>
    <cellStyle name="5x indented GHG Textfiels 3 3 3 6" xfId="2432" xr:uid="{00000000-0005-0000-0000-00005D010000}"/>
    <cellStyle name="5x indented GHG Textfiels 3 3 3 7" xfId="2612" xr:uid="{00000000-0005-0000-0000-00005E010000}"/>
    <cellStyle name="5x indented GHG Textfiels 3 3 3 8" xfId="2986" xr:uid="{00000000-0005-0000-0000-00005F010000}"/>
    <cellStyle name="5x indented GHG Textfiels 3 3 3 9" xfId="3154" xr:uid="{00000000-0005-0000-0000-000060010000}"/>
    <cellStyle name="5x indented GHG Textfiels 3 3 4" xfId="771" xr:uid="{00000000-0005-0000-0000-000061010000}"/>
    <cellStyle name="5x indented GHG Textfiels 3 3 4 10" xfId="3472" xr:uid="{00000000-0005-0000-0000-000062010000}"/>
    <cellStyle name="5x indented GHG Textfiels 3 3 4 11" xfId="4042" xr:uid="{00000000-0005-0000-0000-000063010000}"/>
    <cellStyle name="5x indented GHG Textfiels 3 3 4 12" xfId="3669" xr:uid="{00000000-0005-0000-0000-000064010000}"/>
    <cellStyle name="5x indented GHG Textfiels 3 3 4 13" xfId="4842" xr:uid="{00000000-0005-0000-0000-000065010000}"/>
    <cellStyle name="5x indented GHG Textfiels 3 3 4 14" xfId="5222" xr:uid="{00000000-0005-0000-0000-000066010000}"/>
    <cellStyle name="5x indented GHG Textfiels 3 3 4 15" xfId="5799" xr:uid="{00000000-0005-0000-0000-000067010000}"/>
    <cellStyle name="5x indented GHG Textfiels 3 3 4 2" xfId="1452" xr:uid="{00000000-0005-0000-0000-000068010000}"/>
    <cellStyle name="5x indented GHG Textfiels 3 3 4 2 2" xfId="4256" xr:uid="{00000000-0005-0000-0000-000069010000}"/>
    <cellStyle name="5x indented GHG Textfiels 3 3 4 2 3" xfId="4515" xr:uid="{00000000-0005-0000-0000-00006A010000}"/>
    <cellStyle name="5x indented GHG Textfiels 3 3 4 2 4" xfId="5054" xr:uid="{00000000-0005-0000-0000-00006B010000}"/>
    <cellStyle name="5x indented GHG Textfiels 3 3 4 2 5" xfId="5428" xr:uid="{00000000-0005-0000-0000-00006C010000}"/>
    <cellStyle name="5x indented GHG Textfiels 3 3 4 2 6" xfId="6005" xr:uid="{00000000-0005-0000-0000-00006D010000}"/>
    <cellStyle name="5x indented GHG Textfiels 3 3 4 3" xfId="1686" xr:uid="{00000000-0005-0000-0000-00006E010000}"/>
    <cellStyle name="5x indented GHG Textfiels 3 3 4 4" xfId="1958" xr:uid="{00000000-0005-0000-0000-00006F010000}"/>
    <cellStyle name="5x indented GHG Textfiels 3 3 4 5" xfId="2337" xr:uid="{00000000-0005-0000-0000-000070010000}"/>
    <cellStyle name="5x indented GHG Textfiels 3 3 4 6" xfId="2516" xr:uid="{00000000-0005-0000-0000-000071010000}"/>
    <cellStyle name="5x indented GHG Textfiels 3 3 4 7" xfId="2696" xr:uid="{00000000-0005-0000-0000-000072010000}"/>
    <cellStyle name="5x indented GHG Textfiels 3 3 4 8" xfId="3070" xr:uid="{00000000-0005-0000-0000-000073010000}"/>
    <cellStyle name="5x indented GHG Textfiels 3 3 4 9" xfId="3238" xr:uid="{00000000-0005-0000-0000-000074010000}"/>
    <cellStyle name="5x indented GHG Textfiels 3 3 5" xfId="1343" xr:uid="{00000000-0005-0000-0000-000075010000}"/>
    <cellStyle name="5x indented GHG Textfiels 3 3 5 2" xfId="4078" xr:uid="{00000000-0005-0000-0000-000076010000}"/>
    <cellStyle name="5x indented GHG Textfiels 3 3 6" xfId="1029" xr:uid="{00000000-0005-0000-0000-000077010000}"/>
    <cellStyle name="5x indented GHG Textfiels 3 3 7" xfId="1811" xr:uid="{00000000-0005-0000-0000-000078010000}"/>
    <cellStyle name="5x indented GHG Textfiels 3 3 8" xfId="1026" xr:uid="{00000000-0005-0000-0000-000079010000}"/>
    <cellStyle name="5x indented GHG Textfiels 3 3 9" xfId="2023" xr:uid="{00000000-0005-0000-0000-00007A010000}"/>
    <cellStyle name="5x indented GHG Textfiels 3 4" xfId="979" xr:uid="{00000000-0005-0000-0000-00007B010000}"/>
    <cellStyle name="5x indented GHG Textfiels_Table 4(II)" xfId="291" xr:uid="{00000000-0005-0000-0000-00007C010000}"/>
    <cellStyle name="60 % - Akzent1" xfId="194" xr:uid="{00000000-0005-0000-0000-00007D010000}"/>
    <cellStyle name="60 % - Akzent1 2" xfId="489" xr:uid="{00000000-0005-0000-0000-00007E010000}"/>
    <cellStyle name="60 % - Akzent1 3" xfId="358" xr:uid="{00000000-0005-0000-0000-00007F010000}"/>
    <cellStyle name="60 % - Akzent1 4" xfId="3582" hidden="1" xr:uid="{00000000-0005-0000-0000-000080010000}"/>
    <cellStyle name="60 % - Akzent1 4" xfId="3877" hidden="1" xr:uid="{00000000-0005-0000-0000-000081010000}"/>
    <cellStyle name="60 % - Akzent1 4" xfId="4375" hidden="1" xr:uid="{00000000-0005-0000-0000-000082010000}"/>
    <cellStyle name="60 % - Akzent1 4" xfId="3749" hidden="1" xr:uid="{00000000-0005-0000-0000-000083010000}"/>
    <cellStyle name="60 % - Akzent1 4" xfId="4386" hidden="1" xr:uid="{00000000-0005-0000-0000-000084010000}"/>
    <cellStyle name="60 % - Akzent1 4" xfId="4527" hidden="1" xr:uid="{00000000-0005-0000-0000-000085010000}"/>
    <cellStyle name="60 % - Akzent1 4" xfId="4557" hidden="1" xr:uid="{00000000-0005-0000-0000-000086010000}"/>
    <cellStyle name="60 % - Akzent1 4" xfId="4683" hidden="1" xr:uid="{00000000-0005-0000-0000-000087010000}"/>
    <cellStyle name="60 % - Akzent1 4" xfId="5446" hidden="1" xr:uid="{00000000-0005-0000-0000-000088010000}"/>
    <cellStyle name="60 % - Akzent2" xfId="195" xr:uid="{00000000-0005-0000-0000-000089010000}"/>
    <cellStyle name="60 % - Akzent2 2" xfId="490" xr:uid="{00000000-0005-0000-0000-00008A010000}"/>
    <cellStyle name="60 % - Akzent2 3" xfId="359" xr:uid="{00000000-0005-0000-0000-00008B010000}"/>
    <cellStyle name="60 % - Akzent2 4" xfId="3585" hidden="1" xr:uid="{00000000-0005-0000-0000-00008C010000}"/>
    <cellStyle name="60 % - Akzent2 4" xfId="3874" hidden="1" xr:uid="{00000000-0005-0000-0000-00008D010000}"/>
    <cellStyle name="60 % - Akzent2 4" xfId="4350" hidden="1" xr:uid="{00000000-0005-0000-0000-00008E010000}"/>
    <cellStyle name="60 % - Akzent2 4" xfId="4487" hidden="1" xr:uid="{00000000-0005-0000-0000-00008F010000}"/>
    <cellStyle name="60 % - Akzent2 4" xfId="3715" hidden="1" xr:uid="{00000000-0005-0000-0000-000090010000}"/>
    <cellStyle name="60 % - Akzent2 4" xfId="4525" hidden="1" xr:uid="{00000000-0005-0000-0000-000091010000}"/>
    <cellStyle name="60 % - Akzent2 4" xfId="4560" hidden="1" xr:uid="{00000000-0005-0000-0000-000092010000}"/>
    <cellStyle name="60 % - Akzent2 4" xfId="4681" hidden="1" xr:uid="{00000000-0005-0000-0000-000093010000}"/>
    <cellStyle name="60 % - Akzent2 4" xfId="5449" hidden="1" xr:uid="{00000000-0005-0000-0000-000094010000}"/>
    <cellStyle name="60 % - Akzent3" xfId="196" xr:uid="{00000000-0005-0000-0000-000095010000}"/>
    <cellStyle name="60 % - Akzent3 2" xfId="491" xr:uid="{00000000-0005-0000-0000-000096010000}"/>
    <cellStyle name="60 % - Akzent3 3" xfId="360" xr:uid="{00000000-0005-0000-0000-000097010000}"/>
    <cellStyle name="60 % - Akzent3 4" xfId="3589" hidden="1" xr:uid="{00000000-0005-0000-0000-000098010000}"/>
    <cellStyle name="60 % - Akzent3 4" xfId="3870" hidden="1" xr:uid="{00000000-0005-0000-0000-000099010000}"/>
    <cellStyle name="60 % - Akzent3 4" xfId="4478" hidden="1" xr:uid="{00000000-0005-0000-0000-00009A010000}"/>
    <cellStyle name="60 % - Akzent3 4" xfId="3691" hidden="1" xr:uid="{00000000-0005-0000-0000-00009B010000}"/>
    <cellStyle name="60 % - Akzent3 4" xfId="4446" hidden="1" xr:uid="{00000000-0005-0000-0000-00009C010000}"/>
    <cellStyle name="60 % - Akzent3 4" xfId="4539" hidden="1" xr:uid="{00000000-0005-0000-0000-00009D010000}"/>
    <cellStyle name="60 % - Akzent3 4" xfId="4563" hidden="1" xr:uid="{00000000-0005-0000-0000-00009E010000}"/>
    <cellStyle name="60 % - Akzent3 4" xfId="4678" hidden="1" xr:uid="{00000000-0005-0000-0000-00009F010000}"/>
    <cellStyle name="60 % - Akzent3 4" xfId="5452" hidden="1" xr:uid="{00000000-0005-0000-0000-0000A0010000}"/>
    <cellStyle name="60 % - Akzent4" xfId="197" xr:uid="{00000000-0005-0000-0000-0000A1010000}"/>
    <cellStyle name="60 % - Akzent4 2" xfId="492" xr:uid="{00000000-0005-0000-0000-0000A2010000}"/>
    <cellStyle name="60 % - Akzent4 3" xfId="361" xr:uid="{00000000-0005-0000-0000-0000A3010000}"/>
    <cellStyle name="60 % - Akzent4 4" xfId="3593" hidden="1" xr:uid="{00000000-0005-0000-0000-0000A4010000}"/>
    <cellStyle name="60 % - Akzent4 4" xfId="3872" hidden="1" xr:uid="{00000000-0005-0000-0000-0000A5010000}"/>
    <cellStyle name="60 % - Akzent4 4" xfId="3549" hidden="1" xr:uid="{00000000-0005-0000-0000-0000A6010000}"/>
    <cellStyle name="60 % - Akzent4 4" xfId="4298" hidden="1" xr:uid="{00000000-0005-0000-0000-0000A7010000}"/>
    <cellStyle name="60 % - Akzent4 4" xfId="4353" hidden="1" xr:uid="{00000000-0005-0000-0000-0000A8010000}"/>
    <cellStyle name="60 % - Akzent4 4" xfId="4394" hidden="1" xr:uid="{00000000-0005-0000-0000-0000A9010000}"/>
    <cellStyle name="60 % - Akzent4 4" xfId="4566" hidden="1" xr:uid="{00000000-0005-0000-0000-0000AA010000}"/>
    <cellStyle name="60 % - Akzent4 4" xfId="4680" hidden="1" xr:uid="{00000000-0005-0000-0000-0000AB010000}"/>
    <cellStyle name="60 % - Akzent4 4" xfId="5455" hidden="1" xr:uid="{00000000-0005-0000-0000-0000AC010000}"/>
    <cellStyle name="60 % - Akzent5" xfId="198" xr:uid="{00000000-0005-0000-0000-0000AD010000}"/>
    <cellStyle name="60 % - Akzent5 2" xfId="493" xr:uid="{00000000-0005-0000-0000-0000AE010000}"/>
    <cellStyle name="60 % - Akzent5 3" xfId="362" xr:uid="{00000000-0005-0000-0000-0000AF010000}"/>
    <cellStyle name="60 % - Akzent5 4" xfId="3597" hidden="1" xr:uid="{00000000-0005-0000-0000-0000B0010000}"/>
    <cellStyle name="60 % - Akzent5 4" xfId="3750" hidden="1" xr:uid="{00000000-0005-0000-0000-0000B1010000}"/>
    <cellStyle name="60 % - Akzent5 4" xfId="4444" hidden="1" xr:uid="{00000000-0005-0000-0000-0000B2010000}"/>
    <cellStyle name="60 % - Akzent5 4" xfId="3822" hidden="1" xr:uid="{00000000-0005-0000-0000-0000B3010000}"/>
    <cellStyle name="60 % - Akzent5 4" xfId="4417" hidden="1" xr:uid="{00000000-0005-0000-0000-0000B4010000}"/>
    <cellStyle name="60 % - Akzent5 4" xfId="4533" hidden="1" xr:uid="{00000000-0005-0000-0000-0000B5010000}"/>
    <cellStyle name="60 % - Akzent5 4" xfId="4569" hidden="1" xr:uid="{00000000-0005-0000-0000-0000B6010000}"/>
    <cellStyle name="60 % - Akzent5 4" xfId="4635" hidden="1" xr:uid="{00000000-0005-0000-0000-0000B7010000}"/>
    <cellStyle name="60 % - Akzent5 4" xfId="5458" hidden="1" xr:uid="{00000000-0005-0000-0000-0000B8010000}"/>
    <cellStyle name="60 % - Akzent6" xfId="199" xr:uid="{00000000-0005-0000-0000-0000B9010000}"/>
    <cellStyle name="60 % - Akzent6 2" xfId="494" xr:uid="{00000000-0005-0000-0000-0000BA010000}"/>
    <cellStyle name="60 % - Akzent6 3" xfId="363" xr:uid="{00000000-0005-0000-0000-0000BB010000}"/>
    <cellStyle name="60 % - Akzent6 4" xfId="3600" hidden="1" xr:uid="{00000000-0005-0000-0000-0000BC010000}"/>
    <cellStyle name="60 % - Akzent6 4" xfId="3867" hidden="1" xr:uid="{00000000-0005-0000-0000-0000BD010000}"/>
    <cellStyle name="60 % - Akzent6 4" xfId="4458" hidden="1" xr:uid="{00000000-0005-0000-0000-0000BE010000}"/>
    <cellStyle name="60 % - Akzent6 4" xfId="3652" hidden="1" xr:uid="{00000000-0005-0000-0000-0000BF010000}"/>
    <cellStyle name="60 % - Akzent6 4" xfId="3768" hidden="1" xr:uid="{00000000-0005-0000-0000-0000C0010000}"/>
    <cellStyle name="60 % - Akzent6 4" xfId="4536" hidden="1" xr:uid="{00000000-0005-0000-0000-0000C1010000}"/>
    <cellStyle name="60 % - Akzent6 4" xfId="4572" hidden="1" xr:uid="{00000000-0005-0000-0000-0000C2010000}"/>
    <cellStyle name="60 % - Akzent6 4" xfId="4675" hidden="1" xr:uid="{00000000-0005-0000-0000-0000C3010000}"/>
    <cellStyle name="60 % - Akzent6 4" xfId="5461" hidden="1" xr:uid="{00000000-0005-0000-0000-0000C4010000}"/>
    <cellStyle name="60% - Accent1" xfId="17" xr:uid="{00000000-0005-0000-0000-0000C5010000}"/>
    <cellStyle name="60% - Accent1 2" xfId="200" xr:uid="{00000000-0005-0000-0000-0000C6010000}"/>
    <cellStyle name="60% - Accent1 3" xfId="314" xr:uid="{00000000-0005-0000-0000-0000C7010000}"/>
    <cellStyle name="60% - Accent2" xfId="18" xr:uid="{00000000-0005-0000-0000-0000C8010000}"/>
    <cellStyle name="60% - Accent2 2" xfId="201" xr:uid="{00000000-0005-0000-0000-0000C9010000}"/>
    <cellStyle name="60% - Accent2 3" xfId="315" xr:uid="{00000000-0005-0000-0000-0000CA010000}"/>
    <cellStyle name="60% - Accent3" xfId="19" xr:uid="{00000000-0005-0000-0000-0000CB010000}"/>
    <cellStyle name="60% - Accent3 2" xfId="202" xr:uid="{00000000-0005-0000-0000-0000CC010000}"/>
    <cellStyle name="60% - Accent3 3" xfId="316" xr:uid="{00000000-0005-0000-0000-0000CD010000}"/>
    <cellStyle name="60% - Accent4" xfId="20" xr:uid="{00000000-0005-0000-0000-0000CE010000}"/>
    <cellStyle name="60% - Accent4 2" xfId="203" xr:uid="{00000000-0005-0000-0000-0000CF010000}"/>
    <cellStyle name="60% - Accent4 3" xfId="317" xr:uid="{00000000-0005-0000-0000-0000D0010000}"/>
    <cellStyle name="60% - Accent5" xfId="21" xr:uid="{00000000-0005-0000-0000-0000D1010000}"/>
    <cellStyle name="60% - Accent5 2" xfId="204" xr:uid="{00000000-0005-0000-0000-0000D2010000}"/>
    <cellStyle name="60% - Accent5 3" xfId="318" xr:uid="{00000000-0005-0000-0000-0000D3010000}"/>
    <cellStyle name="60% - Accent6" xfId="22" xr:uid="{00000000-0005-0000-0000-0000D4010000}"/>
    <cellStyle name="60% - Accent6 2" xfId="205" xr:uid="{00000000-0005-0000-0000-0000D5010000}"/>
    <cellStyle name="60% - Accent6 3" xfId="319" xr:uid="{00000000-0005-0000-0000-0000D6010000}"/>
    <cellStyle name="Accent1" xfId="23" xr:uid="{00000000-0005-0000-0000-0000D7010000}"/>
    <cellStyle name="Accent1 2" xfId="206" xr:uid="{00000000-0005-0000-0000-0000D8010000}"/>
    <cellStyle name="Accent1 3" xfId="320" xr:uid="{00000000-0005-0000-0000-0000D9010000}"/>
    <cellStyle name="Accent1 4" xfId="454" xr:uid="{00000000-0005-0000-0000-0000DA010000}"/>
    <cellStyle name="Accent2" xfId="24" xr:uid="{00000000-0005-0000-0000-0000DB010000}"/>
    <cellStyle name="Accent2 2" xfId="207" xr:uid="{00000000-0005-0000-0000-0000DC010000}"/>
    <cellStyle name="Accent2 3" xfId="321" xr:uid="{00000000-0005-0000-0000-0000DD010000}"/>
    <cellStyle name="Accent2 4" xfId="455" xr:uid="{00000000-0005-0000-0000-0000DE010000}"/>
    <cellStyle name="Accent3" xfId="25" xr:uid="{00000000-0005-0000-0000-0000DF010000}"/>
    <cellStyle name="Accent3 2" xfId="208" xr:uid="{00000000-0005-0000-0000-0000E0010000}"/>
    <cellStyle name="Accent3 3" xfId="322" xr:uid="{00000000-0005-0000-0000-0000E1010000}"/>
    <cellStyle name="Accent3 4" xfId="456" xr:uid="{00000000-0005-0000-0000-0000E2010000}"/>
    <cellStyle name="Accent4" xfId="26" xr:uid="{00000000-0005-0000-0000-0000E3010000}"/>
    <cellStyle name="Accent4 2" xfId="209" xr:uid="{00000000-0005-0000-0000-0000E4010000}"/>
    <cellStyle name="Accent4 3" xfId="323" xr:uid="{00000000-0005-0000-0000-0000E5010000}"/>
    <cellStyle name="Accent4 4" xfId="457" xr:uid="{00000000-0005-0000-0000-0000E6010000}"/>
    <cellStyle name="Accent5" xfId="27" xr:uid="{00000000-0005-0000-0000-0000E7010000}"/>
    <cellStyle name="Accent5 2" xfId="210" xr:uid="{00000000-0005-0000-0000-0000E8010000}"/>
    <cellStyle name="Accent5 3" xfId="324" xr:uid="{00000000-0005-0000-0000-0000E9010000}"/>
    <cellStyle name="Accent5 4" xfId="458" xr:uid="{00000000-0005-0000-0000-0000EA010000}"/>
    <cellStyle name="Accent6" xfId="28" xr:uid="{00000000-0005-0000-0000-0000EB010000}"/>
    <cellStyle name="Accent6 2" xfId="211" xr:uid="{00000000-0005-0000-0000-0000EC010000}"/>
    <cellStyle name="Accent6 3" xfId="325" xr:uid="{00000000-0005-0000-0000-0000ED010000}"/>
    <cellStyle name="Accent6 4" xfId="459" xr:uid="{00000000-0005-0000-0000-0000EE010000}"/>
    <cellStyle name="AggblueBoldCels" xfId="29" xr:uid="{00000000-0005-0000-0000-0000EF010000}"/>
    <cellStyle name="AggblueBoldCels 2" xfId="30" xr:uid="{00000000-0005-0000-0000-0000F0010000}"/>
    <cellStyle name="AggblueCels" xfId="31" xr:uid="{00000000-0005-0000-0000-0000F1010000}"/>
    <cellStyle name="AggblueCels 2" xfId="32" xr:uid="{00000000-0005-0000-0000-0000F2010000}"/>
    <cellStyle name="AggblueCels_1x" xfId="33" xr:uid="{00000000-0005-0000-0000-0000F3010000}"/>
    <cellStyle name="AggBoldCells" xfId="34" xr:uid="{00000000-0005-0000-0000-0000F4010000}"/>
    <cellStyle name="AggBoldCells 2" xfId="212" xr:uid="{00000000-0005-0000-0000-0000F5010000}"/>
    <cellStyle name="AggBoldCells 3" xfId="292" xr:uid="{00000000-0005-0000-0000-0000F6010000}"/>
    <cellStyle name="AggBoldCells 4" xfId="448" xr:uid="{00000000-0005-0000-0000-0000F7010000}"/>
    <cellStyle name="AggBoldCells 5" xfId="145" xr:uid="{00000000-0005-0000-0000-0000F8010000}"/>
    <cellStyle name="AggCels" xfId="35" xr:uid="{00000000-0005-0000-0000-0000F9010000}"/>
    <cellStyle name="AggCels 2" xfId="213" xr:uid="{00000000-0005-0000-0000-0000FA010000}"/>
    <cellStyle name="AggCels 3" xfId="293" xr:uid="{00000000-0005-0000-0000-0000FB010000}"/>
    <cellStyle name="AggCels 4" xfId="449" xr:uid="{00000000-0005-0000-0000-0000FC010000}"/>
    <cellStyle name="AggCels 5" xfId="147" xr:uid="{00000000-0005-0000-0000-0000FD010000}"/>
    <cellStyle name="AggCels_T(2)" xfId="146" xr:uid="{00000000-0005-0000-0000-0000FE010000}"/>
    <cellStyle name="AggGreen" xfId="36" xr:uid="{00000000-0005-0000-0000-0000FF010000}"/>
    <cellStyle name="AggGreen 2" xfId="37" xr:uid="{00000000-0005-0000-0000-000000020000}"/>
    <cellStyle name="AggGreen 2 2" xfId="507" xr:uid="{00000000-0005-0000-0000-000001020000}"/>
    <cellStyle name="AggGreen 2 2 2" xfId="684" xr:uid="{00000000-0005-0000-0000-000002020000}"/>
    <cellStyle name="AggGreen 2 2 2 10" xfId="3385" xr:uid="{00000000-0005-0000-0000-000003020000}"/>
    <cellStyle name="AggGreen 2 2 2 11" xfId="3955" xr:uid="{00000000-0005-0000-0000-000004020000}"/>
    <cellStyle name="AggGreen 2 2 2 12" xfId="4418" xr:uid="{00000000-0005-0000-0000-000005020000}"/>
    <cellStyle name="AggGreen 2 2 2 13" xfId="4755" xr:uid="{00000000-0005-0000-0000-000006020000}"/>
    <cellStyle name="AggGreen 2 2 2 14" xfId="5135" xr:uid="{00000000-0005-0000-0000-000007020000}"/>
    <cellStyle name="AggGreen 2 2 2 15" xfId="5712" xr:uid="{00000000-0005-0000-0000-000008020000}"/>
    <cellStyle name="AggGreen 2 2 2 2" xfId="1073" xr:uid="{00000000-0005-0000-0000-000009020000}"/>
    <cellStyle name="AggGreen 2 2 2 2 2" xfId="4169" xr:uid="{00000000-0005-0000-0000-00000A020000}"/>
    <cellStyle name="AggGreen 2 2 2 2 3" xfId="3819" xr:uid="{00000000-0005-0000-0000-00000B020000}"/>
    <cellStyle name="AggGreen 2 2 2 2 4" xfId="4967" xr:uid="{00000000-0005-0000-0000-00000C020000}"/>
    <cellStyle name="AggGreen 2 2 2 2 5" xfId="5341" xr:uid="{00000000-0005-0000-0000-00000D020000}"/>
    <cellStyle name="AggGreen 2 2 2 2 6" xfId="5918" xr:uid="{00000000-0005-0000-0000-00000E020000}"/>
    <cellStyle name="AggGreen 2 2 2 3" xfId="1599" xr:uid="{00000000-0005-0000-0000-00000F020000}"/>
    <cellStyle name="AggGreen 2 2 2 4" xfId="1871" xr:uid="{00000000-0005-0000-0000-000010020000}"/>
    <cellStyle name="AggGreen 2 2 2 5" xfId="1117" xr:uid="{00000000-0005-0000-0000-000011020000}"/>
    <cellStyle name="AggGreen 2 2 2 6" xfId="2429" xr:uid="{00000000-0005-0000-0000-000012020000}"/>
    <cellStyle name="AggGreen 2 2 2 7" xfId="2609" xr:uid="{00000000-0005-0000-0000-000013020000}"/>
    <cellStyle name="AggGreen 2 2 2 8" xfId="2983" xr:uid="{00000000-0005-0000-0000-000014020000}"/>
    <cellStyle name="AggGreen 2 2 2 9" xfId="3151" xr:uid="{00000000-0005-0000-0000-000015020000}"/>
    <cellStyle name="AggGreen 2 2 3" xfId="1069" xr:uid="{00000000-0005-0000-0000-000016020000}"/>
    <cellStyle name="AggGreen 2 2 3 2" xfId="4084" xr:uid="{00000000-0005-0000-0000-000017020000}"/>
    <cellStyle name="AggGreen 2 2 3 3" xfId="4267" xr:uid="{00000000-0005-0000-0000-000018020000}"/>
    <cellStyle name="AggGreen 2 2 3 4" xfId="4882" xr:uid="{00000000-0005-0000-0000-000019020000}"/>
    <cellStyle name="AggGreen 2 2 3 5" xfId="5256" xr:uid="{00000000-0005-0000-0000-00001A020000}"/>
    <cellStyle name="AggGreen 2 2 3 6" xfId="5833" xr:uid="{00000000-0005-0000-0000-00001B020000}"/>
    <cellStyle name="AggGreen 2 3" xfId="365" xr:uid="{00000000-0005-0000-0000-00001C020000}"/>
    <cellStyle name="AggGreen 2 3 10" xfId="1512" xr:uid="{00000000-0005-0000-0000-00001D020000}"/>
    <cellStyle name="AggGreen 2 3 11" xfId="2857" xr:uid="{00000000-0005-0000-0000-00001E020000}"/>
    <cellStyle name="AggGreen 2 3 12" xfId="2833" xr:uid="{00000000-0005-0000-0000-00001F020000}"/>
    <cellStyle name="AggGreen 2 3 13" xfId="3270" xr:uid="{00000000-0005-0000-0000-000020020000}"/>
    <cellStyle name="AggGreen 2 3 14" xfId="3723" xr:uid="{00000000-0005-0000-0000-000021020000}"/>
    <cellStyle name="AggGreen 2 3 15" xfId="3666" xr:uid="{00000000-0005-0000-0000-000022020000}"/>
    <cellStyle name="AggGreen 2 3 16" xfId="4611" xr:uid="{00000000-0005-0000-0000-000023020000}"/>
    <cellStyle name="AggGreen 2 3 17" xfId="4867" xr:uid="{00000000-0005-0000-0000-000024020000}"/>
    <cellStyle name="AggGreen 2 3 18" xfId="5475" xr:uid="{00000000-0005-0000-0000-000025020000}"/>
    <cellStyle name="AggGreen 2 3 2" xfId="704" xr:uid="{00000000-0005-0000-0000-000026020000}"/>
    <cellStyle name="AggGreen 2 3 2 10" xfId="3405" xr:uid="{00000000-0005-0000-0000-000027020000}"/>
    <cellStyle name="AggGreen 2 3 2 11" xfId="3975" xr:uid="{00000000-0005-0000-0000-000028020000}"/>
    <cellStyle name="AggGreen 2 3 2 12" xfId="3674" xr:uid="{00000000-0005-0000-0000-000029020000}"/>
    <cellStyle name="AggGreen 2 3 2 13" xfId="4775" xr:uid="{00000000-0005-0000-0000-00002A020000}"/>
    <cellStyle name="AggGreen 2 3 2 14" xfId="5155" xr:uid="{00000000-0005-0000-0000-00002B020000}"/>
    <cellStyle name="AggGreen 2 3 2 15" xfId="5732" xr:uid="{00000000-0005-0000-0000-00002C020000}"/>
    <cellStyle name="AggGreen 2 3 2 2" xfId="1385" xr:uid="{00000000-0005-0000-0000-00002D020000}"/>
    <cellStyle name="AggGreen 2 3 2 2 2" xfId="4189" xr:uid="{00000000-0005-0000-0000-00002E020000}"/>
    <cellStyle name="AggGreen 2 3 2 2 3" xfId="4342" xr:uid="{00000000-0005-0000-0000-00002F020000}"/>
    <cellStyle name="AggGreen 2 3 2 2 4" xfId="4987" xr:uid="{00000000-0005-0000-0000-000030020000}"/>
    <cellStyle name="AggGreen 2 3 2 2 5" xfId="5361" xr:uid="{00000000-0005-0000-0000-000031020000}"/>
    <cellStyle name="AggGreen 2 3 2 2 6" xfId="5938" xr:uid="{00000000-0005-0000-0000-000032020000}"/>
    <cellStyle name="AggGreen 2 3 2 3" xfId="1619" xr:uid="{00000000-0005-0000-0000-000033020000}"/>
    <cellStyle name="AggGreen 2 3 2 4" xfId="1891" xr:uid="{00000000-0005-0000-0000-000034020000}"/>
    <cellStyle name="AggGreen 2 3 2 5" xfId="2270" xr:uid="{00000000-0005-0000-0000-000035020000}"/>
    <cellStyle name="AggGreen 2 3 2 6" xfId="2449" xr:uid="{00000000-0005-0000-0000-000036020000}"/>
    <cellStyle name="AggGreen 2 3 2 7" xfId="2629" xr:uid="{00000000-0005-0000-0000-000037020000}"/>
    <cellStyle name="AggGreen 2 3 2 8" xfId="3003" xr:uid="{00000000-0005-0000-0000-000038020000}"/>
    <cellStyle name="AggGreen 2 3 2 9" xfId="3171" xr:uid="{00000000-0005-0000-0000-000039020000}"/>
    <cellStyle name="AggGreen 2 3 3" xfId="773" xr:uid="{00000000-0005-0000-0000-00003A020000}"/>
    <cellStyle name="AggGreen 2 3 3 10" xfId="3474" xr:uid="{00000000-0005-0000-0000-00003B020000}"/>
    <cellStyle name="AggGreen 2 3 3 11" xfId="4044" xr:uid="{00000000-0005-0000-0000-00003C020000}"/>
    <cellStyle name="AggGreen 2 3 3 12" xfId="4415" xr:uid="{00000000-0005-0000-0000-00003D020000}"/>
    <cellStyle name="AggGreen 2 3 3 13" xfId="4844" xr:uid="{00000000-0005-0000-0000-00003E020000}"/>
    <cellStyle name="AggGreen 2 3 3 14" xfId="5224" xr:uid="{00000000-0005-0000-0000-00003F020000}"/>
    <cellStyle name="AggGreen 2 3 3 15" xfId="5801" xr:uid="{00000000-0005-0000-0000-000040020000}"/>
    <cellStyle name="AggGreen 2 3 3 2" xfId="1454" xr:uid="{00000000-0005-0000-0000-000041020000}"/>
    <cellStyle name="AggGreen 2 3 3 2 2" xfId="4258" xr:uid="{00000000-0005-0000-0000-000042020000}"/>
    <cellStyle name="AggGreen 2 3 3 2 3" xfId="4517" xr:uid="{00000000-0005-0000-0000-000043020000}"/>
    <cellStyle name="AggGreen 2 3 3 2 4" xfId="5056" xr:uid="{00000000-0005-0000-0000-000044020000}"/>
    <cellStyle name="AggGreen 2 3 3 2 5" xfId="5430" xr:uid="{00000000-0005-0000-0000-000045020000}"/>
    <cellStyle name="AggGreen 2 3 3 2 6" xfId="6007" xr:uid="{00000000-0005-0000-0000-000046020000}"/>
    <cellStyle name="AggGreen 2 3 3 3" xfId="1688" xr:uid="{00000000-0005-0000-0000-000047020000}"/>
    <cellStyle name="AggGreen 2 3 3 4" xfId="1960" xr:uid="{00000000-0005-0000-0000-000048020000}"/>
    <cellStyle name="AggGreen 2 3 3 5" xfId="2339" xr:uid="{00000000-0005-0000-0000-000049020000}"/>
    <cellStyle name="AggGreen 2 3 3 6" xfId="2518" xr:uid="{00000000-0005-0000-0000-00004A020000}"/>
    <cellStyle name="AggGreen 2 3 3 7" xfId="2698" xr:uid="{00000000-0005-0000-0000-00004B020000}"/>
    <cellStyle name="AggGreen 2 3 3 8" xfId="3072" xr:uid="{00000000-0005-0000-0000-00004C020000}"/>
    <cellStyle name="AggGreen 2 3 3 9" xfId="3240" xr:uid="{00000000-0005-0000-0000-00004D020000}"/>
    <cellStyle name="AggGreen 2 3 4" xfId="769" xr:uid="{00000000-0005-0000-0000-00004E020000}"/>
    <cellStyle name="AggGreen 2 3 4 10" xfId="3470" xr:uid="{00000000-0005-0000-0000-00004F020000}"/>
    <cellStyle name="AggGreen 2 3 4 11" xfId="4040" xr:uid="{00000000-0005-0000-0000-000050020000}"/>
    <cellStyle name="AggGreen 2 3 4 12" xfId="3753" xr:uid="{00000000-0005-0000-0000-000051020000}"/>
    <cellStyle name="AggGreen 2 3 4 13" xfId="4840" xr:uid="{00000000-0005-0000-0000-000052020000}"/>
    <cellStyle name="AggGreen 2 3 4 14" xfId="5220" xr:uid="{00000000-0005-0000-0000-000053020000}"/>
    <cellStyle name="AggGreen 2 3 4 15" xfId="5797" xr:uid="{00000000-0005-0000-0000-000054020000}"/>
    <cellStyle name="AggGreen 2 3 4 2" xfId="1450" xr:uid="{00000000-0005-0000-0000-000055020000}"/>
    <cellStyle name="AggGreen 2 3 4 2 2" xfId="4254" xr:uid="{00000000-0005-0000-0000-000056020000}"/>
    <cellStyle name="AggGreen 2 3 4 2 3" xfId="4513" xr:uid="{00000000-0005-0000-0000-000057020000}"/>
    <cellStyle name="AggGreen 2 3 4 2 4" xfId="5052" xr:uid="{00000000-0005-0000-0000-000058020000}"/>
    <cellStyle name="AggGreen 2 3 4 2 5" xfId="5426" xr:uid="{00000000-0005-0000-0000-000059020000}"/>
    <cellStyle name="AggGreen 2 3 4 2 6" xfId="6003" xr:uid="{00000000-0005-0000-0000-00005A020000}"/>
    <cellStyle name="AggGreen 2 3 4 3" xfId="1684" xr:uid="{00000000-0005-0000-0000-00005B020000}"/>
    <cellStyle name="AggGreen 2 3 4 4" xfId="1956" xr:uid="{00000000-0005-0000-0000-00005C020000}"/>
    <cellStyle name="AggGreen 2 3 4 5" xfId="2335" xr:uid="{00000000-0005-0000-0000-00005D020000}"/>
    <cellStyle name="AggGreen 2 3 4 6" xfId="2514" xr:uid="{00000000-0005-0000-0000-00005E020000}"/>
    <cellStyle name="AggGreen 2 3 4 7" xfId="2694" xr:uid="{00000000-0005-0000-0000-00005F020000}"/>
    <cellStyle name="AggGreen 2 3 4 8" xfId="3068" xr:uid="{00000000-0005-0000-0000-000060020000}"/>
    <cellStyle name="AggGreen 2 3 4 9" xfId="3236" xr:uid="{00000000-0005-0000-0000-000061020000}"/>
    <cellStyle name="AggGreen 2 3 5" xfId="994" xr:uid="{00000000-0005-0000-0000-000062020000}"/>
    <cellStyle name="AggGreen 2 3 6" xfId="836" xr:uid="{00000000-0005-0000-0000-000063020000}"/>
    <cellStyle name="AggGreen 2 3 7" xfId="1288" xr:uid="{00000000-0005-0000-0000-000064020000}"/>
    <cellStyle name="AggGreen 2 3 8" xfId="2226" xr:uid="{00000000-0005-0000-0000-000065020000}"/>
    <cellStyle name="AggGreen 2 3 9" xfId="2161" xr:uid="{00000000-0005-0000-0000-000066020000}"/>
    <cellStyle name="AggGreen 2 4" xfId="816" xr:uid="{00000000-0005-0000-0000-000067020000}"/>
    <cellStyle name="AggGreen 3" xfId="506" xr:uid="{00000000-0005-0000-0000-000068020000}"/>
    <cellStyle name="AggGreen 3 2" xfId="633" xr:uid="{00000000-0005-0000-0000-000069020000}"/>
    <cellStyle name="AggGreen 3 2 10" xfId="3334" xr:uid="{00000000-0005-0000-0000-00006A020000}"/>
    <cellStyle name="AggGreen 3 2 11" xfId="3904" xr:uid="{00000000-0005-0000-0000-00006B020000}"/>
    <cellStyle name="AggGreen 3 2 12" xfId="4367" xr:uid="{00000000-0005-0000-0000-00006C020000}"/>
    <cellStyle name="AggGreen 3 2 13" xfId="4704" xr:uid="{00000000-0005-0000-0000-00006D020000}"/>
    <cellStyle name="AggGreen 3 2 14" xfId="5084" xr:uid="{00000000-0005-0000-0000-00006E020000}"/>
    <cellStyle name="AggGreen 3 2 15" xfId="5661" xr:uid="{00000000-0005-0000-0000-00006F020000}"/>
    <cellStyle name="AggGreen 3 2 2" xfId="956" xr:uid="{00000000-0005-0000-0000-000070020000}"/>
    <cellStyle name="AggGreen 3 2 2 2" xfId="4118" xr:uid="{00000000-0005-0000-0000-000071020000}"/>
    <cellStyle name="AggGreen 3 2 2 3" xfId="3787" xr:uid="{00000000-0005-0000-0000-000072020000}"/>
    <cellStyle name="AggGreen 3 2 2 4" xfId="4916" xr:uid="{00000000-0005-0000-0000-000073020000}"/>
    <cellStyle name="AggGreen 3 2 2 5" xfId="5290" xr:uid="{00000000-0005-0000-0000-000074020000}"/>
    <cellStyle name="AggGreen 3 2 2 6" xfId="5867" xr:uid="{00000000-0005-0000-0000-000075020000}"/>
    <cellStyle name="AggGreen 3 2 3" xfId="1548" xr:uid="{00000000-0005-0000-0000-000076020000}"/>
    <cellStyle name="AggGreen 3 2 4" xfId="1510" xr:uid="{00000000-0005-0000-0000-000077020000}"/>
    <cellStyle name="AggGreen 3 2 5" xfId="950" xr:uid="{00000000-0005-0000-0000-000078020000}"/>
    <cellStyle name="AggGreen 3 2 6" xfId="2378" xr:uid="{00000000-0005-0000-0000-000079020000}"/>
    <cellStyle name="AggGreen 3 2 7" xfId="2558" xr:uid="{00000000-0005-0000-0000-00007A020000}"/>
    <cellStyle name="AggGreen 3 2 8" xfId="2932" xr:uid="{00000000-0005-0000-0000-00007B020000}"/>
    <cellStyle name="AggGreen 3 2 9" xfId="3100" xr:uid="{00000000-0005-0000-0000-00007C020000}"/>
    <cellStyle name="AggGreen 3 3" xfId="1346" xr:uid="{00000000-0005-0000-0000-00007D020000}"/>
    <cellStyle name="AggGreen 3 3 2" xfId="4083" xr:uid="{00000000-0005-0000-0000-00007E020000}"/>
    <cellStyle name="AggGreen 3 3 3" xfId="4459" xr:uid="{00000000-0005-0000-0000-00007F020000}"/>
    <cellStyle name="AggGreen 3 3 4" xfId="4881" xr:uid="{00000000-0005-0000-0000-000080020000}"/>
    <cellStyle name="AggGreen 3 3 5" xfId="5255" xr:uid="{00000000-0005-0000-0000-000081020000}"/>
    <cellStyle name="AggGreen 3 3 6" xfId="5832" xr:uid="{00000000-0005-0000-0000-000082020000}"/>
    <cellStyle name="AggGreen 4" xfId="364" xr:uid="{00000000-0005-0000-0000-000083020000}"/>
    <cellStyle name="AggGreen 4 10" xfId="1352" xr:uid="{00000000-0005-0000-0000-000084020000}"/>
    <cellStyle name="AggGreen 4 11" xfId="2856" xr:uid="{00000000-0005-0000-0000-000085020000}"/>
    <cellStyle name="AggGreen 4 12" xfId="2834" xr:uid="{00000000-0005-0000-0000-000086020000}"/>
    <cellStyle name="AggGreen 4 13" xfId="3269" xr:uid="{00000000-0005-0000-0000-000087020000}"/>
    <cellStyle name="AggGreen 4 14" xfId="3722" xr:uid="{00000000-0005-0000-0000-000088020000}"/>
    <cellStyle name="AggGreen 4 15" xfId="3766" xr:uid="{00000000-0005-0000-0000-000089020000}"/>
    <cellStyle name="AggGreen 4 16" xfId="4610" xr:uid="{00000000-0005-0000-0000-00008A020000}"/>
    <cellStyle name="AggGreen 4 17" xfId="4582" xr:uid="{00000000-0005-0000-0000-00008B020000}"/>
    <cellStyle name="AggGreen 4 18" xfId="5474" xr:uid="{00000000-0005-0000-0000-00008C020000}"/>
    <cellStyle name="AggGreen 4 2" xfId="703" xr:uid="{00000000-0005-0000-0000-00008D020000}"/>
    <cellStyle name="AggGreen 4 2 10" xfId="3404" xr:uid="{00000000-0005-0000-0000-00008E020000}"/>
    <cellStyle name="AggGreen 4 2 11" xfId="3974" xr:uid="{00000000-0005-0000-0000-00008F020000}"/>
    <cellStyle name="AggGreen 4 2 12" xfId="4374" xr:uid="{00000000-0005-0000-0000-000090020000}"/>
    <cellStyle name="AggGreen 4 2 13" xfId="4774" xr:uid="{00000000-0005-0000-0000-000091020000}"/>
    <cellStyle name="AggGreen 4 2 14" xfId="5154" xr:uid="{00000000-0005-0000-0000-000092020000}"/>
    <cellStyle name="AggGreen 4 2 15" xfId="5731" xr:uid="{00000000-0005-0000-0000-000093020000}"/>
    <cellStyle name="AggGreen 4 2 2" xfId="1384" xr:uid="{00000000-0005-0000-0000-000094020000}"/>
    <cellStyle name="AggGreen 4 2 2 2" xfId="4188" xr:uid="{00000000-0005-0000-0000-000095020000}"/>
    <cellStyle name="AggGreen 4 2 2 3" xfId="4311" xr:uid="{00000000-0005-0000-0000-000096020000}"/>
    <cellStyle name="AggGreen 4 2 2 4" xfId="4986" xr:uid="{00000000-0005-0000-0000-000097020000}"/>
    <cellStyle name="AggGreen 4 2 2 5" xfId="5360" xr:uid="{00000000-0005-0000-0000-000098020000}"/>
    <cellStyle name="AggGreen 4 2 2 6" xfId="5937" xr:uid="{00000000-0005-0000-0000-000099020000}"/>
    <cellStyle name="AggGreen 4 2 3" xfId="1618" xr:uid="{00000000-0005-0000-0000-00009A020000}"/>
    <cellStyle name="AggGreen 4 2 4" xfId="1890" xr:uid="{00000000-0005-0000-0000-00009B020000}"/>
    <cellStyle name="AggGreen 4 2 5" xfId="2269" xr:uid="{00000000-0005-0000-0000-00009C020000}"/>
    <cellStyle name="AggGreen 4 2 6" xfId="2448" xr:uid="{00000000-0005-0000-0000-00009D020000}"/>
    <cellStyle name="AggGreen 4 2 7" xfId="2628" xr:uid="{00000000-0005-0000-0000-00009E020000}"/>
    <cellStyle name="AggGreen 4 2 8" xfId="3002" xr:uid="{00000000-0005-0000-0000-00009F020000}"/>
    <cellStyle name="AggGreen 4 2 9" xfId="3170" xr:uid="{00000000-0005-0000-0000-0000A0020000}"/>
    <cellStyle name="AggGreen 4 3" xfId="618" xr:uid="{00000000-0005-0000-0000-0000A1020000}"/>
    <cellStyle name="AggGreen 4 3 10" xfId="3319" xr:uid="{00000000-0005-0000-0000-0000A2020000}"/>
    <cellStyle name="AggGreen 4 3 11" xfId="3889" xr:uid="{00000000-0005-0000-0000-0000A3020000}"/>
    <cellStyle name="AggGreen 4 3 12" xfId="4388" xr:uid="{00000000-0005-0000-0000-0000A4020000}"/>
    <cellStyle name="AggGreen 4 3 13" xfId="4689" xr:uid="{00000000-0005-0000-0000-0000A5020000}"/>
    <cellStyle name="AggGreen 4 3 14" xfId="5069" xr:uid="{00000000-0005-0000-0000-0000A6020000}"/>
    <cellStyle name="AggGreen 4 3 15" xfId="5646" xr:uid="{00000000-0005-0000-0000-0000A7020000}"/>
    <cellStyle name="AggGreen 4 3 2" xfId="877" xr:uid="{00000000-0005-0000-0000-0000A8020000}"/>
    <cellStyle name="AggGreen 4 3 2 2" xfId="4103" xr:uid="{00000000-0005-0000-0000-0000A9020000}"/>
    <cellStyle name="AggGreen 4 3 2 3" xfId="4410" xr:uid="{00000000-0005-0000-0000-0000AA020000}"/>
    <cellStyle name="AggGreen 4 3 2 4" xfId="4901" xr:uid="{00000000-0005-0000-0000-0000AB020000}"/>
    <cellStyle name="AggGreen 4 3 2 5" xfId="5275" xr:uid="{00000000-0005-0000-0000-0000AC020000}"/>
    <cellStyle name="AggGreen 4 3 2 6" xfId="5852" xr:uid="{00000000-0005-0000-0000-0000AD020000}"/>
    <cellStyle name="AggGreen 4 3 3" xfId="1533" xr:uid="{00000000-0005-0000-0000-0000AE020000}"/>
    <cellStyle name="AggGreen 4 3 4" xfId="1515" xr:uid="{00000000-0005-0000-0000-0000AF020000}"/>
    <cellStyle name="AggGreen 4 3 5" xfId="2086" xr:uid="{00000000-0005-0000-0000-0000B0020000}"/>
    <cellStyle name="AggGreen 4 3 6" xfId="2363" xr:uid="{00000000-0005-0000-0000-0000B1020000}"/>
    <cellStyle name="AggGreen 4 3 7" xfId="2543" xr:uid="{00000000-0005-0000-0000-0000B2020000}"/>
    <cellStyle name="AggGreen 4 3 8" xfId="2917" xr:uid="{00000000-0005-0000-0000-0000B3020000}"/>
    <cellStyle name="AggGreen 4 3 9" xfId="3085" xr:uid="{00000000-0005-0000-0000-0000B4020000}"/>
    <cellStyle name="AggGreen 4 4" xfId="736" xr:uid="{00000000-0005-0000-0000-0000B5020000}"/>
    <cellStyle name="AggGreen 4 4 10" xfId="3437" xr:uid="{00000000-0005-0000-0000-0000B6020000}"/>
    <cellStyle name="AggGreen 4 4 11" xfId="4007" xr:uid="{00000000-0005-0000-0000-0000B7020000}"/>
    <cellStyle name="AggGreen 4 4 12" xfId="3793" xr:uid="{00000000-0005-0000-0000-0000B8020000}"/>
    <cellStyle name="AggGreen 4 4 13" xfId="4807" xr:uid="{00000000-0005-0000-0000-0000B9020000}"/>
    <cellStyle name="AggGreen 4 4 14" xfId="5187" xr:uid="{00000000-0005-0000-0000-0000BA020000}"/>
    <cellStyle name="AggGreen 4 4 15" xfId="5764" xr:uid="{00000000-0005-0000-0000-0000BB020000}"/>
    <cellStyle name="AggGreen 4 4 2" xfId="1417" xr:uid="{00000000-0005-0000-0000-0000BC020000}"/>
    <cellStyle name="AggGreen 4 4 2 2" xfId="4221" xr:uid="{00000000-0005-0000-0000-0000BD020000}"/>
    <cellStyle name="AggGreen 4 4 2 3" xfId="4312" xr:uid="{00000000-0005-0000-0000-0000BE020000}"/>
    <cellStyle name="AggGreen 4 4 2 4" xfId="5019" xr:uid="{00000000-0005-0000-0000-0000BF020000}"/>
    <cellStyle name="AggGreen 4 4 2 5" xfId="5393" xr:uid="{00000000-0005-0000-0000-0000C0020000}"/>
    <cellStyle name="AggGreen 4 4 2 6" xfId="5970" xr:uid="{00000000-0005-0000-0000-0000C1020000}"/>
    <cellStyle name="AggGreen 4 4 3" xfId="1651" xr:uid="{00000000-0005-0000-0000-0000C2020000}"/>
    <cellStyle name="AggGreen 4 4 4" xfId="1923" xr:uid="{00000000-0005-0000-0000-0000C3020000}"/>
    <cellStyle name="AggGreen 4 4 5" xfId="2302" xr:uid="{00000000-0005-0000-0000-0000C4020000}"/>
    <cellStyle name="AggGreen 4 4 6" xfId="2481" xr:uid="{00000000-0005-0000-0000-0000C5020000}"/>
    <cellStyle name="AggGreen 4 4 7" xfId="2661" xr:uid="{00000000-0005-0000-0000-0000C6020000}"/>
    <cellStyle name="AggGreen 4 4 8" xfId="3035" xr:uid="{00000000-0005-0000-0000-0000C7020000}"/>
    <cellStyle name="AggGreen 4 4 9" xfId="3203" xr:uid="{00000000-0005-0000-0000-0000C8020000}"/>
    <cellStyle name="AggGreen 4 5" xfId="1067" xr:uid="{00000000-0005-0000-0000-0000C9020000}"/>
    <cellStyle name="AggGreen 4 6" xfId="966" xr:uid="{00000000-0005-0000-0000-0000CA020000}"/>
    <cellStyle name="AggGreen 4 7" xfId="814" xr:uid="{00000000-0005-0000-0000-0000CB020000}"/>
    <cellStyle name="AggGreen 4 8" xfId="2003" xr:uid="{00000000-0005-0000-0000-0000CC020000}"/>
    <cellStyle name="AggGreen 4 9" xfId="1991" xr:uid="{00000000-0005-0000-0000-0000CD020000}"/>
    <cellStyle name="AggGreen 5" xfId="1059" xr:uid="{00000000-0005-0000-0000-0000CE020000}"/>
    <cellStyle name="AggGreen 5 2" xfId="3609" xr:uid="{00000000-0005-0000-0000-0000CF020000}"/>
    <cellStyle name="AggGreen 5 3" xfId="4581" xr:uid="{00000000-0005-0000-0000-0000D0020000}"/>
    <cellStyle name="AggGreen_Bbdr" xfId="38" xr:uid="{00000000-0005-0000-0000-0000D1020000}"/>
    <cellStyle name="AggGreen12" xfId="39" xr:uid="{00000000-0005-0000-0000-0000D2020000}"/>
    <cellStyle name="AggGreen12 2" xfId="40" xr:uid="{00000000-0005-0000-0000-0000D3020000}"/>
    <cellStyle name="AggGreen12 2 2" xfId="509" xr:uid="{00000000-0005-0000-0000-0000D4020000}"/>
    <cellStyle name="AggGreen12 2 2 2" xfId="702" xr:uid="{00000000-0005-0000-0000-0000D5020000}"/>
    <cellStyle name="AggGreen12 2 2 2 10" xfId="3403" xr:uid="{00000000-0005-0000-0000-0000D6020000}"/>
    <cellStyle name="AggGreen12 2 2 2 11" xfId="3973" xr:uid="{00000000-0005-0000-0000-0000D7020000}"/>
    <cellStyle name="AggGreen12 2 2 2 12" xfId="4348" xr:uid="{00000000-0005-0000-0000-0000D8020000}"/>
    <cellStyle name="AggGreen12 2 2 2 13" xfId="4773" xr:uid="{00000000-0005-0000-0000-0000D9020000}"/>
    <cellStyle name="AggGreen12 2 2 2 14" xfId="5153" xr:uid="{00000000-0005-0000-0000-0000DA020000}"/>
    <cellStyle name="AggGreen12 2 2 2 15" xfId="5730" xr:uid="{00000000-0005-0000-0000-0000DB020000}"/>
    <cellStyle name="AggGreen12 2 2 2 2" xfId="1383" xr:uid="{00000000-0005-0000-0000-0000DC020000}"/>
    <cellStyle name="AggGreen12 2 2 2 2 2" xfId="4187" xr:uid="{00000000-0005-0000-0000-0000DD020000}"/>
    <cellStyle name="AggGreen12 2 2 2 2 3" xfId="3829" xr:uid="{00000000-0005-0000-0000-0000DE020000}"/>
    <cellStyle name="AggGreen12 2 2 2 2 4" xfId="4985" xr:uid="{00000000-0005-0000-0000-0000DF020000}"/>
    <cellStyle name="AggGreen12 2 2 2 2 5" xfId="5359" xr:uid="{00000000-0005-0000-0000-0000E0020000}"/>
    <cellStyle name="AggGreen12 2 2 2 2 6" xfId="5936" xr:uid="{00000000-0005-0000-0000-0000E1020000}"/>
    <cellStyle name="AggGreen12 2 2 2 3" xfId="1617" xr:uid="{00000000-0005-0000-0000-0000E2020000}"/>
    <cellStyle name="AggGreen12 2 2 2 4" xfId="1889" xr:uid="{00000000-0005-0000-0000-0000E3020000}"/>
    <cellStyle name="AggGreen12 2 2 2 5" xfId="2268" xr:uid="{00000000-0005-0000-0000-0000E4020000}"/>
    <cellStyle name="AggGreen12 2 2 2 6" xfId="2447" xr:uid="{00000000-0005-0000-0000-0000E5020000}"/>
    <cellStyle name="AggGreen12 2 2 2 7" xfId="2627" xr:uid="{00000000-0005-0000-0000-0000E6020000}"/>
    <cellStyle name="AggGreen12 2 2 2 8" xfId="3001" xr:uid="{00000000-0005-0000-0000-0000E7020000}"/>
    <cellStyle name="AggGreen12 2 2 2 9" xfId="3169" xr:uid="{00000000-0005-0000-0000-0000E8020000}"/>
    <cellStyle name="AggGreen12 2 2 3" xfId="947" xr:uid="{00000000-0005-0000-0000-0000E9020000}"/>
    <cellStyle name="AggGreen12 2 2 3 2" xfId="4086" xr:uid="{00000000-0005-0000-0000-0000EA020000}"/>
    <cellStyle name="AggGreen12 2 2 3 3" xfId="3653" xr:uid="{00000000-0005-0000-0000-0000EB020000}"/>
    <cellStyle name="AggGreen12 2 2 3 4" xfId="4884" xr:uid="{00000000-0005-0000-0000-0000EC020000}"/>
    <cellStyle name="AggGreen12 2 2 3 5" xfId="5258" xr:uid="{00000000-0005-0000-0000-0000ED020000}"/>
    <cellStyle name="AggGreen12 2 2 3 6" xfId="5835" xr:uid="{00000000-0005-0000-0000-0000EE020000}"/>
    <cellStyle name="AggGreen12 2 3" xfId="367" xr:uid="{00000000-0005-0000-0000-0000EF020000}"/>
    <cellStyle name="AggGreen12 2 3 10" xfId="156" xr:uid="{00000000-0005-0000-0000-0000F0020000}"/>
    <cellStyle name="AggGreen12 2 3 11" xfId="2859" xr:uid="{00000000-0005-0000-0000-0000F1020000}"/>
    <cellStyle name="AggGreen12 2 3 12" xfId="2903" xr:uid="{00000000-0005-0000-0000-0000F2020000}"/>
    <cellStyle name="AggGreen12 2 3 13" xfId="3272" xr:uid="{00000000-0005-0000-0000-0000F3020000}"/>
    <cellStyle name="AggGreen12 2 3 14" xfId="3725" xr:uid="{00000000-0005-0000-0000-0000F4020000}"/>
    <cellStyle name="AggGreen12 2 3 15" xfId="4355" xr:uid="{00000000-0005-0000-0000-0000F5020000}"/>
    <cellStyle name="AggGreen12 2 3 16" xfId="4613" xr:uid="{00000000-0005-0000-0000-0000F6020000}"/>
    <cellStyle name="AggGreen12 2 3 17" xfId="4868" xr:uid="{00000000-0005-0000-0000-0000F7020000}"/>
    <cellStyle name="AggGreen12 2 3 18" xfId="5477" xr:uid="{00000000-0005-0000-0000-0000F8020000}"/>
    <cellStyle name="AggGreen12 2 3 2" xfId="706" xr:uid="{00000000-0005-0000-0000-0000F9020000}"/>
    <cellStyle name="AggGreen12 2 3 2 10" xfId="3407" xr:uid="{00000000-0005-0000-0000-0000FA020000}"/>
    <cellStyle name="AggGreen12 2 3 2 11" xfId="3977" xr:uid="{00000000-0005-0000-0000-0000FB020000}"/>
    <cellStyle name="AggGreen12 2 3 2 12" xfId="4382" xr:uid="{00000000-0005-0000-0000-0000FC020000}"/>
    <cellStyle name="AggGreen12 2 3 2 13" xfId="4777" xr:uid="{00000000-0005-0000-0000-0000FD020000}"/>
    <cellStyle name="AggGreen12 2 3 2 14" xfId="5157" xr:uid="{00000000-0005-0000-0000-0000FE020000}"/>
    <cellStyle name="AggGreen12 2 3 2 15" xfId="5734" xr:uid="{00000000-0005-0000-0000-0000FF020000}"/>
    <cellStyle name="AggGreen12 2 3 2 2" xfId="1387" xr:uid="{00000000-0005-0000-0000-000000030000}"/>
    <cellStyle name="AggGreen12 2 3 2 2 2" xfId="4191" xr:uid="{00000000-0005-0000-0000-000001030000}"/>
    <cellStyle name="AggGreen12 2 3 2 2 3" xfId="3751" xr:uid="{00000000-0005-0000-0000-000002030000}"/>
    <cellStyle name="AggGreen12 2 3 2 2 4" xfId="4989" xr:uid="{00000000-0005-0000-0000-000003030000}"/>
    <cellStyle name="AggGreen12 2 3 2 2 5" xfId="5363" xr:uid="{00000000-0005-0000-0000-000004030000}"/>
    <cellStyle name="AggGreen12 2 3 2 2 6" xfId="5940" xr:uid="{00000000-0005-0000-0000-000005030000}"/>
    <cellStyle name="AggGreen12 2 3 2 3" xfId="1621" xr:uid="{00000000-0005-0000-0000-000006030000}"/>
    <cellStyle name="AggGreen12 2 3 2 4" xfId="1893" xr:uid="{00000000-0005-0000-0000-000007030000}"/>
    <cellStyle name="AggGreen12 2 3 2 5" xfId="2272" xr:uid="{00000000-0005-0000-0000-000008030000}"/>
    <cellStyle name="AggGreen12 2 3 2 6" xfId="2451" xr:uid="{00000000-0005-0000-0000-000009030000}"/>
    <cellStyle name="AggGreen12 2 3 2 7" xfId="2631" xr:uid="{00000000-0005-0000-0000-00000A030000}"/>
    <cellStyle name="AggGreen12 2 3 2 8" xfId="3005" xr:uid="{00000000-0005-0000-0000-00000B030000}"/>
    <cellStyle name="AggGreen12 2 3 2 9" xfId="3173" xr:uid="{00000000-0005-0000-0000-00000C030000}"/>
    <cellStyle name="AggGreen12 2 3 3" xfId="655" xr:uid="{00000000-0005-0000-0000-00000D030000}"/>
    <cellStyle name="AggGreen12 2 3 3 10" xfId="3356" xr:uid="{00000000-0005-0000-0000-00000E030000}"/>
    <cellStyle name="AggGreen12 2 3 3 11" xfId="3926" xr:uid="{00000000-0005-0000-0000-00000F030000}"/>
    <cellStyle name="AggGreen12 2 3 3 12" xfId="3758" xr:uid="{00000000-0005-0000-0000-000010030000}"/>
    <cellStyle name="AggGreen12 2 3 3 13" xfId="4726" xr:uid="{00000000-0005-0000-0000-000011030000}"/>
    <cellStyle name="AggGreen12 2 3 3 14" xfId="5106" xr:uid="{00000000-0005-0000-0000-000012030000}"/>
    <cellStyle name="AggGreen12 2 3 3 15" xfId="5683" xr:uid="{00000000-0005-0000-0000-000013030000}"/>
    <cellStyle name="AggGreen12 2 3 3 2" xfId="1068" xr:uid="{00000000-0005-0000-0000-000014030000}"/>
    <cellStyle name="AggGreen12 2 3 3 2 2" xfId="4140" xr:uid="{00000000-0005-0000-0000-000015030000}"/>
    <cellStyle name="AggGreen12 2 3 3 2 3" xfId="4299" xr:uid="{00000000-0005-0000-0000-000016030000}"/>
    <cellStyle name="AggGreen12 2 3 3 2 4" xfId="4938" xr:uid="{00000000-0005-0000-0000-000017030000}"/>
    <cellStyle name="AggGreen12 2 3 3 2 5" xfId="5312" xr:uid="{00000000-0005-0000-0000-000018030000}"/>
    <cellStyle name="AggGreen12 2 3 3 2 6" xfId="5889" xr:uid="{00000000-0005-0000-0000-000019030000}"/>
    <cellStyle name="AggGreen12 2 3 3 3" xfId="1570" xr:uid="{00000000-0005-0000-0000-00001A030000}"/>
    <cellStyle name="AggGreen12 2 3 3 4" xfId="1127" xr:uid="{00000000-0005-0000-0000-00001B030000}"/>
    <cellStyle name="AggGreen12 2 3 3 5" xfId="1864" xr:uid="{00000000-0005-0000-0000-00001C030000}"/>
    <cellStyle name="AggGreen12 2 3 3 6" xfId="2400" xr:uid="{00000000-0005-0000-0000-00001D030000}"/>
    <cellStyle name="AggGreen12 2 3 3 7" xfId="2580" xr:uid="{00000000-0005-0000-0000-00001E030000}"/>
    <cellStyle name="AggGreen12 2 3 3 8" xfId="2954" xr:uid="{00000000-0005-0000-0000-00001F030000}"/>
    <cellStyle name="AggGreen12 2 3 3 9" xfId="3122" xr:uid="{00000000-0005-0000-0000-000020030000}"/>
    <cellStyle name="AggGreen12 2 3 4" xfId="735" xr:uid="{00000000-0005-0000-0000-000021030000}"/>
    <cellStyle name="AggGreen12 2 3 4 10" xfId="3436" xr:uid="{00000000-0005-0000-0000-000022030000}"/>
    <cellStyle name="AggGreen12 2 3 4 11" xfId="4006" xr:uid="{00000000-0005-0000-0000-000023030000}"/>
    <cellStyle name="AggGreen12 2 3 4 12" xfId="4414" xr:uid="{00000000-0005-0000-0000-000024030000}"/>
    <cellStyle name="AggGreen12 2 3 4 13" xfId="4806" xr:uid="{00000000-0005-0000-0000-000025030000}"/>
    <cellStyle name="AggGreen12 2 3 4 14" xfId="5186" xr:uid="{00000000-0005-0000-0000-000026030000}"/>
    <cellStyle name="AggGreen12 2 3 4 15" xfId="5763" xr:uid="{00000000-0005-0000-0000-000027030000}"/>
    <cellStyle name="AggGreen12 2 3 4 2" xfId="1416" xr:uid="{00000000-0005-0000-0000-000028030000}"/>
    <cellStyle name="AggGreen12 2 3 4 2 2" xfId="4220" xr:uid="{00000000-0005-0000-0000-000029030000}"/>
    <cellStyle name="AggGreen12 2 3 4 2 3" xfId="4428" xr:uid="{00000000-0005-0000-0000-00002A030000}"/>
    <cellStyle name="AggGreen12 2 3 4 2 4" xfId="5018" xr:uid="{00000000-0005-0000-0000-00002B030000}"/>
    <cellStyle name="AggGreen12 2 3 4 2 5" xfId="5392" xr:uid="{00000000-0005-0000-0000-00002C030000}"/>
    <cellStyle name="AggGreen12 2 3 4 2 6" xfId="5969" xr:uid="{00000000-0005-0000-0000-00002D030000}"/>
    <cellStyle name="AggGreen12 2 3 4 3" xfId="1650" xr:uid="{00000000-0005-0000-0000-00002E030000}"/>
    <cellStyle name="AggGreen12 2 3 4 4" xfId="1922" xr:uid="{00000000-0005-0000-0000-00002F030000}"/>
    <cellStyle name="AggGreen12 2 3 4 5" xfId="2301" xr:uid="{00000000-0005-0000-0000-000030030000}"/>
    <cellStyle name="AggGreen12 2 3 4 6" xfId="2480" xr:uid="{00000000-0005-0000-0000-000031030000}"/>
    <cellStyle name="AggGreen12 2 3 4 7" xfId="2660" xr:uid="{00000000-0005-0000-0000-000032030000}"/>
    <cellStyle name="AggGreen12 2 3 4 8" xfId="3034" xr:uid="{00000000-0005-0000-0000-000033030000}"/>
    <cellStyle name="AggGreen12 2 3 4 9" xfId="3202" xr:uid="{00000000-0005-0000-0000-000034030000}"/>
    <cellStyle name="AggGreen12 2 3 5" xfId="1340" xr:uid="{00000000-0005-0000-0000-000035030000}"/>
    <cellStyle name="AggGreen12 2 3 6" xfId="835" xr:uid="{00000000-0005-0000-0000-000036030000}"/>
    <cellStyle name="AggGreen12 2 3 7" xfId="1315" xr:uid="{00000000-0005-0000-0000-000037030000}"/>
    <cellStyle name="AggGreen12 2 3 8" xfId="2217" xr:uid="{00000000-0005-0000-0000-000038030000}"/>
    <cellStyle name="AggGreen12 2 3 9" xfId="149" xr:uid="{00000000-0005-0000-0000-000039030000}"/>
    <cellStyle name="AggGreen12 2 4" xfId="144" xr:uid="{00000000-0005-0000-0000-00003A030000}"/>
    <cellStyle name="AggGreen12 3" xfId="508" xr:uid="{00000000-0005-0000-0000-00003B030000}"/>
    <cellStyle name="AggGreen12 3 2" xfId="632" xr:uid="{00000000-0005-0000-0000-00003C030000}"/>
    <cellStyle name="AggGreen12 3 2 10" xfId="3333" xr:uid="{00000000-0005-0000-0000-00003D030000}"/>
    <cellStyle name="AggGreen12 3 2 11" xfId="3903" xr:uid="{00000000-0005-0000-0000-00003E030000}"/>
    <cellStyle name="AggGreen12 3 2 12" xfId="4493" xr:uid="{00000000-0005-0000-0000-00003F030000}"/>
    <cellStyle name="AggGreen12 3 2 13" xfId="4703" xr:uid="{00000000-0005-0000-0000-000040030000}"/>
    <cellStyle name="AggGreen12 3 2 14" xfId="5083" xr:uid="{00000000-0005-0000-0000-000041030000}"/>
    <cellStyle name="AggGreen12 3 2 15" xfId="5660" xr:uid="{00000000-0005-0000-0000-000042030000}"/>
    <cellStyle name="AggGreen12 3 2 2" xfId="1080" xr:uid="{00000000-0005-0000-0000-000043030000}"/>
    <cellStyle name="AggGreen12 3 2 2 2" xfId="4117" xr:uid="{00000000-0005-0000-0000-000044030000}"/>
    <cellStyle name="AggGreen12 3 2 2 3" xfId="4345" xr:uid="{00000000-0005-0000-0000-000045030000}"/>
    <cellStyle name="AggGreen12 3 2 2 4" xfId="4915" xr:uid="{00000000-0005-0000-0000-000046030000}"/>
    <cellStyle name="AggGreen12 3 2 2 5" xfId="5289" xr:uid="{00000000-0005-0000-0000-000047030000}"/>
    <cellStyle name="AggGreen12 3 2 2 6" xfId="5866" xr:uid="{00000000-0005-0000-0000-000048030000}"/>
    <cellStyle name="AggGreen12 3 2 3" xfId="1547" xr:uid="{00000000-0005-0000-0000-000049030000}"/>
    <cellStyle name="AggGreen12 3 2 4" xfId="976" xr:uid="{00000000-0005-0000-0000-00004A030000}"/>
    <cellStyle name="AggGreen12 3 2 5" xfId="1806" xr:uid="{00000000-0005-0000-0000-00004B030000}"/>
    <cellStyle name="AggGreen12 3 2 6" xfId="2377" xr:uid="{00000000-0005-0000-0000-00004C030000}"/>
    <cellStyle name="AggGreen12 3 2 7" xfId="2557" xr:uid="{00000000-0005-0000-0000-00004D030000}"/>
    <cellStyle name="AggGreen12 3 2 8" xfId="2931" xr:uid="{00000000-0005-0000-0000-00004E030000}"/>
    <cellStyle name="AggGreen12 3 2 9" xfId="3099" xr:uid="{00000000-0005-0000-0000-00004F030000}"/>
    <cellStyle name="AggGreen12 3 3" xfId="1153" xr:uid="{00000000-0005-0000-0000-000050030000}"/>
    <cellStyle name="AggGreen12 3 3 2" xfId="4085" xr:uid="{00000000-0005-0000-0000-000051030000}"/>
    <cellStyle name="AggGreen12 3 3 3" xfId="4356" xr:uid="{00000000-0005-0000-0000-000052030000}"/>
    <cellStyle name="AggGreen12 3 3 4" xfId="4883" xr:uid="{00000000-0005-0000-0000-000053030000}"/>
    <cellStyle name="AggGreen12 3 3 5" xfId="5257" xr:uid="{00000000-0005-0000-0000-000054030000}"/>
    <cellStyle name="AggGreen12 3 3 6" xfId="5834" xr:uid="{00000000-0005-0000-0000-000055030000}"/>
    <cellStyle name="AggGreen12 4" xfId="366" xr:uid="{00000000-0005-0000-0000-000056030000}"/>
    <cellStyle name="AggGreen12 4 10" xfId="1006" xr:uid="{00000000-0005-0000-0000-000057030000}"/>
    <cellStyle name="AggGreen12 4 11" xfId="2858" xr:uid="{00000000-0005-0000-0000-000058030000}"/>
    <cellStyle name="AggGreen12 4 12" xfId="2832" xr:uid="{00000000-0005-0000-0000-000059030000}"/>
    <cellStyle name="AggGreen12 4 13" xfId="3271" xr:uid="{00000000-0005-0000-0000-00005A030000}"/>
    <cellStyle name="AggGreen12 4 14" xfId="3724" xr:uid="{00000000-0005-0000-0000-00005B030000}"/>
    <cellStyle name="AggGreen12 4 15" xfId="3668" xr:uid="{00000000-0005-0000-0000-00005C030000}"/>
    <cellStyle name="AggGreen12 4 16" xfId="4612" xr:uid="{00000000-0005-0000-0000-00005D030000}"/>
    <cellStyle name="AggGreen12 4 17" xfId="4665" xr:uid="{00000000-0005-0000-0000-00005E030000}"/>
    <cellStyle name="AggGreen12 4 18" xfId="5476" xr:uid="{00000000-0005-0000-0000-00005F030000}"/>
    <cellStyle name="AggGreen12 4 2" xfId="705" xr:uid="{00000000-0005-0000-0000-000060030000}"/>
    <cellStyle name="AggGreen12 4 2 10" xfId="3406" xr:uid="{00000000-0005-0000-0000-000061030000}"/>
    <cellStyle name="AggGreen12 4 2 11" xfId="3976" xr:uid="{00000000-0005-0000-0000-000062030000}"/>
    <cellStyle name="AggGreen12 4 2 12" xfId="4440" xr:uid="{00000000-0005-0000-0000-000063030000}"/>
    <cellStyle name="AggGreen12 4 2 13" xfId="4776" xr:uid="{00000000-0005-0000-0000-000064030000}"/>
    <cellStyle name="AggGreen12 4 2 14" xfId="5156" xr:uid="{00000000-0005-0000-0000-000065030000}"/>
    <cellStyle name="AggGreen12 4 2 15" xfId="5733" xr:uid="{00000000-0005-0000-0000-000066030000}"/>
    <cellStyle name="AggGreen12 4 2 2" xfId="1386" xr:uid="{00000000-0005-0000-0000-000067030000}"/>
    <cellStyle name="AggGreen12 4 2 2 2" xfId="4190" xr:uid="{00000000-0005-0000-0000-000068030000}"/>
    <cellStyle name="AggGreen12 4 2 2 3" xfId="3830" xr:uid="{00000000-0005-0000-0000-000069030000}"/>
    <cellStyle name="AggGreen12 4 2 2 4" xfId="4988" xr:uid="{00000000-0005-0000-0000-00006A030000}"/>
    <cellStyle name="AggGreen12 4 2 2 5" xfId="5362" xr:uid="{00000000-0005-0000-0000-00006B030000}"/>
    <cellStyle name="AggGreen12 4 2 2 6" xfId="5939" xr:uid="{00000000-0005-0000-0000-00006C030000}"/>
    <cellStyle name="AggGreen12 4 2 3" xfId="1620" xr:uid="{00000000-0005-0000-0000-00006D030000}"/>
    <cellStyle name="AggGreen12 4 2 4" xfId="1892" xr:uid="{00000000-0005-0000-0000-00006E030000}"/>
    <cellStyle name="AggGreen12 4 2 5" xfId="2271" xr:uid="{00000000-0005-0000-0000-00006F030000}"/>
    <cellStyle name="AggGreen12 4 2 6" xfId="2450" xr:uid="{00000000-0005-0000-0000-000070030000}"/>
    <cellStyle name="AggGreen12 4 2 7" xfId="2630" xr:uid="{00000000-0005-0000-0000-000071030000}"/>
    <cellStyle name="AggGreen12 4 2 8" xfId="3004" xr:uid="{00000000-0005-0000-0000-000072030000}"/>
    <cellStyle name="AggGreen12 4 2 9" xfId="3172" xr:uid="{00000000-0005-0000-0000-000073030000}"/>
    <cellStyle name="AggGreen12 4 3" xfId="757" xr:uid="{00000000-0005-0000-0000-000074030000}"/>
    <cellStyle name="AggGreen12 4 3 10" xfId="3458" xr:uid="{00000000-0005-0000-0000-000075030000}"/>
    <cellStyle name="AggGreen12 4 3 11" xfId="4028" xr:uid="{00000000-0005-0000-0000-000076030000}"/>
    <cellStyle name="AggGreen12 4 3 12" xfId="3614" xr:uid="{00000000-0005-0000-0000-000077030000}"/>
    <cellStyle name="AggGreen12 4 3 13" xfId="4828" xr:uid="{00000000-0005-0000-0000-000078030000}"/>
    <cellStyle name="AggGreen12 4 3 14" xfId="5208" xr:uid="{00000000-0005-0000-0000-000079030000}"/>
    <cellStyle name="AggGreen12 4 3 15" xfId="5785" xr:uid="{00000000-0005-0000-0000-00007A030000}"/>
    <cellStyle name="AggGreen12 4 3 2" xfId="1438" xr:uid="{00000000-0005-0000-0000-00007B030000}"/>
    <cellStyle name="AggGreen12 4 3 2 2" xfId="4242" xr:uid="{00000000-0005-0000-0000-00007C030000}"/>
    <cellStyle name="AggGreen12 4 3 2 3" xfId="4423" xr:uid="{00000000-0005-0000-0000-00007D030000}"/>
    <cellStyle name="AggGreen12 4 3 2 4" xfId="5040" xr:uid="{00000000-0005-0000-0000-00007E030000}"/>
    <cellStyle name="AggGreen12 4 3 2 5" xfId="5414" xr:uid="{00000000-0005-0000-0000-00007F030000}"/>
    <cellStyle name="AggGreen12 4 3 2 6" xfId="5991" xr:uid="{00000000-0005-0000-0000-000080030000}"/>
    <cellStyle name="AggGreen12 4 3 3" xfId="1672" xr:uid="{00000000-0005-0000-0000-000081030000}"/>
    <cellStyle name="AggGreen12 4 3 4" xfId="1944" xr:uid="{00000000-0005-0000-0000-000082030000}"/>
    <cellStyle name="AggGreen12 4 3 5" xfId="2323" xr:uid="{00000000-0005-0000-0000-000083030000}"/>
    <cellStyle name="AggGreen12 4 3 6" xfId="2502" xr:uid="{00000000-0005-0000-0000-000084030000}"/>
    <cellStyle name="AggGreen12 4 3 7" xfId="2682" xr:uid="{00000000-0005-0000-0000-000085030000}"/>
    <cellStyle name="AggGreen12 4 3 8" xfId="3056" xr:uid="{00000000-0005-0000-0000-000086030000}"/>
    <cellStyle name="AggGreen12 4 3 9" xfId="3224" xr:uid="{00000000-0005-0000-0000-000087030000}"/>
    <cellStyle name="AggGreen12 4 4" xfId="768" xr:uid="{00000000-0005-0000-0000-000088030000}"/>
    <cellStyle name="AggGreen12 4 4 10" xfId="3469" xr:uid="{00000000-0005-0000-0000-000089030000}"/>
    <cellStyle name="AggGreen12 4 4 11" xfId="4039" xr:uid="{00000000-0005-0000-0000-00008A030000}"/>
    <cellStyle name="AggGreen12 4 4 12" xfId="3791" xr:uid="{00000000-0005-0000-0000-00008B030000}"/>
    <cellStyle name="AggGreen12 4 4 13" xfId="4839" xr:uid="{00000000-0005-0000-0000-00008C030000}"/>
    <cellStyle name="AggGreen12 4 4 14" xfId="5219" xr:uid="{00000000-0005-0000-0000-00008D030000}"/>
    <cellStyle name="AggGreen12 4 4 15" xfId="5796" xr:uid="{00000000-0005-0000-0000-00008E030000}"/>
    <cellStyle name="AggGreen12 4 4 2" xfId="1449" xr:uid="{00000000-0005-0000-0000-00008F030000}"/>
    <cellStyle name="AggGreen12 4 4 2 2" xfId="4253" xr:uid="{00000000-0005-0000-0000-000090030000}"/>
    <cellStyle name="AggGreen12 4 4 2 3" xfId="4512" xr:uid="{00000000-0005-0000-0000-000091030000}"/>
    <cellStyle name="AggGreen12 4 4 2 4" xfId="5051" xr:uid="{00000000-0005-0000-0000-000092030000}"/>
    <cellStyle name="AggGreen12 4 4 2 5" xfId="5425" xr:uid="{00000000-0005-0000-0000-000093030000}"/>
    <cellStyle name="AggGreen12 4 4 2 6" xfId="6002" xr:uid="{00000000-0005-0000-0000-000094030000}"/>
    <cellStyle name="AggGreen12 4 4 3" xfId="1683" xr:uid="{00000000-0005-0000-0000-000095030000}"/>
    <cellStyle name="AggGreen12 4 4 4" xfId="1955" xr:uid="{00000000-0005-0000-0000-000096030000}"/>
    <cellStyle name="AggGreen12 4 4 5" xfId="2334" xr:uid="{00000000-0005-0000-0000-000097030000}"/>
    <cellStyle name="AggGreen12 4 4 6" xfId="2513" xr:uid="{00000000-0005-0000-0000-000098030000}"/>
    <cellStyle name="AggGreen12 4 4 7" xfId="2693" xr:uid="{00000000-0005-0000-0000-000099030000}"/>
    <cellStyle name="AggGreen12 4 4 8" xfId="3067" xr:uid="{00000000-0005-0000-0000-00009A030000}"/>
    <cellStyle name="AggGreen12 4 4 9" xfId="3235" xr:uid="{00000000-0005-0000-0000-00009B030000}"/>
    <cellStyle name="AggGreen12 4 5" xfId="935" xr:uid="{00000000-0005-0000-0000-00009C030000}"/>
    <cellStyle name="AggGreen12 4 6" xfId="1324" xr:uid="{00000000-0005-0000-0000-00009D030000}"/>
    <cellStyle name="AggGreen12 4 7" xfId="883" xr:uid="{00000000-0005-0000-0000-00009E030000}"/>
    <cellStyle name="AggGreen12 4 8" xfId="2191" xr:uid="{00000000-0005-0000-0000-00009F030000}"/>
    <cellStyle name="AggGreen12 4 9" xfId="1043" xr:uid="{00000000-0005-0000-0000-0000A0030000}"/>
    <cellStyle name="AggGreen12 5" xfId="999" xr:uid="{00000000-0005-0000-0000-0000A1030000}"/>
    <cellStyle name="AggGreen12 5 2" xfId="3607" xr:uid="{00000000-0005-0000-0000-0000A2030000}"/>
    <cellStyle name="AggGreen12 5 3" xfId="4579" xr:uid="{00000000-0005-0000-0000-0000A3030000}"/>
    <cellStyle name="AggOrange" xfId="41" xr:uid="{00000000-0005-0000-0000-0000A4030000}"/>
    <cellStyle name="AggOrange 2" xfId="42" xr:uid="{00000000-0005-0000-0000-0000A5030000}"/>
    <cellStyle name="AggOrange 2 2" xfId="511" xr:uid="{00000000-0005-0000-0000-0000A6030000}"/>
    <cellStyle name="AggOrange 2 2 2" xfId="631" xr:uid="{00000000-0005-0000-0000-0000A7030000}"/>
    <cellStyle name="AggOrange 2 2 2 10" xfId="3332" xr:uid="{00000000-0005-0000-0000-0000A8030000}"/>
    <cellStyle name="AggOrange 2 2 2 11" xfId="3902" xr:uid="{00000000-0005-0000-0000-0000A9030000}"/>
    <cellStyle name="AggOrange 2 2 2 12" xfId="3821" xr:uid="{00000000-0005-0000-0000-0000AA030000}"/>
    <cellStyle name="AggOrange 2 2 2 13" xfId="4702" xr:uid="{00000000-0005-0000-0000-0000AB030000}"/>
    <cellStyle name="AggOrange 2 2 2 14" xfId="5082" xr:uid="{00000000-0005-0000-0000-0000AC030000}"/>
    <cellStyle name="AggOrange 2 2 2 15" xfId="5659" xr:uid="{00000000-0005-0000-0000-0000AD030000}"/>
    <cellStyle name="AggOrange 2 2 2 2" xfId="1271" xr:uid="{00000000-0005-0000-0000-0000AE030000}"/>
    <cellStyle name="AggOrange 2 2 2 2 2" xfId="4116" xr:uid="{00000000-0005-0000-0000-0000AF030000}"/>
    <cellStyle name="AggOrange 2 2 2 2 3" xfId="3815" xr:uid="{00000000-0005-0000-0000-0000B0030000}"/>
    <cellStyle name="AggOrange 2 2 2 2 4" xfId="4914" xr:uid="{00000000-0005-0000-0000-0000B1030000}"/>
    <cellStyle name="AggOrange 2 2 2 2 5" xfId="5288" xr:uid="{00000000-0005-0000-0000-0000B2030000}"/>
    <cellStyle name="AggOrange 2 2 2 2 6" xfId="5865" xr:uid="{00000000-0005-0000-0000-0000B3030000}"/>
    <cellStyle name="AggOrange 2 2 2 3" xfId="1546" xr:uid="{00000000-0005-0000-0000-0000B4030000}"/>
    <cellStyle name="AggOrange 2 2 2 4" xfId="1471" xr:uid="{00000000-0005-0000-0000-0000B5030000}"/>
    <cellStyle name="AggOrange 2 2 2 5" xfId="1128" xr:uid="{00000000-0005-0000-0000-0000B6030000}"/>
    <cellStyle name="AggOrange 2 2 2 6" xfId="2376" xr:uid="{00000000-0005-0000-0000-0000B7030000}"/>
    <cellStyle name="AggOrange 2 2 2 7" xfId="2556" xr:uid="{00000000-0005-0000-0000-0000B8030000}"/>
    <cellStyle name="AggOrange 2 2 2 8" xfId="2930" xr:uid="{00000000-0005-0000-0000-0000B9030000}"/>
    <cellStyle name="AggOrange 2 2 2 9" xfId="3098" xr:uid="{00000000-0005-0000-0000-0000BA030000}"/>
    <cellStyle name="AggOrange 2 2 3" xfId="1037" xr:uid="{00000000-0005-0000-0000-0000BB030000}"/>
    <cellStyle name="AggOrange 2 2 3 2" xfId="4088" xr:uid="{00000000-0005-0000-0000-0000BC030000}"/>
    <cellStyle name="AggOrange 2 2 3 3" xfId="4290" xr:uid="{00000000-0005-0000-0000-0000BD030000}"/>
    <cellStyle name="AggOrange 2 2 3 4" xfId="4886" xr:uid="{00000000-0005-0000-0000-0000BE030000}"/>
    <cellStyle name="AggOrange 2 2 3 5" xfId="5260" xr:uid="{00000000-0005-0000-0000-0000BF030000}"/>
    <cellStyle name="AggOrange 2 2 3 6" xfId="5837" xr:uid="{00000000-0005-0000-0000-0000C0030000}"/>
    <cellStyle name="AggOrange 2 3" xfId="369" xr:uid="{00000000-0005-0000-0000-0000C1030000}"/>
    <cellStyle name="AggOrange 2 3 10" xfId="2152" xr:uid="{00000000-0005-0000-0000-0000C2030000}"/>
    <cellStyle name="AggOrange 2 3 11" xfId="2861" xr:uid="{00000000-0005-0000-0000-0000C3030000}"/>
    <cellStyle name="AggOrange 2 3 12" xfId="2831" xr:uid="{00000000-0005-0000-0000-0000C4030000}"/>
    <cellStyle name="AggOrange 2 3 13" xfId="3274" xr:uid="{00000000-0005-0000-0000-0000C5030000}"/>
    <cellStyle name="AggOrange 2 3 14" xfId="3727" xr:uid="{00000000-0005-0000-0000-0000C6030000}"/>
    <cellStyle name="AggOrange 2 3 15" xfId="3883" xr:uid="{00000000-0005-0000-0000-0000C7030000}"/>
    <cellStyle name="AggOrange 2 3 16" xfId="4615" xr:uid="{00000000-0005-0000-0000-0000C8030000}"/>
    <cellStyle name="AggOrange 2 3 17" xfId="4588" xr:uid="{00000000-0005-0000-0000-0000C9030000}"/>
    <cellStyle name="AggOrange 2 3 18" xfId="5479" xr:uid="{00000000-0005-0000-0000-0000CA030000}"/>
    <cellStyle name="AggOrange 2 3 2" xfId="708" xr:uid="{00000000-0005-0000-0000-0000CB030000}"/>
    <cellStyle name="AggOrange 2 3 2 10" xfId="3409" xr:uid="{00000000-0005-0000-0000-0000CC030000}"/>
    <cellStyle name="AggOrange 2 3 2 11" xfId="3979" xr:uid="{00000000-0005-0000-0000-0000CD030000}"/>
    <cellStyle name="AggOrange 2 3 2 12" xfId="3741" xr:uid="{00000000-0005-0000-0000-0000CE030000}"/>
    <cellStyle name="AggOrange 2 3 2 13" xfId="4779" xr:uid="{00000000-0005-0000-0000-0000CF030000}"/>
    <cellStyle name="AggOrange 2 3 2 14" xfId="5159" xr:uid="{00000000-0005-0000-0000-0000D0030000}"/>
    <cellStyle name="AggOrange 2 3 2 15" xfId="5736" xr:uid="{00000000-0005-0000-0000-0000D1030000}"/>
    <cellStyle name="AggOrange 2 3 2 2" xfId="1389" xr:uid="{00000000-0005-0000-0000-0000D2030000}"/>
    <cellStyle name="AggOrange 2 3 2 2 2" xfId="4193" xr:uid="{00000000-0005-0000-0000-0000D3030000}"/>
    <cellStyle name="AggOrange 2 3 2 2 3" xfId="3604" xr:uid="{00000000-0005-0000-0000-0000D4030000}"/>
    <cellStyle name="AggOrange 2 3 2 2 4" xfId="4991" xr:uid="{00000000-0005-0000-0000-0000D5030000}"/>
    <cellStyle name="AggOrange 2 3 2 2 5" xfId="5365" xr:uid="{00000000-0005-0000-0000-0000D6030000}"/>
    <cellStyle name="AggOrange 2 3 2 2 6" xfId="5942" xr:uid="{00000000-0005-0000-0000-0000D7030000}"/>
    <cellStyle name="AggOrange 2 3 2 3" xfId="1623" xr:uid="{00000000-0005-0000-0000-0000D8030000}"/>
    <cellStyle name="AggOrange 2 3 2 4" xfId="1895" xr:uid="{00000000-0005-0000-0000-0000D9030000}"/>
    <cellStyle name="AggOrange 2 3 2 5" xfId="2274" xr:uid="{00000000-0005-0000-0000-0000DA030000}"/>
    <cellStyle name="AggOrange 2 3 2 6" xfId="2453" xr:uid="{00000000-0005-0000-0000-0000DB030000}"/>
    <cellStyle name="AggOrange 2 3 2 7" xfId="2633" xr:uid="{00000000-0005-0000-0000-0000DC030000}"/>
    <cellStyle name="AggOrange 2 3 2 8" xfId="3007" xr:uid="{00000000-0005-0000-0000-0000DD030000}"/>
    <cellStyle name="AggOrange 2 3 2 9" xfId="3175" xr:uid="{00000000-0005-0000-0000-0000DE030000}"/>
    <cellStyle name="AggOrange 2 3 3" xfId="615" xr:uid="{00000000-0005-0000-0000-0000DF030000}"/>
    <cellStyle name="AggOrange 2 3 3 10" xfId="3316" xr:uid="{00000000-0005-0000-0000-0000E0030000}"/>
    <cellStyle name="AggOrange 2 3 3 11" xfId="3886" xr:uid="{00000000-0005-0000-0000-0000E1030000}"/>
    <cellStyle name="AggOrange 2 3 3 12" xfId="3824" xr:uid="{00000000-0005-0000-0000-0000E2030000}"/>
    <cellStyle name="AggOrange 2 3 3 13" xfId="4686" xr:uid="{00000000-0005-0000-0000-0000E3030000}"/>
    <cellStyle name="AggOrange 2 3 3 14" xfId="5066" xr:uid="{00000000-0005-0000-0000-0000E4030000}"/>
    <cellStyle name="AggOrange 2 3 3 15" xfId="5643" xr:uid="{00000000-0005-0000-0000-0000E5030000}"/>
    <cellStyle name="AggOrange 2 3 3 2" xfId="1240" xr:uid="{00000000-0005-0000-0000-0000E6030000}"/>
    <cellStyle name="AggOrange 2 3 3 2 2" xfId="4100" xr:uid="{00000000-0005-0000-0000-0000E7030000}"/>
    <cellStyle name="AggOrange 2 3 3 2 3" xfId="4425" xr:uid="{00000000-0005-0000-0000-0000E8030000}"/>
    <cellStyle name="AggOrange 2 3 3 2 4" xfId="4898" xr:uid="{00000000-0005-0000-0000-0000E9030000}"/>
    <cellStyle name="AggOrange 2 3 3 2 5" xfId="5272" xr:uid="{00000000-0005-0000-0000-0000EA030000}"/>
    <cellStyle name="AggOrange 2 3 3 2 6" xfId="5849" xr:uid="{00000000-0005-0000-0000-0000EB030000}"/>
    <cellStyle name="AggOrange 2 3 3 3" xfId="1530" xr:uid="{00000000-0005-0000-0000-0000EC030000}"/>
    <cellStyle name="AggOrange 2 3 3 4" xfId="809" xr:uid="{00000000-0005-0000-0000-0000ED030000}"/>
    <cellStyle name="AggOrange 2 3 3 5" xfId="1726" xr:uid="{00000000-0005-0000-0000-0000EE030000}"/>
    <cellStyle name="AggOrange 2 3 3 6" xfId="2360" xr:uid="{00000000-0005-0000-0000-0000EF030000}"/>
    <cellStyle name="AggOrange 2 3 3 7" xfId="2540" xr:uid="{00000000-0005-0000-0000-0000F0030000}"/>
    <cellStyle name="AggOrange 2 3 3 8" xfId="2914" xr:uid="{00000000-0005-0000-0000-0000F1030000}"/>
    <cellStyle name="AggOrange 2 3 3 9" xfId="3082" xr:uid="{00000000-0005-0000-0000-0000F2030000}"/>
    <cellStyle name="AggOrange 2 3 4" xfId="630" xr:uid="{00000000-0005-0000-0000-0000F3030000}"/>
    <cellStyle name="AggOrange 2 3 4 10" xfId="3331" xr:uid="{00000000-0005-0000-0000-0000F4030000}"/>
    <cellStyle name="AggOrange 2 3 4 11" xfId="3901" xr:uid="{00000000-0005-0000-0000-0000F5030000}"/>
    <cellStyle name="AggOrange 2 3 4 12" xfId="4501" xr:uid="{00000000-0005-0000-0000-0000F6030000}"/>
    <cellStyle name="AggOrange 2 3 4 13" xfId="4701" xr:uid="{00000000-0005-0000-0000-0000F7030000}"/>
    <cellStyle name="AggOrange 2 3 4 14" xfId="5081" xr:uid="{00000000-0005-0000-0000-0000F8030000}"/>
    <cellStyle name="AggOrange 2 3 4 15" xfId="5658" xr:uid="{00000000-0005-0000-0000-0000F9030000}"/>
    <cellStyle name="AggOrange 2 3 4 2" xfId="1095" xr:uid="{00000000-0005-0000-0000-0000FA030000}"/>
    <cellStyle name="AggOrange 2 3 4 2 2" xfId="4115" xr:uid="{00000000-0005-0000-0000-0000FB030000}"/>
    <cellStyle name="AggOrange 2 3 4 2 3" xfId="4317" xr:uid="{00000000-0005-0000-0000-0000FC030000}"/>
    <cellStyle name="AggOrange 2 3 4 2 4" xfId="4913" xr:uid="{00000000-0005-0000-0000-0000FD030000}"/>
    <cellStyle name="AggOrange 2 3 4 2 5" xfId="5287" xr:uid="{00000000-0005-0000-0000-0000FE030000}"/>
    <cellStyle name="AggOrange 2 3 4 2 6" xfId="5864" xr:uid="{00000000-0005-0000-0000-0000FF030000}"/>
    <cellStyle name="AggOrange 2 3 4 3" xfId="1545" xr:uid="{00000000-0005-0000-0000-000000040000}"/>
    <cellStyle name="AggOrange 2 3 4 4" xfId="1518" xr:uid="{00000000-0005-0000-0000-000001040000}"/>
    <cellStyle name="AggOrange 2 3 4 5" xfId="1487" xr:uid="{00000000-0005-0000-0000-000002040000}"/>
    <cellStyle name="AggOrange 2 3 4 6" xfId="2375" xr:uid="{00000000-0005-0000-0000-000003040000}"/>
    <cellStyle name="AggOrange 2 3 4 7" xfId="2555" xr:uid="{00000000-0005-0000-0000-000004040000}"/>
    <cellStyle name="AggOrange 2 3 4 8" xfId="2929" xr:uid="{00000000-0005-0000-0000-000005040000}"/>
    <cellStyle name="AggOrange 2 3 4 9" xfId="3097" xr:uid="{00000000-0005-0000-0000-000006040000}"/>
    <cellStyle name="AggOrange 2 3 5" xfId="1012" xr:uid="{00000000-0005-0000-0000-000007040000}"/>
    <cellStyle name="AggOrange 2 3 6" xfId="1287" xr:uid="{00000000-0005-0000-0000-000008040000}"/>
    <cellStyle name="AggOrange 2 3 7" xfId="793" xr:uid="{00000000-0005-0000-0000-000009040000}"/>
    <cellStyle name="AggOrange 2 3 8" xfId="1464" xr:uid="{00000000-0005-0000-0000-00000A040000}"/>
    <cellStyle name="AggOrange 2 3 9" xfId="2165" xr:uid="{00000000-0005-0000-0000-00000B040000}"/>
    <cellStyle name="AggOrange 2 4" xfId="919" xr:uid="{00000000-0005-0000-0000-00000C040000}"/>
    <cellStyle name="AggOrange 3" xfId="510" xr:uid="{00000000-0005-0000-0000-00000D040000}"/>
    <cellStyle name="AggOrange 3 2" xfId="750" xr:uid="{00000000-0005-0000-0000-00000E040000}"/>
    <cellStyle name="AggOrange 3 2 10" xfId="3451" xr:uid="{00000000-0005-0000-0000-00000F040000}"/>
    <cellStyle name="AggOrange 3 2 11" xfId="4021" xr:uid="{00000000-0005-0000-0000-000010040000}"/>
    <cellStyle name="AggOrange 3 2 12" xfId="4331" xr:uid="{00000000-0005-0000-0000-000011040000}"/>
    <cellStyle name="AggOrange 3 2 13" xfId="4821" xr:uid="{00000000-0005-0000-0000-000012040000}"/>
    <cellStyle name="AggOrange 3 2 14" xfId="5201" xr:uid="{00000000-0005-0000-0000-000013040000}"/>
    <cellStyle name="AggOrange 3 2 15" xfId="5778" xr:uid="{00000000-0005-0000-0000-000014040000}"/>
    <cellStyle name="AggOrange 3 2 2" xfId="1431" xr:uid="{00000000-0005-0000-0000-000015040000}"/>
    <cellStyle name="AggOrange 3 2 2 2" xfId="4235" xr:uid="{00000000-0005-0000-0000-000016040000}"/>
    <cellStyle name="AggOrange 3 2 2 3" xfId="4295" xr:uid="{00000000-0005-0000-0000-000017040000}"/>
    <cellStyle name="AggOrange 3 2 2 4" xfId="5033" xr:uid="{00000000-0005-0000-0000-000018040000}"/>
    <cellStyle name="AggOrange 3 2 2 5" xfId="5407" xr:uid="{00000000-0005-0000-0000-000019040000}"/>
    <cellStyle name="AggOrange 3 2 2 6" xfId="5984" xr:uid="{00000000-0005-0000-0000-00001A040000}"/>
    <cellStyle name="AggOrange 3 2 3" xfId="1665" xr:uid="{00000000-0005-0000-0000-00001B040000}"/>
    <cellStyle name="AggOrange 3 2 4" xfId="1937" xr:uid="{00000000-0005-0000-0000-00001C040000}"/>
    <cellStyle name="AggOrange 3 2 5" xfId="2316" xr:uid="{00000000-0005-0000-0000-00001D040000}"/>
    <cellStyle name="AggOrange 3 2 6" xfId="2495" xr:uid="{00000000-0005-0000-0000-00001E040000}"/>
    <cellStyle name="AggOrange 3 2 7" xfId="2675" xr:uid="{00000000-0005-0000-0000-00001F040000}"/>
    <cellStyle name="AggOrange 3 2 8" xfId="3049" xr:uid="{00000000-0005-0000-0000-000020040000}"/>
    <cellStyle name="AggOrange 3 2 9" xfId="3217" xr:uid="{00000000-0005-0000-0000-000021040000}"/>
    <cellStyle name="AggOrange 3 3" xfId="1311" xr:uid="{00000000-0005-0000-0000-000022040000}"/>
    <cellStyle name="AggOrange 3 3 2" xfId="4087" xr:uid="{00000000-0005-0000-0000-000023040000}"/>
    <cellStyle name="AggOrange 3 3 3" xfId="3854" xr:uid="{00000000-0005-0000-0000-000024040000}"/>
    <cellStyle name="AggOrange 3 3 4" xfId="4885" xr:uid="{00000000-0005-0000-0000-000025040000}"/>
    <cellStyle name="AggOrange 3 3 5" xfId="5259" xr:uid="{00000000-0005-0000-0000-000026040000}"/>
    <cellStyle name="AggOrange 3 3 6" xfId="5836" xr:uid="{00000000-0005-0000-0000-000027040000}"/>
    <cellStyle name="AggOrange 4" xfId="368" xr:uid="{00000000-0005-0000-0000-000028040000}"/>
    <cellStyle name="AggOrange 4 10" xfId="2193" xr:uid="{00000000-0005-0000-0000-000029040000}"/>
    <cellStyle name="AggOrange 4 11" xfId="2860" xr:uid="{00000000-0005-0000-0000-00002A040000}"/>
    <cellStyle name="AggOrange 4 12" xfId="2904" xr:uid="{00000000-0005-0000-0000-00002B040000}"/>
    <cellStyle name="AggOrange 4 13" xfId="3273" xr:uid="{00000000-0005-0000-0000-00002C040000}"/>
    <cellStyle name="AggOrange 4 14" xfId="3726" xr:uid="{00000000-0005-0000-0000-00002D040000}"/>
    <cellStyle name="AggOrange 4 15" xfId="3636" xr:uid="{00000000-0005-0000-0000-00002E040000}"/>
    <cellStyle name="AggOrange 4 16" xfId="4614" xr:uid="{00000000-0005-0000-0000-00002F040000}"/>
    <cellStyle name="AggOrange 4 17" xfId="4666" xr:uid="{00000000-0005-0000-0000-000030040000}"/>
    <cellStyle name="AggOrange 4 18" xfId="5478" xr:uid="{00000000-0005-0000-0000-000031040000}"/>
    <cellStyle name="AggOrange 4 2" xfId="707" xr:uid="{00000000-0005-0000-0000-000032040000}"/>
    <cellStyle name="AggOrange 4 2 10" xfId="3408" xr:uid="{00000000-0005-0000-0000-000033040000}"/>
    <cellStyle name="AggOrange 4 2 11" xfId="3978" xr:uid="{00000000-0005-0000-0000-000034040000}"/>
    <cellStyle name="AggOrange 4 2 12" xfId="3799" xr:uid="{00000000-0005-0000-0000-000035040000}"/>
    <cellStyle name="AggOrange 4 2 13" xfId="4778" xr:uid="{00000000-0005-0000-0000-000036040000}"/>
    <cellStyle name="AggOrange 4 2 14" xfId="5158" xr:uid="{00000000-0005-0000-0000-000037040000}"/>
    <cellStyle name="AggOrange 4 2 15" xfId="5735" xr:uid="{00000000-0005-0000-0000-000038040000}"/>
    <cellStyle name="AggOrange 4 2 2" xfId="1388" xr:uid="{00000000-0005-0000-0000-000039040000}"/>
    <cellStyle name="AggOrange 4 2 2 2" xfId="4192" xr:uid="{00000000-0005-0000-0000-00003A040000}"/>
    <cellStyle name="AggOrange 4 2 2 3" xfId="4277" xr:uid="{00000000-0005-0000-0000-00003B040000}"/>
    <cellStyle name="AggOrange 4 2 2 4" xfId="4990" xr:uid="{00000000-0005-0000-0000-00003C040000}"/>
    <cellStyle name="AggOrange 4 2 2 5" xfId="5364" xr:uid="{00000000-0005-0000-0000-00003D040000}"/>
    <cellStyle name="AggOrange 4 2 2 6" xfId="5941" xr:uid="{00000000-0005-0000-0000-00003E040000}"/>
    <cellStyle name="AggOrange 4 2 3" xfId="1622" xr:uid="{00000000-0005-0000-0000-00003F040000}"/>
    <cellStyle name="AggOrange 4 2 4" xfId="1894" xr:uid="{00000000-0005-0000-0000-000040040000}"/>
    <cellStyle name="AggOrange 4 2 5" xfId="2273" xr:uid="{00000000-0005-0000-0000-000041040000}"/>
    <cellStyle name="AggOrange 4 2 6" xfId="2452" xr:uid="{00000000-0005-0000-0000-000042040000}"/>
    <cellStyle name="AggOrange 4 2 7" xfId="2632" xr:uid="{00000000-0005-0000-0000-000043040000}"/>
    <cellStyle name="AggOrange 4 2 8" xfId="3006" xr:uid="{00000000-0005-0000-0000-000044040000}"/>
    <cellStyle name="AggOrange 4 2 9" xfId="3174" xr:uid="{00000000-0005-0000-0000-000045040000}"/>
    <cellStyle name="AggOrange 4 3" xfId="696" xr:uid="{00000000-0005-0000-0000-000046040000}"/>
    <cellStyle name="AggOrange 4 3 10" xfId="3397" xr:uid="{00000000-0005-0000-0000-000047040000}"/>
    <cellStyle name="AggOrange 4 3 11" xfId="3967" xr:uid="{00000000-0005-0000-0000-000048040000}"/>
    <cellStyle name="AggOrange 4 3 12" xfId="3834" xr:uid="{00000000-0005-0000-0000-000049040000}"/>
    <cellStyle name="AggOrange 4 3 13" xfId="4767" xr:uid="{00000000-0005-0000-0000-00004A040000}"/>
    <cellStyle name="AggOrange 4 3 14" xfId="5147" xr:uid="{00000000-0005-0000-0000-00004B040000}"/>
    <cellStyle name="AggOrange 4 3 15" xfId="5724" xr:uid="{00000000-0005-0000-0000-00004C040000}"/>
    <cellStyle name="AggOrange 4 3 2" xfId="1377" xr:uid="{00000000-0005-0000-0000-00004D040000}"/>
    <cellStyle name="AggOrange 4 3 2 2" xfId="4181" xr:uid="{00000000-0005-0000-0000-00004E040000}"/>
    <cellStyle name="AggOrange 4 3 2 3" xfId="3567" xr:uid="{00000000-0005-0000-0000-00004F040000}"/>
    <cellStyle name="AggOrange 4 3 2 4" xfId="4979" xr:uid="{00000000-0005-0000-0000-000050040000}"/>
    <cellStyle name="AggOrange 4 3 2 5" xfId="5353" xr:uid="{00000000-0005-0000-0000-000051040000}"/>
    <cellStyle name="AggOrange 4 3 2 6" xfId="5930" xr:uid="{00000000-0005-0000-0000-000052040000}"/>
    <cellStyle name="AggOrange 4 3 3" xfId="1611" xr:uid="{00000000-0005-0000-0000-000053040000}"/>
    <cellStyle name="AggOrange 4 3 4" xfId="1883" xr:uid="{00000000-0005-0000-0000-000054040000}"/>
    <cellStyle name="AggOrange 4 3 5" xfId="2093" xr:uid="{00000000-0005-0000-0000-000055040000}"/>
    <cellStyle name="AggOrange 4 3 6" xfId="2441" xr:uid="{00000000-0005-0000-0000-000056040000}"/>
    <cellStyle name="AggOrange 4 3 7" xfId="2621" xr:uid="{00000000-0005-0000-0000-000057040000}"/>
    <cellStyle name="AggOrange 4 3 8" xfId="2995" xr:uid="{00000000-0005-0000-0000-000058040000}"/>
    <cellStyle name="AggOrange 4 3 9" xfId="3163" xr:uid="{00000000-0005-0000-0000-000059040000}"/>
    <cellStyle name="AggOrange 4 4" xfId="670" xr:uid="{00000000-0005-0000-0000-00005A040000}"/>
    <cellStyle name="AggOrange 4 4 10" xfId="3371" xr:uid="{00000000-0005-0000-0000-00005B040000}"/>
    <cellStyle name="AggOrange 4 4 11" xfId="3941" xr:uid="{00000000-0005-0000-0000-00005C040000}"/>
    <cellStyle name="AggOrange 4 4 12" xfId="3796" xr:uid="{00000000-0005-0000-0000-00005D040000}"/>
    <cellStyle name="AggOrange 4 4 13" xfId="4741" xr:uid="{00000000-0005-0000-0000-00005E040000}"/>
    <cellStyle name="AggOrange 4 4 14" xfId="5121" xr:uid="{00000000-0005-0000-0000-00005F040000}"/>
    <cellStyle name="AggOrange 4 4 15" xfId="5698" xr:uid="{00000000-0005-0000-0000-000060040000}"/>
    <cellStyle name="AggOrange 4 4 2" xfId="1098" xr:uid="{00000000-0005-0000-0000-000061040000}"/>
    <cellStyle name="AggOrange 4 4 2 2" xfId="4155" xr:uid="{00000000-0005-0000-0000-000062040000}"/>
    <cellStyle name="AggOrange 4 4 2 3" xfId="3805" xr:uid="{00000000-0005-0000-0000-000063040000}"/>
    <cellStyle name="AggOrange 4 4 2 4" xfId="4953" xr:uid="{00000000-0005-0000-0000-000064040000}"/>
    <cellStyle name="AggOrange 4 4 2 5" xfId="5327" xr:uid="{00000000-0005-0000-0000-000065040000}"/>
    <cellStyle name="AggOrange 4 4 2 6" xfId="5904" xr:uid="{00000000-0005-0000-0000-000066040000}"/>
    <cellStyle name="AggOrange 4 4 3" xfId="1585" xr:uid="{00000000-0005-0000-0000-000067040000}"/>
    <cellStyle name="AggOrange 4 4 4" xfId="1525" xr:uid="{00000000-0005-0000-0000-000068040000}"/>
    <cellStyle name="AggOrange 4 4 5" xfId="2005" xr:uid="{00000000-0005-0000-0000-000069040000}"/>
    <cellStyle name="AggOrange 4 4 6" xfId="2415" xr:uid="{00000000-0005-0000-0000-00006A040000}"/>
    <cellStyle name="AggOrange 4 4 7" xfId="2595" xr:uid="{00000000-0005-0000-0000-00006B040000}"/>
    <cellStyle name="AggOrange 4 4 8" xfId="2969" xr:uid="{00000000-0005-0000-0000-00006C040000}"/>
    <cellStyle name="AggOrange 4 4 9" xfId="3137" xr:uid="{00000000-0005-0000-0000-00006D040000}"/>
    <cellStyle name="AggOrange 4 5" xfId="887" xr:uid="{00000000-0005-0000-0000-00006E040000}"/>
    <cellStyle name="AggOrange 4 6" xfId="1350" xr:uid="{00000000-0005-0000-0000-00006F040000}"/>
    <cellStyle name="AggOrange 4 7" xfId="1093" xr:uid="{00000000-0005-0000-0000-000070040000}"/>
    <cellStyle name="AggOrange 4 8" xfId="1526" xr:uid="{00000000-0005-0000-0000-000071040000}"/>
    <cellStyle name="AggOrange 4 9" xfId="2134" xr:uid="{00000000-0005-0000-0000-000072040000}"/>
    <cellStyle name="AggOrange 5" xfId="1092" xr:uid="{00000000-0005-0000-0000-000073040000}"/>
    <cellStyle name="AggOrange 5 2" xfId="3603" xr:uid="{00000000-0005-0000-0000-000074040000}"/>
    <cellStyle name="AggOrange 5 3" xfId="4575" xr:uid="{00000000-0005-0000-0000-000075040000}"/>
    <cellStyle name="AggOrange_B_border" xfId="43" xr:uid="{00000000-0005-0000-0000-000076040000}"/>
    <cellStyle name="AggOrange9" xfId="44" xr:uid="{00000000-0005-0000-0000-000077040000}"/>
    <cellStyle name="AggOrange9 2" xfId="45" xr:uid="{00000000-0005-0000-0000-000078040000}"/>
    <cellStyle name="AggOrange9 2 2" xfId="513" xr:uid="{00000000-0005-0000-0000-000079040000}"/>
    <cellStyle name="AggOrange9 2 2 2" xfId="749" xr:uid="{00000000-0005-0000-0000-00007A040000}"/>
    <cellStyle name="AggOrange9 2 2 2 10" xfId="3450" xr:uid="{00000000-0005-0000-0000-00007B040000}"/>
    <cellStyle name="AggOrange9 2 2 2 11" xfId="4020" xr:uid="{00000000-0005-0000-0000-00007C040000}"/>
    <cellStyle name="AggOrange9 2 2 2 12" xfId="4376" xr:uid="{00000000-0005-0000-0000-00007D040000}"/>
    <cellStyle name="AggOrange9 2 2 2 13" xfId="4820" xr:uid="{00000000-0005-0000-0000-00007E040000}"/>
    <cellStyle name="AggOrange9 2 2 2 14" xfId="5200" xr:uid="{00000000-0005-0000-0000-00007F040000}"/>
    <cellStyle name="AggOrange9 2 2 2 15" xfId="5777" xr:uid="{00000000-0005-0000-0000-000080040000}"/>
    <cellStyle name="AggOrange9 2 2 2 2" xfId="1430" xr:uid="{00000000-0005-0000-0000-000081040000}"/>
    <cellStyle name="AggOrange9 2 2 2 2 2" xfId="4234" xr:uid="{00000000-0005-0000-0000-000082040000}"/>
    <cellStyle name="AggOrange9 2 2 2 2 3" xfId="3816" xr:uid="{00000000-0005-0000-0000-000083040000}"/>
    <cellStyle name="AggOrange9 2 2 2 2 4" xfId="5032" xr:uid="{00000000-0005-0000-0000-000084040000}"/>
    <cellStyle name="AggOrange9 2 2 2 2 5" xfId="5406" xr:uid="{00000000-0005-0000-0000-000085040000}"/>
    <cellStyle name="AggOrange9 2 2 2 2 6" xfId="5983" xr:uid="{00000000-0005-0000-0000-000086040000}"/>
    <cellStyle name="AggOrange9 2 2 2 3" xfId="1664" xr:uid="{00000000-0005-0000-0000-000087040000}"/>
    <cellStyle name="AggOrange9 2 2 2 4" xfId="1936" xr:uid="{00000000-0005-0000-0000-000088040000}"/>
    <cellStyle name="AggOrange9 2 2 2 5" xfId="2315" xr:uid="{00000000-0005-0000-0000-000089040000}"/>
    <cellStyle name="AggOrange9 2 2 2 6" xfId="2494" xr:uid="{00000000-0005-0000-0000-00008A040000}"/>
    <cellStyle name="AggOrange9 2 2 2 7" xfId="2674" xr:uid="{00000000-0005-0000-0000-00008B040000}"/>
    <cellStyle name="AggOrange9 2 2 2 8" xfId="3048" xr:uid="{00000000-0005-0000-0000-00008C040000}"/>
    <cellStyle name="AggOrange9 2 2 2 9" xfId="3216" xr:uid="{00000000-0005-0000-0000-00008D040000}"/>
    <cellStyle name="AggOrange9 2 2 3" xfId="839" xr:uid="{00000000-0005-0000-0000-00008E040000}"/>
    <cellStyle name="AggOrange9 2 2 3 2" xfId="4090" xr:uid="{00000000-0005-0000-0000-00008F040000}"/>
    <cellStyle name="AggOrange9 2 2 3 3" xfId="3855" xr:uid="{00000000-0005-0000-0000-000090040000}"/>
    <cellStyle name="AggOrange9 2 2 3 4" xfId="4888" xr:uid="{00000000-0005-0000-0000-000091040000}"/>
    <cellStyle name="AggOrange9 2 2 3 5" xfId="5262" xr:uid="{00000000-0005-0000-0000-000092040000}"/>
    <cellStyle name="AggOrange9 2 2 3 6" xfId="5839" xr:uid="{00000000-0005-0000-0000-000093040000}"/>
    <cellStyle name="AggOrange9 2 3" xfId="371" xr:uid="{00000000-0005-0000-0000-000094040000}"/>
    <cellStyle name="AggOrange9 2 3 10" xfId="2106" xr:uid="{00000000-0005-0000-0000-000095040000}"/>
    <cellStyle name="AggOrange9 2 3 11" xfId="2863" xr:uid="{00000000-0005-0000-0000-000096040000}"/>
    <cellStyle name="AggOrange9 2 3 12" xfId="2901" xr:uid="{00000000-0005-0000-0000-000097040000}"/>
    <cellStyle name="AggOrange9 2 3 13" xfId="3276" xr:uid="{00000000-0005-0000-0000-000098040000}"/>
    <cellStyle name="AggOrange9 2 3 14" xfId="3729" xr:uid="{00000000-0005-0000-0000-000099040000}"/>
    <cellStyle name="AggOrange9 2 3 15" xfId="4371" xr:uid="{00000000-0005-0000-0000-00009A040000}"/>
    <cellStyle name="AggOrange9 2 3 16" xfId="4617" xr:uid="{00000000-0005-0000-0000-00009B040000}"/>
    <cellStyle name="AggOrange9 2 3 17" xfId="4547" xr:uid="{00000000-0005-0000-0000-00009C040000}"/>
    <cellStyle name="AggOrange9 2 3 18" xfId="5481" xr:uid="{00000000-0005-0000-0000-00009D040000}"/>
    <cellStyle name="AggOrange9 2 3 2" xfId="710" xr:uid="{00000000-0005-0000-0000-00009E040000}"/>
    <cellStyle name="AggOrange9 2 3 2 10" xfId="3411" xr:uid="{00000000-0005-0000-0000-00009F040000}"/>
    <cellStyle name="AggOrange9 2 3 2 11" xfId="3981" xr:uid="{00000000-0005-0000-0000-0000A0040000}"/>
    <cellStyle name="AggOrange9 2 3 2 12" xfId="3557" xr:uid="{00000000-0005-0000-0000-0000A1040000}"/>
    <cellStyle name="AggOrange9 2 3 2 13" xfId="4781" xr:uid="{00000000-0005-0000-0000-0000A2040000}"/>
    <cellStyle name="AggOrange9 2 3 2 14" xfId="5161" xr:uid="{00000000-0005-0000-0000-0000A3040000}"/>
    <cellStyle name="AggOrange9 2 3 2 15" xfId="5738" xr:uid="{00000000-0005-0000-0000-0000A4040000}"/>
    <cellStyle name="AggOrange9 2 3 2 2" xfId="1391" xr:uid="{00000000-0005-0000-0000-0000A5040000}"/>
    <cellStyle name="AggOrange9 2 3 2 2 2" xfId="4195" xr:uid="{00000000-0005-0000-0000-0000A6040000}"/>
    <cellStyle name="AggOrange9 2 3 2 2 3" xfId="3713" xr:uid="{00000000-0005-0000-0000-0000A7040000}"/>
    <cellStyle name="AggOrange9 2 3 2 2 4" xfId="4993" xr:uid="{00000000-0005-0000-0000-0000A8040000}"/>
    <cellStyle name="AggOrange9 2 3 2 2 5" xfId="5367" xr:uid="{00000000-0005-0000-0000-0000A9040000}"/>
    <cellStyle name="AggOrange9 2 3 2 2 6" xfId="5944" xr:uid="{00000000-0005-0000-0000-0000AA040000}"/>
    <cellStyle name="AggOrange9 2 3 2 3" xfId="1625" xr:uid="{00000000-0005-0000-0000-0000AB040000}"/>
    <cellStyle name="AggOrange9 2 3 2 4" xfId="1897" xr:uid="{00000000-0005-0000-0000-0000AC040000}"/>
    <cellStyle name="AggOrange9 2 3 2 5" xfId="2276" xr:uid="{00000000-0005-0000-0000-0000AD040000}"/>
    <cellStyle name="AggOrange9 2 3 2 6" xfId="2455" xr:uid="{00000000-0005-0000-0000-0000AE040000}"/>
    <cellStyle name="AggOrange9 2 3 2 7" xfId="2635" xr:uid="{00000000-0005-0000-0000-0000AF040000}"/>
    <cellStyle name="AggOrange9 2 3 2 8" xfId="3009" xr:uid="{00000000-0005-0000-0000-0000B0040000}"/>
    <cellStyle name="AggOrange9 2 3 2 9" xfId="3177" xr:uid="{00000000-0005-0000-0000-0000B1040000}"/>
    <cellStyle name="AggOrange9 2 3 3" xfId="756" xr:uid="{00000000-0005-0000-0000-0000B2040000}"/>
    <cellStyle name="AggOrange9 2 3 3 10" xfId="3457" xr:uid="{00000000-0005-0000-0000-0000B3040000}"/>
    <cellStyle name="AggOrange9 2 3 3 11" xfId="4027" xr:uid="{00000000-0005-0000-0000-0000B4040000}"/>
    <cellStyle name="AggOrange9 2 3 3 12" xfId="4426" xr:uid="{00000000-0005-0000-0000-0000B5040000}"/>
    <cellStyle name="AggOrange9 2 3 3 13" xfId="4827" xr:uid="{00000000-0005-0000-0000-0000B6040000}"/>
    <cellStyle name="AggOrange9 2 3 3 14" xfId="5207" xr:uid="{00000000-0005-0000-0000-0000B7040000}"/>
    <cellStyle name="AggOrange9 2 3 3 15" xfId="5784" xr:uid="{00000000-0005-0000-0000-0000B8040000}"/>
    <cellStyle name="AggOrange9 2 3 3 2" xfId="1437" xr:uid="{00000000-0005-0000-0000-0000B9040000}"/>
    <cellStyle name="AggOrange9 2 3 3 2 2" xfId="4241" xr:uid="{00000000-0005-0000-0000-0000BA040000}"/>
    <cellStyle name="AggOrange9 2 3 3 2 3" xfId="4319" xr:uid="{00000000-0005-0000-0000-0000BB040000}"/>
    <cellStyle name="AggOrange9 2 3 3 2 4" xfId="5039" xr:uid="{00000000-0005-0000-0000-0000BC040000}"/>
    <cellStyle name="AggOrange9 2 3 3 2 5" xfId="5413" xr:uid="{00000000-0005-0000-0000-0000BD040000}"/>
    <cellStyle name="AggOrange9 2 3 3 2 6" xfId="5990" xr:uid="{00000000-0005-0000-0000-0000BE040000}"/>
    <cellStyle name="AggOrange9 2 3 3 3" xfId="1671" xr:uid="{00000000-0005-0000-0000-0000BF040000}"/>
    <cellStyle name="AggOrange9 2 3 3 4" xfId="1943" xr:uid="{00000000-0005-0000-0000-0000C0040000}"/>
    <cellStyle name="AggOrange9 2 3 3 5" xfId="2322" xr:uid="{00000000-0005-0000-0000-0000C1040000}"/>
    <cellStyle name="AggOrange9 2 3 3 6" xfId="2501" xr:uid="{00000000-0005-0000-0000-0000C2040000}"/>
    <cellStyle name="AggOrange9 2 3 3 7" xfId="2681" xr:uid="{00000000-0005-0000-0000-0000C3040000}"/>
    <cellStyle name="AggOrange9 2 3 3 8" xfId="3055" xr:uid="{00000000-0005-0000-0000-0000C4040000}"/>
    <cellStyle name="AggOrange9 2 3 3 9" xfId="3223" xr:uid="{00000000-0005-0000-0000-0000C5040000}"/>
    <cellStyle name="AggOrange9 2 3 4" xfId="770" xr:uid="{00000000-0005-0000-0000-0000C6040000}"/>
    <cellStyle name="AggOrange9 2 3 4 10" xfId="3471" xr:uid="{00000000-0005-0000-0000-0000C7040000}"/>
    <cellStyle name="AggOrange9 2 3 4 11" xfId="4041" xr:uid="{00000000-0005-0000-0000-0000C8040000}"/>
    <cellStyle name="AggOrange9 2 3 4 12" xfId="4433" xr:uid="{00000000-0005-0000-0000-0000C9040000}"/>
    <cellStyle name="AggOrange9 2 3 4 13" xfId="4841" xr:uid="{00000000-0005-0000-0000-0000CA040000}"/>
    <cellStyle name="AggOrange9 2 3 4 14" xfId="5221" xr:uid="{00000000-0005-0000-0000-0000CB040000}"/>
    <cellStyle name="AggOrange9 2 3 4 15" xfId="5798" xr:uid="{00000000-0005-0000-0000-0000CC040000}"/>
    <cellStyle name="AggOrange9 2 3 4 2" xfId="1451" xr:uid="{00000000-0005-0000-0000-0000CD040000}"/>
    <cellStyle name="AggOrange9 2 3 4 2 2" xfId="4255" xr:uid="{00000000-0005-0000-0000-0000CE040000}"/>
    <cellStyle name="AggOrange9 2 3 4 2 3" xfId="4514" xr:uid="{00000000-0005-0000-0000-0000CF040000}"/>
    <cellStyle name="AggOrange9 2 3 4 2 4" xfId="5053" xr:uid="{00000000-0005-0000-0000-0000D0040000}"/>
    <cellStyle name="AggOrange9 2 3 4 2 5" xfId="5427" xr:uid="{00000000-0005-0000-0000-0000D1040000}"/>
    <cellStyle name="AggOrange9 2 3 4 2 6" xfId="6004" xr:uid="{00000000-0005-0000-0000-0000D2040000}"/>
    <cellStyle name="AggOrange9 2 3 4 3" xfId="1685" xr:uid="{00000000-0005-0000-0000-0000D3040000}"/>
    <cellStyle name="AggOrange9 2 3 4 4" xfId="1957" xr:uid="{00000000-0005-0000-0000-0000D4040000}"/>
    <cellStyle name="AggOrange9 2 3 4 5" xfId="2336" xr:uid="{00000000-0005-0000-0000-0000D5040000}"/>
    <cellStyle name="AggOrange9 2 3 4 6" xfId="2515" xr:uid="{00000000-0005-0000-0000-0000D6040000}"/>
    <cellStyle name="AggOrange9 2 3 4 7" xfId="2695" xr:uid="{00000000-0005-0000-0000-0000D7040000}"/>
    <cellStyle name="AggOrange9 2 3 4 8" xfId="3069" xr:uid="{00000000-0005-0000-0000-0000D8040000}"/>
    <cellStyle name="AggOrange9 2 3 4 9" xfId="3237" xr:uid="{00000000-0005-0000-0000-0000D9040000}"/>
    <cellStyle name="AggOrange9 2 3 5" xfId="1004" xr:uid="{00000000-0005-0000-0000-0000DA040000}"/>
    <cellStyle name="AggOrange9 2 3 6" xfId="995" xr:uid="{00000000-0005-0000-0000-0000DB040000}"/>
    <cellStyle name="AggOrange9 2 3 7" xfId="1051" xr:uid="{00000000-0005-0000-0000-0000DC040000}"/>
    <cellStyle name="AggOrange9 2 3 8" xfId="2241" xr:uid="{00000000-0005-0000-0000-0000DD040000}"/>
    <cellStyle name="AggOrange9 2 3 9" xfId="2221" xr:uid="{00000000-0005-0000-0000-0000DE040000}"/>
    <cellStyle name="AggOrange9 2 4" xfId="844" xr:uid="{00000000-0005-0000-0000-0000DF040000}"/>
    <cellStyle name="AggOrange9 3" xfId="512" xr:uid="{00000000-0005-0000-0000-0000E0040000}"/>
    <cellStyle name="AggOrange9 3 2" xfId="701" xr:uid="{00000000-0005-0000-0000-0000E1040000}"/>
    <cellStyle name="AggOrange9 3 2 10" xfId="3402" xr:uid="{00000000-0005-0000-0000-0000E2040000}"/>
    <cellStyle name="AggOrange9 3 2 11" xfId="3972" xr:uid="{00000000-0005-0000-0000-0000E3040000}"/>
    <cellStyle name="AggOrange9 3 2 12" xfId="4402" xr:uid="{00000000-0005-0000-0000-0000E4040000}"/>
    <cellStyle name="AggOrange9 3 2 13" xfId="4772" xr:uid="{00000000-0005-0000-0000-0000E5040000}"/>
    <cellStyle name="AggOrange9 3 2 14" xfId="5152" xr:uid="{00000000-0005-0000-0000-0000E6040000}"/>
    <cellStyle name="AggOrange9 3 2 15" xfId="5729" xr:uid="{00000000-0005-0000-0000-0000E7040000}"/>
    <cellStyle name="AggOrange9 3 2 2" xfId="1382" xr:uid="{00000000-0005-0000-0000-0000E8040000}"/>
    <cellStyle name="AggOrange9 3 2 2 2" xfId="4186" xr:uid="{00000000-0005-0000-0000-0000E9040000}"/>
    <cellStyle name="AggOrange9 3 2 2 3" xfId="3718" xr:uid="{00000000-0005-0000-0000-0000EA040000}"/>
    <cellStyle name="AggOrange9 3 2 2 4" xfId="4984" xr:uid="{00000000-0005-0000-0000-0000EB040000}"/>
    <cellStyle name="AggOrange9 3 2 2 5" xfId="5358" xr:uid="{00000000-0005-0000-0000-0000EC040000}"/>
    <cellStyle name="AggOrange9 3 2 2 6" xfId="5935" xr:uid="{00000000-0005-0000-0000-0000ED040000}"/>
    <cellStyle name="AggOrange9 3 2 3" xfId="1616" xr:uid="{00000000-0005-0000-0000-0000EE040000}"/>
    <cellStyle name="AggOrange9 3 2 4" xfId="1888" xr:uid="{00000000-0005-0000-0000-0000EF040000}"/>
    <cellStyle name="AggOrange9 3 2 5" xfId="2267" xr:uid="{00000000-0005-0000-0000-0000F0040000}"/>
    <cellStyle name="AggOrange9 3 2 6" xfId="2446" xr:uid="{00000000-0005-0000-0000-0000F1040000}"/>
    <cellStyle name="AggOrange9 3 2 7" xfId="2626" xr:uid="{00000000-0005-0000-0000-0000F2040000}"/>
    <cellStyle name="AggOrange9 3 2 8" xfId="3000" xr:uid="{00000000-0005-0000-0000-0000F3040000}"/>
    <cellStyle name="AggOrange9 3 2 9" xfId="3168" xr:uid="{00000000-0005-0000-0000-0000F4040000}"/>
    <cellStyle name="AggOrange9 3 3" xfId="1245" xr:uid="{00000000-0005-0000-0000-0000F5040000}"/>
    <cellStyle name="AggOrange9 3 3 2" xfId="4089" xr:uid="{00000000-0005-0000-0000-0000F6040000}"/>
    <cellStyle name="AggOrange9 3 3 3" xfId="4383" xr:uid="{00000000-0005-0000-0000-0000F7040000}"/>
    <cellStyle name="AggOrange9 3 3 4" xfId="4887" xr:uid="{00000000-0005-0000-0000-0000F8040000}"/>
    <cellStyle name="AggOrange9 3 3 5" xfId="5261" xr:uid="{00000000-0005-0000-0000-0000F9040000}"/>
    <cellStyle name="AggOrange9 3 3 6" xfId="5838" xr:uid="{00000000-0005-0000-0000-0000FA040000}"/>
    <cellStyle name="AggOrange9 4" xfId="370" xr:uid="{00000000-0005-0000-0000-0000FB040000}"/>
    <cellStyle name="AggOrange9 4 10" xfId="1987" xr:uid="{00000000-0005-0000-0000-0000FC040000}"/>
    <cellStyle name="AggOrange9 4 11" xfId="2862" xr:uid="{00000000-0005-0000-0000-0000FD040000}"/>
    <cellStyle name="AggOrange9 4 12" xfId="2819" xr:uid="{00000000-0005-0000-0000-0000FE040000}"/>
    <cellStyle name="AggOrange9 4 13" xfId="3275" xr:uid="{00000000-0005-0000-0000-0000FF040000}"/>
    <cellStyle name="AggOrange9 4 14" xfId="3728" xr:uid="{00000000-0005-0000-0000-000000050000}"/>
    <cellStyle name="AggOrange9 4 15" xfId="4465" xr:uid="{00000000-0005-0000-0000-000001050000}"/>
    <cellStyle name="AggOrange9 4 16" xfId="4616" xr:uid="{00000000-0005-0000-0000-000002050000}"/>
    <cellStyle name="AggOrange9 4 17" xfId="4549" xr:uid="{00000000-0005-0000-0000-000003050000}"/>
    <cellStyle name="AggOrange9 4 18" xfId="5480" xr:uid="{00000000-0005-0000-0000-000004050000}"/>
    <cellStyle name="AggOrange9 4 2" xfId="709" xr:uid="{00000000-0005-0000-0000-000005050000}"/>
    <cellStyle name="AggOrange9 4 2 10" xfId="3410" xr:uid="{00000000-0005-0000-0000-000006050000}"/>
    <cellStyle name="AggOrange9 4 2 11" xfId="3980" xr:uid="{00000000-0005-0000-0000-000007050000}"/>
    <cellStyle name="AggOrange9 4 2 12" xfId="3701" xr:uid="{00000000-0005-0000-0000-000008050000}"/>
    <cellStyle name="AggOrange9 4 2 13" xfId="4780" xr:uid="{00000000-0005-0000-0000-000009050000}"/>
    <cellStyle name="AggOrange9 4 2 14" xfId="5160" xr:uid="{00000000-0005-0000-0000-00000A050000}"/>
    <cellStyle name="AggOrange9 4 2 15" xfId="5737" xr:uid="{00000000-0005-0000-0000-00000B050000}"/>
    <cellStyle name="AggOrange9 4 2 2" xfId="1390" xr:uid="{00000000-0005-0000-0000-00000C050000}"/>
    <cellStyle name="AggOrange9 4 2 2 2" xfId="4194" xr:uid="{00000000-0005-0000-0000-00000D050000}"/>
    <cellStyle name="AggOrange9 4 2 2 3" xfId="4293" xr:uid="{00000000-0005-0000-0000-00000E050000}"/>
    <cellStyle name="AggOrange9 4 2 2 4" xfId="4992" xr:uid="{00000000-0005-0000-0000-00000F050000}"/>
    <cellStyle name="AggOrange9 4 2 2 5" xfId="5366" xr:uid="{00000000-0005-0000-0000-000010050000}"/>
    <cellStyle name="AggOrange9 4 2 2 6" xfId="5943" xr:uid="{00000000-0005-0000-0000-000011050000}"/>
    <cellStyle name="AggOrange9 4 2 3" xfId="1624" xr:uid="{00000000-0005-0000-0000-000012050000}"/>
    <cellStyle name="AggOrange9 4 2 4" xfId="1896" xr:uid="{00000000-0005-0000-0000-000013050000}"/>
    <cellStyle name="AggOrange9 4 2 5" xfId="2275" xr:uid="{00000000-0005-0000-0000-000014050000}"/>
    <cellStyle name="AggOrange9 4 2 6" xfId="2454" xr:uid="{00000000-0005-0000-0000-000015050000}"/>
    <cellStyle name="AggOrange9 4 2 7" xfId="2634" xr:uid="{00000000-0005-0000-0000-000016050000}"/>
    <cellStyle name="AggOrange9 4 2 8" xfId="3008" xr:uid="{00000000-0005-0000-0000-000017050000}"/>
    <cellStyle name="AggOrange9 4 2 9" xfId="3176" xr:uid="{00000000-0005-0000-0000-000018050000}"/>
    <cellStyle name="AggOrange9 4 3" xfId="654" xr:uid="{00000000-0005-0000-0000-000019050000}"/>
    <cellStyle name="AggOrange9 4 3 10" xfId="3355" xr:uid="{00000000-0005-0000-0000-00001A050000}"/>
    <cellStyle name="AggOrange9 4 3 11" xfId="3925" xr:uid="{00000000-0005-0000-0000-00001B050000}"/>
    <cellStyle name="AggOrange9 4 3 12" xfId="4441" xr:uid="{00000000-0005-0000-0000-00001C050000}"/>
    <cellStyle name="AggOrange9 4 3 13" xfId="4725" xr:uid="{00000000-0005-0000-0000-00001D050000}"/>
    <cellStyle name="AggOrange9 4 3 14" xfId="5105" xr:uid="{00000000-0005-0000-0000-00001E050000}"/>
    <cellStyle name="AggOrange9 4 3 15" xfId="5682" xr:uid="{00000000-0005-0000-0000-00001F050000}"/>
    <cellStyle name="AggOrange9 4 3 2" xfId="1150" xr:uid="{00000000-0005-0000-0000-000020050000}"/>
    <cellStyle name="AggOrange9 4 3 2 2" xfId="4139" xr:uid="{00000000-0005-0000-0000-000021050000}"/>
    <cellStyle name="AggOrange9 4 3 2 3" xfId="4280" xr:uid="{00000000-0005-0000-0000-000022050000}"/>
    <cellStyle name="AggOrange9 4 3 2 4" xfId="4937" xr:uid="{00000000-0005-0000-0000-000023050000}"/>
    <cellStyle name="AggOrange9 4 3 2 5" xfId="5311" xr:uid="{00000000-0005-0000-0000-000024050000}"/>
    <cellStyle name="AggOrange9 4 3 2 6" xfId="5888" xr:uid="{00000000-0005-0000-0000-000025050000}"/>
    <cellStyle name="AggOrange9 4 3 3" xfId="1569" xr:uid="{00000000-0005-0000-0000-000026050000}"/>
    <cellStyle name="AggOrange9 4 3 4" xfId="1519" xr:uid="{00000000-0005-0000-0000-000027050000}"/>
    <cellStyle name="AggOrange9 4 3 5" xfId="1979" xr:uid="{00000000-0005-0000-0000-000028050000}"/>
    <cellStyle name="AggOrange9 4 3 6" xfId="2399" xr:uid="{00000000-0005-0000-0000-000029050000}"/>
    <cellStyle name="AggOrange9 4 3 7" xfId="2579" xr:uid="{00000000-0005-0000-0000-00002A050000}"/>
    <cellStyle name="AggOrange9 4 3 8" xfId="2953" xr:uid="{00000000-0005-0000-0000-00002B050000}"/>
    <cellStyle name="AggOrange9 4 3 9" xfId="3121" xr:uid="{00000000-0005-0000-0000-00002C050000}"/>
    <cellStyle name="AggOrange9 4 4" xfId="700" xr:uid="{00000000-0005-0000-0000-00002D050000}"/>
    <cellStyle name="AggOrange9 4 4 10" xfId="3401" xr:uid="{00000000-0005-0000-0000-00002E050000}"/>
    <cellStyle name="AggOrange9 4 4 11" xfId="3971" xr:uid="{00000000-0005-0000-0000-00002F050000}"/>
    <cellStyle name="AggOrange9 4 4 12" xfId="3577" xr:uid="{00000000-0005-0000-0000-000030050000}"/>
    <cellStyle name="AggOrange9 4 4 13" xfId="4771" xr:uid="{00000000-0005-0000-0000-000031050000}"/>
    <cellStyle name="AggOrange9 4 4 14" xfId="5151" xr:uid="{00000000-0005-0000-0000-000032050000}"/>
    <cellStyle name="AggOrange9 4 4 15" xfId="5728" xr:uid="{00000000-0005-0000-0000-000033050000}"/>
    <cellStyle name="AggOrange9 4 4 2" xfId="1381" xr:uid="{00000000-0005-0000-0000-000034050000}"/>
    <cellStyle name="AggOrange9 4 4 2 2" xfId="4185" xr:uid="{00000000-0005-0000-0000-000035050000}"/>
    <cellStyle name="AggOrange9 4 4 2 3" xfId="3663" xr:uid="{00000000-0005-0000-0000-000036050000}"/>
    <cellStyle name="AggOrange9 4 4 2 4" xfId="4983" xr:uid="{00000000-0005-0000-0000-000037050000}"/>
    <cellStyle name="AggOrange9 4 4 2 5" xfId="5357" xr:uid="{00000000-0005-0000-0000-000038050000}"/>
    <cellStyle name="AggOrange9 4 4 2 6" xfId="5934" xr:uid="{00000000-0005-0000-0000-000039050000}"/>
    <cellStyle name="AggOrange9 4 4 3" xfId="1615" xr:uid="{00000000-0005-0000-0000-00003A050000}"/>
    <cellStyle name="AggOrange9 4 4 4" xfId="1887" xr:uid="{00000000-0005-0000-0000-00003B050000}"/>
    <cellStyle name="AggOrange9 4 4 5" xfId="1168" xr:uid="{00000000-0005-0000-0000-00003C050000}"/>
    <cellStyle name="AggOrange9 4 4 6" xfId="2445" xr:uid="{00000000-0005-0000-0000-00003D050000}"/>
    <cellStyle name="AggOrange9 4 4 7" xfId="2625" xr:uid="{00000000-0005-0000-0000-00003E050000}"/>
    <cellStyle name="AggOrange9 4 4 8" xfId="2999" xr:uid="{00000000-0005-0000-0000-00003F050000}"/>
    <cellStyle name="AggOrange9 4 4 9" xfId="3167" xr:uid="{00000000-0005-0000-0000-000040050000}"/>
    <cellStyle name="AggOrange9 4 5" xfId="1202" xr:uid="{00000000-0005-0000-0000-000041050000}"/>
    <cellStyle name="AggOrange9 4 6" xfId="154" xr:uid="{00000000-0005-0000-0000-000042050000}"/>
    <cellStyle name="AggOrange9 4 7" xfId="946" xr:uid="{00000000-0005-0000-0000-000043050000}"/>
    <cellStyle name="AggOrange9 4 8" xfId="851" xr:uid="{00000000-0005-0000-0000-000044050000}"/>
    <cellStyle name="AggOrange9 4 9" xfId="1847" xr:uid="{00000000-0005-0000-0000-000045050000}"/>
    <cellStyle name="AggOrange9 5" xfId="1030" xr:uid="{00000000-0005-0000-0000-000046050000}"/>
    <cellStyle name="AggOrange9 5 2" xfId="3602" xr:uid="{00000000-0005-0000-0000-000047050000}"/>
    <cellStyle name="AggOrange9 5 3" xfId="4574" xr:uid="{00000000-0005-0000-0000-000048050000}"/>
    <cellStyle name="AggOrangeLB_2x" xfId="46" xr:uid="{00000000-0005-0000-0000-000049050000}"/>
    <cellStyle name="AggOrangeLBorder" xfId="47" xr:uid="{00000000-0005-0000-0000-00004A050000}"/>
    <cellStyle name="AggOrangeLBorder 2" xfId="48" xr:uid="{00000000-0005-0000-0000-00004B050000}"/>
    <cellStyle name="AggOrangeLBorder 2 2" xfId="515" xr:uid="{00000000-0005-0000-0000-00004C050000}"/>
    <cellStyle name="AggOrangeLBorder 2 2 2" xfId="1075" xr:uid="{00000000-0005-0000-0000-00004D050000}"/>
    <cellStyle name="AggOrangeLBorder 2 2 3" xfId="893" xr:uid="{00000000-0005-0000-0000-00004E050000}"/>
    <cellStyle name="AggOrangeLBorder 2 2 4" xfId="1469" xr:uid="{00000000-0005-0000-0000-00004F050000}"/>
    <cellStyle name="AggOrangeLBorder 2 2 5" xfId="924" xr:uid="{00000000-0005-0000-0000-000050050000}"/>
    <cellStyle name="AggOrangeLBorder 2 2 6" xfId="1741" xr:uid="{00000000-0005-0000-0000-000051050000}"/>
    <cellStyle name="AggOrangeLBorder 2 2 7" xfId="973" xr:uid="{00000000-0005-0000-0000-000052050000}"/>
    <cellStyle name="AggOrangeLBorder 2 2 8" xfId="1724" xr:uid="{00000000-0005-0000-0000-000053050000}"/>
    <cellStyle name="AggOrangeLBorder 2 3" xfId="373" xr:uid="{00000000-0005-0000-0000-000054050000}"/>
    <cellStyle name="AggOrangeLBorder 2 3 10" xfId="2139" xr:uid="{00000000-0005-0000-0000-000055050000}"/>
    <cellStyle name="AggOrangeLBorder 2 3 11" xfId="2865" xr:uid="{00000000-0005-0000-0000-000056050000}"/>
    <cellStyle name="AggOrangeLBorder 2 3 12" xfId="2830" xr:uid="{00000000-0005-0000-0000-000057050000}"/>
    <cellStyle name="AggOrangeLBorder 2 3 13" xfId="3278" xr:uid="{00000000-0005-0000-0000-000058050000}"/>
    <cellStyle name="AggOrangeLBorder 2 3 14" xfId="3731" xr:uid="{00000000-0005-0000-0000-000059050000}"/>
    <cellStyle name="AggOrangeLBorder 2 3 15" xfId="3847" xr:uid="{00000000-0005-0000-0000-00005A050000}"/>
    <cellStyle name="AggOrangeLBorder 2 3 16" xfId="4619" xr:uid="{00000000-0005-0000-0000-00005B050000}"/>
    <cellStyle name="AggOrangeLBorder 2 3 17" xfId="4664" xr:uid="{00000000-0005-0000-0000-00005C050000}"/>
    <cellStyle name="AggOrangeLBorder 2 3 18" xfId="5483" xr:uid="{00000000-0005-0000-0000-00005D050000}"/>
    <cellStyle name="AggOrangeLBorder 2 3 2" xfId="712" xr:uid="{00000000-0005-0000-0000-00005E050000}"/>
    <cellStyle name="AggOrangeLBorder 2 3 2 10" xfId="3413" xr:uid="{00000000-0005-0000-0000-00005F050000}"/>
    <cellStyle name="AggOrangeLBorder 2 3 2 11" xfId="3983" xr:uid="{00000000-0005-0000-0000-000060050000}"/>
    <cellStyle name="AggOrangeLBorder 2 3 2 12" xfId="4463" xr:uid="{00000000-0005-0000-0000-000061050000}"/>
    <cellStyle name="AggOrangeLBorder 2 3 2 13" xfId="4783" xr:uid="{00000000-0005-0000-0000-000062050000}"/>
    <cellStyle name="AggOrangeLBorder 2 3 2 14" xfId="5163" xr:uid="{00000000-0005-0000-0000-000063050000}"/>
    <cellStyle name="AggOrangeLBorder 2 3 2 15" xfId="5740" xr:uid="{00000000-0005-0000-0000-000064050000}"/>
    <cellStyle name="AggOrangeLBorder 2 3 2 2" xfId="1393" xr:uid="{00000000-0005-0000-0000-000065050000}"/>
    <cellStyle name="AggOrangeLBorder 2 3 2 2 2" xfId="4197" xr:uid="{00000000-0005-0000-0000-000066050000}"/>
    <cellStyle name="AggOrangeLBorder 2 3 2 2 3" xfId="3845" xr:uid="{00000000-0005-0000-0000-000067050000}"/>
    <cellStyle name="AggOrangeLBorder 2 3 2 2 4" xfId="4995" xr:uid="{00000000-0005-0000-0000-000068050000}"/>
    <cellStyle name="AggOrangeLBorder 2 3 2 2 5" xfId="5369" xr:uid="{00000000-0005-0000-0000-000069050000}"/>
    <cellStyle name="AggOrangeLBorder 2 3 2 2 6" xfId="5946" xr:uid="{00000000-0005-0000-0000-00006A050000}"/>
    <cellStyle name="AggOrangeLBorder 2 3 2 3" xfId="1627" xr:uid="{00000000-0005-0000-0000-00006B050000}"/>
    <cellStyle name="AggOrangeLBorder 2 3 2 4" xfId="1899" xr:uid="{00000000-0005-0000-0000-00006C050000}"/>
    <cellStyle name="AggOrangeLBorder 2 3 2 5" xfId="2278" xr:uid="{00000000-0005-0000-0000-00006D050000}"/>
    <cellStyle name="AggOrangeLBorder 2 3 2 6" xfId="2457" xr:uid="{00000000-0005-0000-0000-00006E050000}"/>
    <cellStyle name="AggOrangeLBorder 2 3 2 7" xfId="2637" xr:uid="{00000000-0005-0000-0000-00006F050000}"/>
    <cellStyle name="AggOrangeLBorder 2 3 2 8" xfId="3011" xr:uid="{00000000-0005-0000-0000-000070050000}"/>
    <cellStyle name="AggOrangeLBorder 2 3 2 9" xfId="3179" xr:uid="{00000000-0005-0000-0000-000071050000}"/>
    <cellStyle name="AggOrangeLBorder 2 3 3" xfId="652" xr:uid="{00000000-0005-0000-0000-000072050000}"/>
    <cellStyle name="AggOrangeLBorder 2 3 3 10" xfId="3353" xr:uid="{00000000-0005-0000-0000-000073050000}"/>
    <cellStyle name="AggOrangeLBorder 2 3 3 11" xfId="3923" xr:uid="{00000000-0005-0000-0000-000074050000}"/>
    <cellStyle name="AggOrangeLBorder 2 3 3 12" xfId="4455" xr:uid="{00000000-0005-0000-0000-000075050000}"/>
    <cellStyle name="AggOrangeLBorder 2 3 3 13" xfId="4723" xr:uid="{00000000-0005-0000-0000-000076050000}"/>
    <cellStyle name="AggOrangeLBorder 2 3 3 14" xfId="5103" xr:uid="{00000000-0005-0000-0000-000077050000}"/>
    <cellStyle name="AggOrangeLBorder 2 3 3 15" xfId="5680" xr:uid="{00000000-0005-0000-0000-000078050000}"/>
    <cellStyle name="AggOrangeLBorder 2 3 3 2" xfId="1335" xr:uid="{00000000-0005-0000-0000-000079050000}"/>
    <cellStyle name="AggOrangeLBorder 2 3 3 2 2" xfId="4137" xr:uid="{00000000-0005-0000-0000-00007A050000}"/>
    <cellStyle name="AggOrangeLBorder 2 3 3 2 3" xfId="3848" xr:uid="{00000000-0005-0000-0000-00007B050000}"/>
    <cellStyle name="AggOrangeLBorder 2 3 3 2 4" xfId="4935" xr:uid="{00000000-0005-0000-0000-00007C050000}"/>
    <cellStyle name="AggOrangeLBorder 2 3 3 2 5" xfId="5309" xr:uid="{00000000-0005-0000-0000-00007D050000}"/>
    <cellStyle name="AggOrangeLBorder 2 3 3 2 6" xfId="5886" xr:uid="{00000000-0005-0000-0000-00007E050000}"/>
    <cellStyle name="AggOrangeLBorder 2 3 3 3" xfId="1567" xr:uid="{00000000-0005-0000-0000-00007F050000}"/>
    <cellStyle name="AggOrangeLBorder 2 3 3 4" xfId="1522" xr:uid="{00000000-0005-0000-0000-000080050000}"/>
    <cellStyle name="AggOrangeLBorder 2 3 3 5" xfId="2184" xr:uid="{00000000-0005-0000-0000-000081050000}"/>
    <cellStyle name="AggOrangeLBorder 2 3 3 6" xfId="2397" xr:uid="{00000000-0005-0000-0000-000082050000}"/>
    <cellStyle name="AggOrangeLBorder 2 3 3 7" xfId="2577" xr:uid="{00000000-0005-0000-0000-000083050000}"/>
    <cellStyle name="AggOrangeLBorder 2 3 3 8" xfId="2951" xr:uid="{00000000-0005-0000-0000-000084050000}"/>
    <cellStyle name="AggOrangeLBorder 2 3 3 9" xfId="3119" xr:uid="{00000000-0005-0000-0000-000085050000}"/>
    <cellStyle name="AggOrangeLBorder 2 3 4" xfId="678" xr:uid="{00000000-0005-0000-0000-000086050000}"/>
    <cellStyle name="AggOrangeLBorder 2 3 4 10" xfId="3379" xr:uid="{00000000-0005-0000-0000-000087050000}"/>
    <cellStyle name="AggOrangeLBorder 2 3 4 11" xfId="3949" xr:uid="{00000000-0005-0000-0000-000088050000}"/>
    <cellStyle name="AggOrangeLBorder 2 3 4 12" xfId="4381" xr:uid="{00000000-0005-0000-0000-000089050000}"/>
    <cellStyle name="AggOrangeLBorder 2 3 4 13" xfId="4749" xr:uid="{00000000-0005-0000-0000-00008A050000}"/>
    <cellStyle name="AggOrangeLBorder 2 3 4 14" xfId="5129" xr:uid="{00000000-0005-0000-0000-00008B050000}"/>
    <cellStyle name="AggOrangeLBorder 2 3 4 15" xfId="5706" xr:uid="{00000000-0005-0000-0000-00008C050000}"/>
    <cellStyle name="AggOrangeLBorder 2 3 4 2" xfId="142" xr:uid="{00000000-0005-0000-0000-00008D050000}"/>
    <cellStyle name="AggOrangeLBorder 2 3 4 2 2" xfId="4163" xr:uid="{00000000-0005-0000-0000-00008E050000}"/>
    <cellStyle name="AggOrangeLBorder 2 3 4 2 3" xfId="3802" xr:uid="{00000000-0005-0000-0000-00008F050000}"/>
    <cellStyle name="AggOrangeLBorder 2 3 4 2 4" xfId="4961" xr:uid="{00000000-0005-0000-0000-000090050000}"/>
    <cellStyle name="AggOrangeLBorder 2 3 4 2 5" xfId="5335" xr:uid="{00000000-0005-0000-0000-000091050000}"/>
    <cellStyle name="AggOrangeLBorder 2 3 4 2 6" xfId="5912" xr:uid="{00000000-0005-0000-0000-000092050000}"/>
    <cellStyle name="AggOrangeLBorder 2 3 4 3" xfId="1593" xr:uid="{00000000-0005-0000-0000-000093050000}"/>
    <cellStyle name="AggOrangeLBorder 2 3 4 4" xfId="1865" xr:uid="{00000000-0005-0000-0000-000094050000}"/>
    <cellStyle name="AggOrangeLBorder 2 3 4 5" xfId="1511" xr:uid="{00000000-0005-0000-0000-000095050000}"/>
    <cellStyle name="AggOrangeLBorder 2 3 4 6" xfId="2423" xr:uid="{00000000-0005-0000-0000-000096050000}"/>
    <cellStyle name="AggOrangeLBorder 2 3 4 7" xfId="2603" xr:uid="{00000000-0005-0000-0000-000097050000}"/>
    <cellStyle name="AggOrangeLBorder 2 3 4 8" xfId="2977" xr:uid="{00000000-0005-0000-0000-000098050000}"/>
    <cellStyle name="AggOrangeLBorder 2 3 4 9" xfId="3145" xr:uid="{00000000-0005-0000-0000-000099050000}"/>
    <cellStyle name="AggOrangeLBorder 2 3 5" xfId="898" xr:uid="{00000000-0005-0000-0000-00009A050000}"/>
    <cellStyle name="AggOrangeLBorder 2 3 5 2" xfId="4068" xr:uid="{00000000-0005-0000-0000-00009B050000}"/>
    <cellStyle name="AggOrangeLBorder 2 3 6" xfId="1200" xr:uid="{00000000-0005-0000-0000-00009C050000}"/>
    <cellStyle name="AggOrangeLBorder 2 3 7" xfId="1241" xr:uid="{00000000-0005-0000-0000-00009D050000}"/>
    <cellStyle name="AggOrangeLBorder 2 3 8" xfId="1486" xr:uid="{00000000-0005-0000-0000-00009E050000}"/>
    <cellStyle name="AggOrangeLBorder 2 3 9" xfId="1750" xr:uid="{00000000-0005-0000-0000-00009F050000}"/>
    <cellStyle name="AggOrangeLBorder 2 4" xfId="817" xr:uid="{00000000-0005-0000-0000-0000A0050000}"/>
    <cellStyle name="AggOrangeLBorder 3" xfId="514" xr:uid="{00000000-0005-0000-0000-0000A1050000}"/>
    <cellStyle name="AggOrangeLBorder 3 2" xfId="1074" xr:uid="{00000000-0005-0000-0000-0000A2050000}"/>
    <cellStyle name="AggOrangeLBorder 3 3" xfId="1123" xr:uid="{00000000-0005-0000-0000-0000A3050000}"/>
    <cellStyle name="AggOrangeLBorder 3 4" xfId="1468" xr:uid="{00000000-0005-0000-0000-0000A4050000}"/>
    <cellStyle name="AggOrangeLBorder 3 5" xfId="229" xr:uid="{00000000-0005-0000-0000-0000A5050000}"/>
    <cellStyle name="AggOrangeLBorder 3 6" xfId="1479" xr:uid="{00000000-0005-0000-0000-0000A6050000}"/>
    <cellStyle name="AggOrangeLBorder 3 7" xfId="1712" xr:uid="{00000000-0005-0000-0000-0000A7050000}"/>
    <cellStyle name="AggOrangeLBorder 3 8" xfId="1320" xr:uid="{00000000-0005-0000-0000-0000A8050000}"/>
    <cellStyle name="AggOrangeLBorder 4" xfId="372" xr:uid="{00000000-0005-0000-0000-0000A9050000}"/>
    <cellStyle name="AggOrangeLBorder 4 10" xfId="785" xr:uid="{00000000-0005-0000-0000-0000AA050000}"/>
    <cellStyle name="AggOrangeLBorder 4 11" xfId="2864" xr:uid="{00000000-0005-0000-0000-0000AB050000}"/>
    <cellStyle name="AggOrangeLBorder 4 12" xfId="2902" xr:uid="{00000000-0005-0000-0000-0000AC050000}"/>
    <cellStyle name="AggOrangeLBorder 4 13" xfId="3277" xr:uid="{00000000-0005-0000-0000-0000AD050000}"/>
    <cellStyle name="AggOrangeLBorder 4 14" xfId="3730" xr:uid="{00000000-0005-0000-0000-0000AE050000}"/>
    <cellStyle name="AggOrangeLBorder 4 15" xfId="3765" xr:uid="{00000000-0005-0000-0000-0000AF050000}"/>
    <cellStyle name="AggOrangeLBorder 4 16" xfId="4618" xr:uid="{00000000-0005-0000-0000-0000B0050000}"/>
    <cellStyle name="AggOrangeLBorder 4 17" xfId="4663" xr:uid="{00000000-0005-0000-0000-0000B1050000}"/>
    <cellStyle name="AggOrangeLBorder 4 18" xfId="5482" xr:uid="{00000000-0005-0000-0000-0000B2050000}"/>
    <cellStyle name="AggOrangeLBorder 4 2" xfId="711" xr:uid="{00000000-0005-0000-0000-0000B3050000}"/>
    <cellStyle name="AggOrangeLBorder 4 2 10" xfId="3412" xr:uid="{00000000-0005-0000-0000-0000B4050000}"/>
    <cellStyle name="AggOrangeLBorder 4 2 11" xfId="3982" xr:uid="{00000000-0005-0000-0000-0000B5050000}"/>
    <cellStyle name="AggOrangeLBorder 4 2 12" xfId="3641" xr:uid="{00000000-0005-0000-0000-0000B6050000}"/>
    <cellStyle name="AggOrangeLBorder 4 2 13" xfId="4782" xr:uid="{00000000-0005-0000-0000-0000B7050000}"/>
    <cellStyle name="AggOrangeLBorder 4 2 14" xfId="5162" xr:uid="{00000000-0005-0000-0000-0000B8050000}"/>
    <cellStyle name="AggOrangeLBorder 4 2 15" xfId="5739" xr:uid="{00000000-0005-0000-0000-0000B9050000}"/>
    <cellStyle name="AggOrangeLBorder 4 2 2" xfId="1392" xr:uid="{00000000-0005-0000-0000-0000BA050000}"/>
    <cellStyle name="AggOrangeLBorder 4 2 2 2" xfId="4196" xr:uid="{00000000-0005-0000-0000-0000BB050000}"/>
    <cellStyle name="AggOrangeLBorder 4 2 2 3" xfId="4292" xr:uid="{00000000-0005-0000-0000-0000BC050000}"/>
    <cellStyle name="AggOrangeLBorder 4 2 2 4" xfId="4994" xr:uid="{00000000-0005-0000-0000-0000BD050000}"/>
    <cellStyle name="AggOrangeLBorder 4 2 2 5" xfId="5368" xr:uid="{00000000-0005-0000-0000-0000BE050000}"/>
    <cellStyle name="AggOrangeLBorder 4 2 2 6" xfId="5945" xr:uid="{00000000-0005-0000-0000-0000BF050000}"/>
    <cellStyle name="AggOrangeLBorder 4 2 3" xfId="1626" xr:uid="{00000000-0005-0000-0000-0000C0050000}"/>
    <cellStyle name="AggOrangeLBorder 4 2 4" xfId="1898" xr:uid="{00000000-0005-0000-0000-0000C1050000}"/>
    <cellStyle name="AggOrangeLBorder 4 2 5" xfId="2277" xr:uid="{00000000-0005-0000-0000-0000C2050000}"/>
    <cellStyle name="AggOrangeLBorder 4 2 6" xfId="2456" xr:uid="{00000000-0005-0000-0000-0000C3050000}"/>
    <cellStyle name="AggOrangeLBorder 4 2 7" xfId="2636" xr:uid="{00000000-0005-0000-0000-0000C4050000}"/>
    <cellStyle name="AggOrangeLBorder 4 2 8" xfId="3010" xr:uid="{00000000-0005-0000-0000-0000C5050000}"/>
    <cellStyle name="AggOrangeLBorder 4 2 9" xfId="3178" xr:uid="{00000000-0005-0000-0000-0000C6050000}"/>
    <cellStyle name="AggOrangeLBorder 4 3" xfId="653" xr:uid="{00000000-0005-0000-0000-0000C7050000}"/>
    <cellStyle name="AggOrangeLBorder 4 3 10" xfId="3354" xr:uid="{00000000-0005-0000-0000-0000C8050000}"/>
    <cellStyle name="AggOrangeLBorder 4 3 11" xfId="3924" xr:uid="{00000000-0005-0000-0000-0000C9050000}"/>
    <cellStyle name="AggOrangeLBorder 4 3 12" xfId="4300" xr:uid="{00000000-0005-0000-0000-0000CA050000}"/>
    <cellStyle name="AggOrangeLBorder 4 3 13" xfId="4724" xr:uid="{00000000-0005-0000-0000-0000CB050000}"/>
    <cellStyle name="AggOrangeLBorder 4 3 14" xfId="5104" xr:uid="{00000000-0005-0000-0000-0000CC050000}"/>
    <cellStyle name="AggOrangeLBorder 4 3 15" xfId="5681" xr:uid="{00000000-0005-0000-0000-0000CD050000}"/>
    <cellStyle name="AggOrangeLBorder 4 3 2" xfId="962" xr:uid="{00000000-0005-0000-0000-0000CE050000}"/>
    <cellStyle name="AggOrangeLBorder 4 3 2 2" xfId="4138" xr:uid="{00000000-0005-0000-0000-0000CF050000}"/>
    <cellStyle name="AggOrangeLBorder 4 3 2 3" xfId="4305" xr:uid="{00000000-0005-0000-0000-0000D0050000}"/>
    <cellStyle name="AggOrangeLBorder 4 3 2 4" xfId="4936" xr:uid="{00000000-0005-0000-0000-0000D1050000}"/>
    <cellStyle name="AggOrangeLBorder 4 3 2 5" xfId="5310" xr:uid="{00000000-0005-0000-0000-0000D2050000}"/>
    <cellStyle name="AggOrangeLBorder 4 3 2 6" xfId="5887" xr:uid="{00000000-0005-0000-0000-0000D3050000}"/>
    <cellStyle name="AggOrangeLBorder 4 3 3" xfId="1568" xr:uid="{00000000-0005-0000-0000-0000D4050000}"/>
    <cellStyle name="AggOrangeLBorder 4 3 4" xfId="1121" xr:uid="{00000000-0005-0000-0000-0000D5050000}"/>
    <cellStyle name="AggOrangeLBorder 4 3 5" xfId="1788" xr:uid="{00000000-0005-0000-0000-0000D6050000}"/>
    <cellStyle name="AggOrangeLBorder 4 3 6" xfId="2398" xr:uid="{00000000-0005-0000-0000-0000D7050000}"/>
    <cellStyle name="AggOrangeLBorder 4 3 7" xfId="2578" xr:uid="{00000000-0005-0000-0000-0000D8050000}"/>
    <cellStyle name="AggOrangeLBorder 4 3 8" xfId="2952" xr:uid="{00000000-0005-0000-0000-0000D9050000}"/>
    <cellStyle name="AggOrangeLBorder 4 3 9" xfId="3120" xr:uid="{00000000-0005-0000-0000-0000DA050000}"/>
    <cellStyle name="AggOrangeLBorder 4 4" xfId="674" xr:uid="{00000000-0005-0000-0000-0000DB050000}"/>
    <cellStyle name="AggOrangeLBorder 4 4 10" xfId="3375" xr:uid="{00000000-0005-0000-0000-0000DC050000}"/>
    <cellStyle name="AggOrangeLBorder 4 4 11" xfId="3945" xr:uid="{00000000-0005-0000-0000-0000DD050000}"/>
    <cellStyle name="AggOrangeLBorder 4 4 12" xfId="4351" xr:uid="{00000000-0005-0000-0000-0000DE050000}"/>
    <cellStyle name="AggOrangeLBorder 4 4 13" xfId="4745" xr:uid="{00000000-0005-0000-0000-0000DF050000}"/>
    <cellStyle name="AggOrangeLBorder 4 4 14" xfId="5125" xr:uid="{00000000-0005-0000-0000-0000E0050000}"/>
    <cellStyle name="AggOrangeLBorder 4 4 15" xfId="5702" xr:uid="{00000000-0005-0000-0000-0000E1050000}"/>
    <cellStyle name="AggOrangeLBorder 4 4 2" xfId="1145" xr:uid="{00000000-0005-0000-0000-0000E2050000}"/>
    <cellStyle name="AggOrangeLBorder 4 4 2 2" xfId="4159" xr:uid="{00000000-0005-0000-0000-0000E3050000}"/>
    <cellStyle name="AggOrangeLBorder 4 4 2 3" xfId="3756" xr:uid="{00000000-0005-0000-0000-0000E4050000}"/>
    <cellStyle name="AggOrangeLBorder 4 4 2 4" xfId="4957" xr:uid="{00000000-0005-0000-0000-0000E5050000}"/>
    <cellStyle name="AggOrangeLBorder 4 4 2 5" xfId="5331" xr:uid="{00000000-0005-0000-0000-0000E6050000}"/>
    <cellStyle name="AggOrangeLBorder 4 4 2 6" xfId="5908" xr:uid="{00000000-0005-0000-0000-0000E7050000}"/>
    <cellStyle name="AggOrangeLBorder 4 4 3" xfId="1589" xr:uid="{00000000-0005-0000-0000-0000E8050000}"/>
    <cellStyle name="AggOrangeLBorder 4 4 4" xfId="864" xr:uid="{00000000-0005-0000-0000-0000E9050000}"/>
    <cellStyle name="AggOrangeLBorder 4 4 5" xfId="2066" xr:uid="{00000000-0005-0000-0000-0000EA050000}"/>
    <cellStyle name="AggOrangeLBorder 4 4 6" xfId="2419" xr:uid="{00000000-0005-0000-0000-0000EB050000}"/>
    <cellStyle name="AggOrangeLBorder 4 4 7" xfId="2599" xr:uid="{00000000-0005-0000-0000-0000EC050000}"/>
    <cellStyle name="AggOrangeLBorder 4 4 8" xfId="2973" xr:uid="{00000000-0005-0000-0000-0000ED050000}"/>
    <cellStyle name="AggOrangeLBorder 4 4 9" xfId="3141" xr:uid="{00000000-0005-0000-0000-0000EE050000}"/>
    <cellStyle name="AggOrangeLBorder 4 5" xfId="1112" xr:uid="{00000000-0005-0000-0000-0000EF050000}"/>
    <cellStyle name="AggOrangeLBorder 4 5 2" xfId="4067" xr:uid="{00000000-0005-0000-0000-0000F0050000}"/>
    <cellStyle name="AggOrangeLBorder 4 6" xfId="1023" xr:uid="{00000000-0005-0000-0000-0000F1050000}"/>
    <cellStyle name="AggOrangeLBorder 4 7" xfId="1317" xr:uid="{00000000-0005-0000-0000-0000F2050000}"/>
    <cellStyle name="AggOrangeLBorder 4 8" xfId="152" xr:uid="{00000000-0005-0000-0000-0000F3050000}"/>
    <cellStyle name="AggOrangeLBorder 4 9" xfId="2190" xr:uid="{00000000-0005-0000-0000-0000F4050000}"/>
    <cellStyle name="AggOrangeLBorder 5" xfId="983" xr:uid="{00000000-0005-0000-0000-0000F5050000}"/>
    <cellStyle name="AggOrangeRBorder" xfId="49" xr:uid="{00000000-0005-0000-0000-0000F6050000}"/>
    <cellStyle name="AggOrangeRBorder 2" xfId="50" xr:uid="{00000000-0005-0000-0000-0000F7050000}"/>
    <cellStyle name="AggOrangeRBorder 2 2" xfId="517" xr:uid="{00000000-0005-0000-0000-0000F8050000}"/>
    <cellStyle name="AggOrangeRBorder 2 2 2" xfId="629" xr:uid="{00000000-0005-0000-0000-0000F9050000}"/>
    <cellStyle name="AggOrangeRBorder 2 2 2 10" xfId="3330" xr:uid="{00000000-0005-0000-0000-0000FA050000}"/>
    <cellStyle name="AggOrangeRBorder 2 2 2 11" xfId="3900" xr:uid="{00000000-0005-0000-0000-0000FB050000}"/>
    <cellStyle name="AggOrangeRBorder 2 2 2 12" xfId="3688" xr:uid="{00000000-0005-0000-0000-0000FC050000}"/>
    <cellStyle name="AggOrangeRBorder 2 2 2 13" xfId="4700" xr:uid="{00000000-0005-0000-0000-0000FD050000}"/>
    <cellStyle name="AggOrangeRBorder 2 2 2 14" xfId="5080" xr:uid="{00000000-0005-0000-0000-0000FE050000}"/>
    <cellStyle name="AggOrangeRBorder 2 2 2 15" xfId="5657" xr:uid="{00000000-0005-0000-0000-0000FF050000}"/>
    <cellStyle name="AggOrangeRBorder 2 2 2 2" xfId="1155" xr:uid="{00000000-0005-0000-0000-000000060000}"/>
    <cellStyle name="AggOrangeRBorder 2 2 2 2 2" xfId="4114" xr:uid="{00000000-0005-0000-0000-000001060000}"/>
    <cellStyle name="AggOrangeRBorder 2 2 2 2 3" xfId="3875" xr:uid="{00000000-0005-0000-0000-000002060000}"/>
    <cellStyle name="AggOrangeRBorder 2 2 2 2 4" xfId="4912" xr:uid="{00000000-0005-0000-0000-000003060000}"/>
    <cellStyle name="AggOrangeRBorder 2 2 2 2 5" xfId="5286" xr:uid="{00000000-0005-0000-0000-000004060000}"/>
    <cellStyle name="AggOrangeRBorder 2 2 2 2 6" xfId="5863" xr:uid="{00000000-0005-0000-0000-000005060000}"/>
    <cellStyle name="AggOrangeRBorder 2 2 2 3" xfId="1544" xr:uid="{00000000-0005-0000-0000-000006060000}"/>
    <cellStyle name="AggOrangeRBorder 2 2 2 4" xfId="843" xr:uid="{00000000-0005-0000-0000-000007060000}"/>
    <cellStyle name="AggOrangeRBorder 2 2 2 5" xfId="1785" xr:uid="{00000000-0005-0000-0000-000008060000}"/>
    <cellStyle name="AggOrangeRBorder 2 2 2 6" xfId="2374" xr:uid="{00000000-0005-0000-0000-000009060000}"/>
    <cellStyle name="AggOrangeRBorder 2 2 2 7" xfId="2554" xr:uid="{00000000-0005-0000-0000-00000A060000}"/>
    <cellStyle name="AggOrangeRBorder 2 2 2 8" xfId="2928" xr:uid="{00000000-0005-0000-0000-00000B060000}"/>
    <cellStyle name="AggOrangeRBorder 2 2 2 9" xfId="3096" xr:uid="{00000000-0005-0000-0000-00000C060000}"/>
    <cellStyle name="AggOrangeRBorder 2 2 3" xfId="1353" xr:uid="{00000000-0005-0000-0000-00000D060000}"/>
    <cellStyle name="AggOrangeRBorder 2 3" xfId="375" xr:uid="{00000000-0005-0000-0000-00000E060000}"/>
    <cellStyle name="AggOrangeRBorder 2 3 10" xfId="2143" xr:uid="{00000000-0005-0000-0000-00000F060000}"/>
    <cellStyle name="AggOrangeRBorder 2 3 11" xfId="2867" xr:uid="{00000000-0005-0000-0000-000010060000}"/>
    <cellStyle name="AggOrangeRBorder 2 3 12" xfId="2822" xr:uid="{00000000-0005-0000-0000-000011060000}"/>
    <cellStyle name="AggOrangeRBorder 2 3 13" xfId="3280" xr:uid="{00000000-0005-0000-0000-000012060000}"/>
    <cellStyle name="AggOrangeRBorder 2 3 14" xfId="3733" xr:uid="{00000000-0005-0000-0000-000013060000}"/>
    <cellStyle name="AggOrangeRBorder 2 3 15" xfId="4393" xr:uid="{00000000-0005-0000-0000-000014060000}"/>
    <cellStyle name="AggOrangeRBorder 2 3 16" xfId="4621" xr:uid="{00000000-0005-0000-0000-000015060000}"/>
    <cellStyle name="AggOrangeRBorder 2 3 17" xfId="4543" xr:uid="{00000000-0005-0000-0000-000016060000}"/>
    <cellStyle name="AggOrangeRBorder 2 3 18" xfId="5485" xr:uid="{00000000-0005-0000-0000-000017060000}"/>
    <cellStyle name="AggOrangeRBorder 2 3 2" xfId="714" xr:uid="{00000000-0005-0000-0000-000018060000}"/>
    <cellStyle name="AggOrangeRBorder 2 3 2 10" xfId="3415" xr:uid="{00000000-0005-0000-0000-000019060000}"/>
    <cellStyle name="AggOrangeRBorder 2 3 2 11" xfId="3985" xr:uid="{00000000-0005-0000-0000-00001A060000}"/>
    <cellStyle name="AggOrangeRBorder 2 3 2 12" xfId="3552" xr:uid="{00000000-0005-0000-0000-00001B060000}"/>
    <cellStyle name="AggOrangeRBorder 2 3 2 13" xfId="4785" xr:uid="{00000000-0005-0000-0000-00001C060000}"/>
    <cellStyle name="AggOrangeRBorder 2 3 2 14" xfId="5165" xr:uid="{00000000-0005-0000-0000-00001D060000}"/>
    <cellStyle name="AggOrangeRBorder 2 3 2 15" xfId="5742" xr:uid="{00000000-0005-0000-0000-00001E060000}"/>
    <cellStyle name="AggOrangeRBorder 2 3 2 2" xfId="1395" xr:uid="{00000000-0005-0000-0000-00001F060000}"/>
    <cellStyle name="AggOrangeRBorder 2 3 2 2 2" xfId="4199" xr:uid="{00000000-0005-0000-0000-000020060000}"/>
    <cellStyle name="AggOrangeRBorder 2 3 2 2 3" xfId="3884" xr:uid="{00000000-0005-0000-0000-000021060000}"/>
    <cellStyle name="AggOrangeRBorder 2 3 2 2 4" xfId="4997" xr:uid="{00000000-0005-0000-0000-000022060000}"/>
    <cellStyle name="AggOrangeRBorder 2 3 2 2 5" xfId="5371" xr:uid="{00000000-0005-0000-0000-000023060000}"/>
    <cellStyle name="AggOrangeRBorder 2 3 2 2 6" xfId="5948" xr:uid="{00000000-0005-0000-0000-000024060000}"/>
    <cellStyle name="AggOrangeRBorder 2 3 2 3" xfId="1629" xr:uid="{00000000-0005-0000-0000-000025060000}"/>
    <cellStyle name="AggOrangeRBorder 2 3 2 4" xfId="1901" xr:uid="{00000000-0005-0000-0000-000026060000}"/>
    <cellStyle name="AggOrangeRBorder 2 3 2 5" xfId="2280" xr:uid="{00000000-0005-0000-0000-000027060000}"/>
    <cellStyle name="AggOrangeRBorder 2 3 2 6" xfId="2459" xr:uid="{00000000-0005-0000-0000-000028060000}"/>
    <cellStyle name="AggOrangeRBorder 2 3 2 7" xfId="2639" xr:uid="{00000000-0005-0000-0000-000029060000}"/>
    <cellStyle name="AggOrangeRBorder 2 3 2 8" xfId="3013" xr:uid="{00000000-0005-0000-0000-00002A060000}"/>
    <cellStyle name="AggOrangeRBorder 2 3 2 9" xfId="3181" xr:uid="{00000000-0005-0000-0000-00002B060000}"/>
    <cellStyle name="AggOrangeRBorder 2 3 3" xfId="690" xr:uid="{00000000-0005-0000-0000-00002C060000}"/>
    <cellStyle name="AggOrangeRBorder 2 3 3 10" xfId="3391" xr:uid="{00000000-0005-0000-0000-00002D060000}"/>
    <cellStyle name="AggOrangeRBorder 2 3 3 11" xfId="3961" xr:uid="{00000000-0005-0000-0000-00002E060000}"/>
    <cellStyle name="AggOrangeRBorder 2 3 3 12" xfId="4481" xr:uid="{00000000-0005-0000-0000-00002F060000}"/>
    <cellStyle name="AggOrangeRBorder 2 3 3 13" xfId="4761" xr:uid="{00000000-0005-0000-0000-000030060000}"/>
    <cellStyle name="AggOrangeRBorder 2 3 3 14" xfId="5141" xr:uid="{00000000-0005-0000-0000-000031060000}"/>
    <cellStyle name="AggOrangeRBorder 2 3 3 15" xfId="5718" xr:uid="{00000000-0005-0000-0000-000032060000}"/>
    <cellStyle name="AggOrangeRBorder 2 3 3 2" xfId="1100" xr:uid="{00000000-0005-0000-0000-000033060000}"/>
    <cellStyle name="AggOrangeRBorder 2 3 3 2 2" xfId="4175" xr:uid="{00000000-0005-0000-0000-000034060000}"/>
    <cellStyle name="AggOrangeRBorder 2 3 3 2 3" xfId="3667" xr:uid="{00000000-0005-0000-0000-000035060000}"/>
    <cellStyle name="AggOrangeRBorder 2 3 3 2 4" xfId="4973" xr:uid="{00000000-0005-0000-0000-000036060000}"/>
    <cellStyle name="AggOrangeRBorder 2 3 3 2 5" xfId="5347" xr:uid="{00000000-0005-0000-0000-000037060000}"/>
    <cellStyle name="AggOrangeRBorder 2 3 3 2 6" xfId="5924" xr:uid="{00000000-0005-0000-0000-000038060000}"/>
    <cellStyle name="AggOrangeRBorder 2 3 3 3" xfId="1605" xr:uid="{00000000-0005-0000-0000-000039060000}"/>
    <cellStyle name="AggOrangeRBorder 2 3 3 4" xfId="1877" xr:uid="{00000000-0005-0000-0000-00003A060000}"/>
    <cellStyle name="AggOrangeRBorder 2 3 3 5" xfId="2060" xr:uid="{00000000-0005-0000-0000-00003B060000}"/>
    <cellStyle name="AggOrangeRBorder 2 3 3 6" xfId="2435" xr:uid="{00000000-0005-0000-0000-00003C060000}"/>
    <cellStyle name="AggOrangeRBorder 2 3 3 7" xfId="2615" xr:uid="{00000000-0005-0000-0000-00003D060000}"/>
    <cellStyle name="AggOrangeRBorder 2 3 3 8" xfId="2989" xr:uid="{00000000-0005-0000-0000-00003E060000}"/>
    <cellStyle name="AggOrangeRBorder 2 3 3 9" xfId="3157" xr:uid="{00000000-0005-0000-0000-00003F060000}"/>
    <cellStyle name="AggOrangeRBorder 2 3 4" xfId="672" xr:uid="{00000000-0005-0000-0000-000040060000}"/>
    <cellStyle name="AggOrangeRBorder 2 3 4 10" xfId="3373" xr:uid="{00000000-0005-0000-0000-000041060000}"/>
    <cellStyle name="AggOrangeRBorder 2 3 4 11" xfId="3943" xr:uid="{00000000-0005-0000-0000-000042060000}"/>
    <cellStyle name="AggOrangeRBorder 2 3 4 12" xfId="3570" xr:uid="{00000000-0005-0000-0000-000043060000}"/>
    <cellStyle name="AggOrangeRBorder 2 3 4 13" xfId="4743" xr:uid="{00000000-0005-0000-0000-000044060000}"/>
    <cellStyle name="AggOrangeRBorder 2 3 4 14" xfId="5123" xr:uid="{00000000-0005-0000-0000-000045060000}"/>
    <cellStyle name="AggOrangeRBorder 2 3 4 15" xfId="5700" xr:uid="{00000000-0005-0000-0000-000046060000}"/>
    <cellStyle name="AggOrangeRBorder 2 3 4 2" xfId="1079" xr:uid="{00000000-0005-0000-0000-000047060000}"/>
    <cellStyle name="AggOrangeRBorder 2 3 4 2 2" xfId="4157" xr:uid="{00000000-0005-0000-0000-000048060000}"/>
    <cellStyle name="AggOrangeRBorder 2 3 4 2 3" xfId="3767" xr:uid="{00000000-0005-0000-0000-000049060000}"/>
    <cellStyle name="AggOrangeRBorder 2 3 4 2 4" xfId="4955" xr:uid="{00000000-0005-0000-0000-00004A060000}"/>
    <cellStyle name="AggOrangeRBorder 2 3 4 2 5" xfId="5329" xr:uid="{00000000-0005-0000-0000-00004B060000}"/>
    <cellStyle name="AggOrangeRBorder 2 3 4 2 6" xfId="5906" xr:uid="{00000000-0005-0000-0000-00004C060000}"/>
    <cellStyle name="AggOrangeRBorder 2 3 4 3" xfId="1587" xr:uid="{00000000-0005-0000-0000-00004D060000}"/>
    <cellStyle name="AggOrangeRBorder 2 3 4 4" xfId="822" xr:uid="{00000000-0005-0000-0000-00004E060000}"/>
    <cellStyle name="AggOrangeRBorder 2 3 4 5" xfId="1003" xr:uid="{00000000-0005-0000-0000-00004F060000}"/>
    <cellStyle name="AggOrangeRBorder 2 3 4 6" xfId="2417" xr:uid="{00000000-0005-0000-0000-000050060000}"/>
    <cellStyle name="AggOrangeRBorder 2 3 4 7" xfId="2597" xr:uid="{00000000-0005-0000-0000-000051060000}"/>
    <cellStyle name="AggOrangeRBorder 2 3 4 8" xfId="2971" xr:uid="{00000000-0005-0000-0000-000052060000}"/>
    <cellStyle name="AggOrangeRBorder 2 3 4 9" xfId="3139" xr:uid="{00000000-0005-0000-0000-000053060000}"/>
    <cellStyle name="AggOrangeRBorder 2 3 5" xfId="937" xr:uid="{00000000-0005-0000-0000-000054060000}"/>
    <cellStyle name="AggOrangeRBorder 2 3 5 2" xfId="4070" xr:uid="{00000000-0005-0000-0000-000055060000}"/>
    <cellStyle name="AggOrangeRBorder 2 3 5 3" xfId="4870" xr:uid="{00000000-0005-0000-0000-000056060000}"/>
    <cellStyle name="AggOrangeRBorder 2 3 6" xfId="1118" xr:uid="{00000000-0005-0000-0000-000057060000}"/>
    <cellStyle name="AggOrangeRBorder 2 3 7" xfId="895" xr:uid="{00000000-0005-0000-0000-000058060000}"/>
    <cellStyle name="AggOrangeRBorder 2 3 8" xfId="2044" xr:uid="{00000000-0005-0000-0000-000059060000}"/>
    <cellStyle name="AggOrangeRBorder 2 3 9" xfId="1358" xr:uid="{00000000-0005-0000-0000-00005A060000}"/>
    <cellStyle name="AggOrangeRBorder 2 4" xfId="155" xr:uid="{00000000-0005-0000-0000-00005B060000}"/>
    <cellStyle name="AggOrangeRBorder 3" xfId="516" xr:uid="{00000000-0005-0000-0000-00005C060000}"/>
    <cellStyle name="AggOrangeRBorder 3 2" xfId="748" xr:uid="{00000000-0005-0000-0000-00005D060000}"/>
    <cellStyle name="AggOrangeRBorder 3 2 10" xfId="3449" xr:uid="{00000000-0005-0000-0000-00005E060000}"/>
    <cellStyle name="AggOrangeRBorder 3 2 11" xfId="3569" xr:uid="{00000000-0005-0000-0000-00005F060000}"/>
    <cellStyle name="AggOrangeRBorder 3 2 2" xfId="1429" xr:uid="{00000000-0005-0000-0000-000060060000}"/>
    <cellStyle name="AggOrangeRBorder 3 2 2 2" xfId="4019" xr:uid="{00000000-0005-0000-0000-000061060000}"/>
    <cellStyle name="AggOrangeRBorder 3 2 2 3" xfId="4271" xr:uid="{00000000-0005-0000-0000-000062060000}"/>
    <cellStyle name="AggOrangeRBorder 3 2 2 4" xfId="4819" xr:uid="{00000000-0005-0000-0000-000063060000}"/>
    <cellStyle name="AggOrangeRBorder 3 2 2 5" xfId="5199" xr:uid="{00000000-0005-0000-0000-000064060000}"/>
    <cellStyle name="AggOrangeRBorder 3 2 2 6" xfId="5776" xr:uid="{00000000-0005-0000-0000-000065060000}"/>
    <cellStyle name="AggOrangeRBorder 3 2 3" xfId="1663" xr:uid="{00000000-0005-0000-0000-000066060000}"/>
    <cellStyle name="AggOrangeRBorder 3 2 3 2" xfId="4233" xr:uid="{00000000-0005-0000-0000-000067060000}"/>
    <cellStyle name="AggOrangeRBorder 3 2 3 3" xfId="4296" xr:uid="{00000000-0005-0000-0000-000068060000}"/>
    <cellStyle name="AggOrangeRBorder 3 2 3 4" xfId="5031" xr:uid="{00000000-0005-0000-0000-000069060000}"/>
    <cellStyle name="AggOrangeRBorder 3 2 3 5" xfId="5405" xr:uid="{00000000-0005-0000-0000-00006A060000}"/>
    <cellStyle name="AggOrangeRBorder 3 2 3 6" xfId="5982" xr:uid="{00000000-0005-0000-0000-00006B060000}"/>
    <cellStyle name="AggOrangeRBorder 3 2 4" xfId="1935" xr:uid="{00000000-0005-0000-0000-00006C060000}"/>
    <cellStyle name="AggOrangeRBorder 3 2 5" xfId="2314" xr:uid="{00000000-0005-0000-0000-00006D060000}"/>
    <cellStyle name="AggOrangeRBorder 3 2 6" xfId="2493" xr:uid="{00000000-0005-0000-0000-00006E060000}"/>
    <cellStyle name="AggOrangeRBorder 3 2 7" xfId="2673" xr:uid="{00000000-0005-0000-0000-00006F060000}"/>
    <cellStyle name="AggOrangeRBorder 3 2 8" xfId="3047" xr:uid="{00000000-0005-0000-0000-000070060000}"/>
    <cellStyle name="AggOrangeRBorder 3 2 9" xfId="3215" xr:uid="{00000000-0005-0000-0000-000071060000}"/>
    <cellStyle name="AggOrangeRBorder 3 3" xfId="1364" xr:uid="{00000000-0005-0000-0000-000072060000}"/>
    <cellStyle name="AggOrangeRBorder 4" xfId="374" xr:uid="{00000000-0005-0000-0000-000073060000}"/>
    <cellStyle name="AggOrangeRBorder 4 10" xfId="1819" xr:uid="{00000000-0005-0000-0000-000074060000}"/>
    <cellStyle name="AggOrangeRBorder 4 11" xfId="2866" xr:uid="{00000000-0005-0000-0000-000075060000}"/>
    <cellStyle name="AggOrangeRBorder 4 12" xfId="2823" xr:uid="{00000000-0005-0000-0000-000076060000}"/>
    <cellStyle name="AggOrangeRBorder 4 13" xfId="3279" xr:uid="{00000000-0005-0000-0000-000077060000}"/>
    <cellStyle name="AggOrangeRBorder 4 14" xfId="3732" xr:uid="{00000000-0005-0000-0000-000078060000}"/>
    <cellStyle name="AggOrangeRBorder 4 15" xfId="3748" xr:uid="{00000000-0005-0000-0000-000079060000}"/>
    <cellStyle name="AggOrangeRBorder 4 16" xfId="4620" xr:uid="{00000000-0005-0000-0000-00007A060000}"/>
    <cellStyle name="AggOrangeRBorder 4 17" xfId="4587" xr:uid="{00000000-0005-0000-0000-00007B060000}"/>
    <cellStyle name="AggOrangeRBorder 4 18" xfId="5484" xr:uid="{00000000-0005-0000-0000-00007C060000}"/>
    <cellStyle name="AggOrangeRBorder 4 2" xfId="713" xr:uid="{00000000-0005-0000-0000-00007D060000}"/>
    <cellStyle name="AggOrangeRBorder 4 2 10" xfId="3414" xr:uid="{00000000-0005-0000-0000-00007E060000}"/>
    <cellStyle name="AggOrangeRBorder 4 2 11" xfId="3984" xr:uid="{00000000-0005-0000-0000-00007F060000}"/>
    <cellStyle name="AggOrangeRBorder 4 2 12" xfId="3623" xr:uid="{00000000-0005-0000-0000-000080060000}"/>
    <cellStyle name="AggOrangeRBorder 4 2 13" xfId="4784" xr:uid="{00000000-0005-0000-0000-000081060000}"/>
    <cellStyle name="AggOrangeRBorder 4 2 14" xfId="5164" xr:uid="{00000000-0005-0000-0000-000082060000}"/>
    <cellStyle name="AggOrangeRBorder 4 2 15" xfId="5741" xr:uid="{00000000-0005-0000-0000-000083060000}"/>
    <cellStyle name="AggOrangeRBorder 4 2 2" xfId="1394" xr:uid="{00000000-0005-0000-0000-000084060000}"/>
    <cellStyle name="AggOrangeRBorder 4 2 2 2" xfId="4198" xr:uid="{00000000-0005-0000-0000-000085060000}"/>
    <cellStyle name="AggOrangeRBorder 4 2 2 3" xfId="3551" xr:uid="{00000000-0005-0000-0000-000086060000}"/>
    <cellStyle name="AggOrangeRBorder 4 2 2 4" xfId="4996" xr:uid="{00000000-0005-0000-0000-000087060000}"/>
    <cellStyle name="AggOrangeRBorder 4 2 2 5" xfId="5370" xr:uid="{00000000-0005-0000-0000-000088060000}"/>
    <cellStyle name="AggOrangeRBorder 4 2 2 6" xfId="5947" xr:uid="{00000000-0005-0000-0000-000089060000}"/>
    <cellStyle name="AggOrangeRBorder 4 2 3" xfId="1628" xr:uid="{00000000-0005-0000-0000-00008A060000}"/>
    <cellStyle name="AggOrangeRBorder 4 2 4" xfId="1900" xr:uid="{00000000-0005-0000-0000-00008B060000}"/>
    <cellStyle name="AggOrangeRBorder 4 2 5" xfId="2279" xr:uid="{00000000-0005-0000-0000-00008C060000}"/>
    <cellStyle name="AggOrangeRBorder 4 2 6" xfId="2458" xr:uid="{00000000-0005-0000-0000-00008D060000}"/>
    <cellStyle name="AggOrangeRBorder 4 2 7" xfId="2638" xr:uid="{00000000-0005-0000-0000-00008E060000}"/>
    <cellStyle name="AggOrangeRBorder 4 2 8" xfId="3012" xr:uid="{00000000-0005-0000-0000-00008F060000}"/>
    <cellStyle name="AggOrangeRBorder 4 2 9" xfId="3180" xr:uid="{00000000-0005-0000-0000-000090060000}"/>
    <cellStyle name="AggOrangeRBorder 4 3" xfId="746" xr:uid="{00000000-0005-0000-0000-000091060000}"/>
    <cellStyle name="AggOrangeRBorder 4 3 10" xfId="3447" xr:uid="{00000000-0005-0000-0000-000092060000}"/>
    <cellStyle name="AggOrangeRBorder 4 3 11" xfId="4017" xr:uid="{00000000-0005-0000-0000-000093060000}"/>
    <cellStyle name="AggOrangeRBorder 4 3 12" xfId="4431" xr:uid="{00000000-0005-0000-0000-000094060000}"/>
    <cellStyle name="AggOrangeRBorder 4 3 13" xfId="4817" xr:uid="{00000000-0005-0000-0000-000095060000}"/>
    <cellStyle name="AggOrangeRBorder 4 3 14" xfId="5197" xr:uid="{00000000-0005-0000-0000-000096060000}"/>
    <cellStyle name="AggOrangeRBorder 4 3 15" xfId="5774" xr:uid="{00000000-0005-0000-0000-000097060000}"/>
    <cellStyle name="AggOrangeRBorder 4 3 2" xfId="1427" xr:uid="{00000000-0005-0000-0000-000098060000}"/>
    <cellStyle name="AggOrangeRBorder 4 3 2 2" xfId="4231" xr:uid="{00000000-0005-0000-0000-000099060000}"/>
    <cellStyle name="AggOrangeRBorder 4 3 2 3" xfId="3721" xr:uid="{00000000-0005-0000-0000-00009A060000}"/>
    <cellStyle name="AggOrangeRBorder 4 3 2 4" xfId="5029" xr:uid="{00000000-0005-0000-0000-00009B060000}"/>
    <cellStyle name="AggOrangeRBorder 4 3 2 5" xfId="5403" xr:uid="{00000000-0005-0000-0000-00009C060000}"/>
    <cellStyle name="AggOrangeRBorder 4 3 2 6" xfId="5980" xr:uid="{00000000-0005-0000-0000-00009D060000}"/>
    <cellStyle name="AggOrangeRBorder 4 3 3" xfId="1661" xr:uid="{00000000-0005-0000-0000-00009E060000}"/>
    <cellStyle name="AggOrangeRBorder 4 3 4" xfId="1933" xr:uid="{00000000-0005-0000-0000-00009F060000}"/>
    <cellStyle name="AggOrangeRBorder 4 3 5" xfId="2312" xr:uid="{00000000-0005-0000-0000-0000A0060000}"/>
    <cellStyle name="AggOrangeRBorder 4 3 6" xfId="2491" xr:uid="{00000000-0005-0000-0000-0000A1060000}"/>
    <cellStyle name="AggOrangeRBorder 4 3 7" xfId="2671" xr:uid="{00000000-0005-0000-0000-0000A2060000}"/>
    <cellStyle name="AggOrangeRBorder 4 3 8" xfId="3045" xr:uid="{00000000-0005-0000-0000-0000A3060000}"/>
    <cellStyle name="AggOrangeRBorder 4 3 9" xfId="3213" xr:uid="{00000000-0005-0000-0000-0000A4060000}"/>
    <cellStyle name="AggOrangeRBorder 4 4" xfId="767" xr:uid="{00000000-0005-0000-0000-0000A5060000}"/>
    <cellStyle name="AggOrangeRBorder 4 4 10" xfId="3468" xr:uid="{00000000-0005-0000-0000-0000A6060000}"/>
    <cellStyle name="AggOrangeRBorder 4 4 11" xfId="4038" xr:uid="{00000000-0005-0000-0000-0000A7060000}"/>
    <cellStyle name="AggOrangeRBorder 4 4 12" xfId="4365" xr:uid="{00000000-0005-0000-0000-0000A8060000}"/>
    <cellStyle name="AggOrangeRBorder 4 4 13" xfId="4838" xr:uid="{00000000-0005-0000-0000-0000A9060000}"/>
    <cellStyle name="AggOrangeRBorder 4 4 14" xfId="5218" xr:uid="{00000000-0005-0000-0000-0000AA060000}"/>
    <cellStyle name="AggOrangeRBorder 4 4 15" xfId="5795" xr:uid="{00000000-0005-0000-0000-0000AB060000}"/>
    <cellStyle name="AggOrangeRBorder 4 4 2" xfId="1448" xr:uid="{00000000-0005-0000-0000-0000AC060000}"/>
    <cellStyle name="AggOrangeRBorder 4 4 2 2" xfId="4252" xr:uid="{00000000-0005-0000-0000-0000AD060000}"/>
    <cellStyle name="AggOrangeRBorder 4 4 2 3" xfId="4511" xr:uid="{00000000-0005-0000-0000-0000AE060000}"/>
    <cellStyle name="AggOrangeRBorder 4 4 2 4" xfId="5050" xr:uid="{00000000-0005-0000-0000-0000AF060000}"/>
    <cellStyle name="AggOrangeRBorder 4 4 2 5" xfId="5424" xr:uid="{00000000-0005-0000-0000-0000B0060000}"/>
    <cellStyle name="AggOrangeRBorder 4 4 2 6" xfId="6001" xr:uid="{00000000-0005-0000-0000-0000B1060000}"/>
    <cellStyle name="AggOrangeRBorder 4 4 3" xfId="1682" xr:uid="{00000000-0005-0000-0000-0000B2060000}"/>
    <cellStyle name="AggOrangeRBorder 4 4 4" xfId="1954" xr:uid="{00000000-0005-0000-0000-0000B3060000}"/>
    <cellStyle name="AggOrangeRBorder 4 4 5" xfId="2333" xr:uid="{00000000-0005-0000-0000-0000B4060000}"/>
    <cellStyle name="AggOrangeRBorder 4 4 6" xfId="2512" xr:uid="{00000000-0005-0000-0000-0000B5060000}"/>
    <cellStyle name="AggOrangeRBorder 4 4 7" xfId="2692" xr:uid="{00000000-0005-0000-0000-0000B6060000}"/>
    <cellStyle name="AggOrangeRBorder 4 4 8" xfId="3066" xr:uid="{00000000-0005-0000-0000-0000B7060000}"/>
    <cellStyle name="AggOrangeRBorder 4 4 9" xfId="3234" xr:uid="{00000000-0005-0000-0000-0000B8060000}"/>
    <cellStyle name="AggOrangeRBorder 4 5" xfId="1253" xr:uid="{00000000-0005-0000-0000-0000B9060000}"/>
    <cellStyle name="AggOrangeRBorder 4 5 2" xfId="4069" xr:uid="{00000000-0005-0000-0000-0000BA060000}"/>
    <cellStyle name="AggOrangeRBorder 4 5 3" xfId="4869" xr:uid="{00000000-0005-0000-0000-0000BB060000}"/>
    <cellStyle name="AggOrangeRBorder 4 6" xfId="986" xr:uid="{00000000-0005-0000-0000-0000BC060000}"/>
    <cellStyle name="AggOrangeRBorder 4 7" xfId="1285" xr:uid="{00000000-0005-0000-0000-0000BD060000}"/>
    <cellStyle name="AggOrangeRBorder 4 8" xfId="230" xr:uid="{00000000-0005-0000-0000-0000BE060000}"/>
    <cellStyle name="AggOrangeRBorder 4 9" xfId="2201" xr:uid="{00000000-0005-0000-0000-0000BF060000}"/>
    <cellStyle name="AggOrangeRBorder 5" xfId="874" xr:uid="{00000000-0005-0000-0000-0000C0060000}"/>
    <cellStyle name="AggOrangeRBorder 5 2" xfId="4577" xr:uid="{00000000-0005-0000-0000-0000C1060000}"/>
    <cellStyle name="AggOrangeRBorder_CRFReport-template" xfId="160" xr:uid="{00000000-0005-0000-0000-0000C2060000}"/>
    <cellStyle name="Akzent1" xfId="215" xr:uid="{00000000-0005-0000-0000-0000C3060000}"/>
    <cellStyle name="Akzent2" xfId="216" xr:uid="{00000000-0005-0000-0000-0000C4060000}"/>
    <cellStyle name="Akzent3" xfId="217" xr:uid="{00000000-0005-0000-0000-0000C5060000}"/>
    <cellStyle name="Akzent4" xfId="218" xr:uid="{00000000-0005-0000-0000-0000C6060000}"/>
    <cellStyle name="Akzent5" xfId="219" xr:uid="{00000000-0005-0000-0000-0000C7060000}"/>
    <cellStyle name="Akzent6" xfId="220" xr:uid="{00000000-0005-0000-0000-0000C8060000}"/>
    <cellStyle name="Ausgabe" xfId="221" xr:uid="{00000000-0005-0000-0000-0000C9060000}"/>
    <cellStyle name="Ausgabe 10" xfId="1728" xr:uid="{00000000-0005-0000-0000-0000CA060000}"/>
    <cellStyle name="Ausgabe 11" xfId="989" xr:uid="{00000000-0005-0000-0000-0000CB060000}"/>
    <cellStyle name="Ausgabe 12" xfId="1983" xr:uid="{00000000-0005-0000-0000-0000CC060000}"/>
    <cellStyle name="Ausgabe 13" xfId="1488" xr:uid="{00000000-0005-0000-0000-0000CD060000}"/>
    <cellStyle name="Ausgabe 14" xfId="1046" xr:uid="{00000000-0005-0000-0000-0000CE060000}"/>
    <cellStyle name="Ausgabe 15" xfId="2354" xr:uid="{00000000-0005-0000-0000-0000CF060000}"/>
    <cellStyle name="Ausgabe 16" xfId="1177" xr:uid="{00000000-0005-0000-0000-0000D0060000}"/>
    <cellStyle name="Ausgabe 17" xfId="2711" xr:uid="{00000000-0005-0000-0000-0000D1060000}"/>
    <cellStyle name="Ausgabe 18" xfId="2835" xr:uid="{00000000-0005-0000-0000-0000D2060000}"/>
    <cellStyle name="Ausgabe 19" xfId="2911" xr:uid="{00000000-0005-0000-0000-0000D3060000}"/>
    <cellStyle name="Ausgabe 2" xfId="495" xr:uid="{00000000-0005-0000-0000-0000D4060000}"/>
    <cellStyle name="Ausgabe 2 10" xfId="2004" xr:uid="{00000000-0005-0000-0000-0000D5060000}"/>
    <cellStyle name="Ausgabe 2 11" xfId="1990" xr:uid="{00000000-0005-0000-0000-0000D6060000}"/>
    <cellStyle name="Ausgabe 2 12" xfId="2239" xr:uid="{00000000-0005-0000-0000-0000D7060000}"/>
    <cellStyle name="Ausgabe 2 13" xfId="1715" xr:uid="{00000000-0005-0000-0000-0000D8060000}"/>
    <cellStyle name="Ausgabe 2 14" xfId="2016" xr:uid="{00000000-0005-0000-0000-0000D9060000}"/>
    <cellStyle name="Ausgabe 2 15" xfId="941" xr:uid="{00000000-0005-0000-0000-0000DA060000}"/>
    <cellStyle name="Ausgabe 2 16" xfId="2890" xr:uid="{00000000-0005-0000-0000-0000DB060000}"/>
    <cellStyle name="Ausgabe 2 17" xfId="2816" xr:uid="{00000000-0005-0000-0000-0000DC060000}"/>
    <cellStyle name="Ausgabe 2 18" xfId="3301" xr:uid="{00000000-0005-0000-0000-0000DD060000}"/>
    <cellStyle name="Ausgabe 2 19" xfId="3808" xr:uid="{00000000-0005-0000-0000-0000DE060000}"/>
    <cellStyle name="Ausgabe 2 2" xfId="751" xr:uid="{00000000-0005-0000-0000-0000DF060000}"/>
    <cellStyle name="Ausgabe 2 2 10" xfId="2247" xr:uid="{00000000-0005-0000-0000-0000E0060000}"/>
    <cellStyle name="Ausgabe 2 2 11" xfId="2317" xr:uid="{00000000-0005-0000-0000-0000E1060000}"/>
    <cellStyle name="Ausgabe 2 2 12" xfId="2496" xr:uid="{00000000-0005-0000-0000-0000E2060000}"/>
    <cellStyle name="Ausgabe 2 2 13" xfId="2676" xr:uid="{00000000-0005-0000-0000-0000E3060000}"/>
    <cellStyle name="Ausgabe 2 2 14" xfId="2765" xr:uid="{00000000-0005-0000-0000-0000E4060000}"/>
    <cellStyle name="Ausgabe 2 2 15" xfId="2804" xr:uid="{00000000-0005-0000-0000-0000E5060000}"/>
    <cellStyle name="Ausgabe 2 2 16" xfId="3050" xr:uid="{00000000-0005-0000-0000-0000E6060000}"/>
    <cellStyle name="Ausgabe 2 2 17" xfId="3218" xr:uid="{00000000-0005-0000-0000-0000E7060000}"/>
    <cellStyle name="Ausgabe 2 2 18" xfId="3452" xr:uid="{00000000-0005-0000-0000-0000E8060000}"/>
    <cellStyle name="Ausgabe 2 2 19" xfId="3534" xr:uid="{00000000-0005-0000-0000-0000E9060000}"/>
    <cellStyle name="Ausgabe 2 2 2" xfId="1255" xr:uid="{00000000-0005-0000-0000-0000EA060000}"/>
    <cellStyle name="Ausgabe 2 2 2 2" xfId="4236" xr:uid="{00000000-0005-0000-0000-0000EB060000}"/>
    <cellStyle name="Ausgabe 2 2 2 3" xfId="3590" xr:uid="{00000000-0005-0000-0000-0000EC060000}"/>
    <cellStyle name="Ausgabe 2 2 2 4" xfId="5034" xr:uid="{00000000-0005-0000-0000-0000ED060000}"/>
    <cellStyle name="Ausgabe 2 2 2 5" xfId="5408" xr:uid="{00000000-0005-0000-0000-0000EE060000}"/>
    <cellStyle name="Ausgabe 2 2 2 6" xfId="5985" xr:uid="{00000000-0005-0000-0000-0000EF060000}"/>
    <cellStyle name="Ausgabe 2 2 20" xfId="4022" xr:uid="{00000000-0005-0000-0000-0000F0060000}"/>
    <cellStyle name="Ausgabe 2 2 21" xfId="3680" xr:uid="{00000000-0005-0000-0000-0000F1060000}"/>
    <cellStyle name="Ausgabe 2 2 22" xfId="4822" xr:uid="{00000000-0005-0000-0000-0000F2060000}"/>
    <cellStyle name="Ausgabe 2 2 23" xfId="5202" xr:uid="{00000000-0005-0000-0000-0000F3060000}"/>
    <cellStyle name="Ausgabe 2 2 24" xfId="5779" xr:uid="{00000000-0005-0000-0000-0000F4060000}"/>
    <cellStyle name="Ausgabe 2 2 3" xfId="1347" xr:uid="{00000000-0005-0000-0000-0000F5060000}"/>
    <cellStyle name="Ausgabe 2 2 4" xfId="1432" xr:uid="{00000000-0005-0000-0000-0000F6060000}"/>
    <cellStyle name="Ausgabe 2 2 5" xfId="1666" xr:uid="{00000000-0005-0000-0000-0000F7060000}"/>
    <cellStyle name="Ausgabe 2 2 6" xfId="1839" xr:uid="{00000000-0005-0000-0000-0000F8060000}"/>
    <cellStyle name="Ausgabe 2 2 7" xfId="1938" xr:uid="{00000000-0005-0000-0000-0000F9060000}"/>
    <cellStyle name="Ausgabe 2 2 8" xfId="2095" xr:uid="{00000000-0005-0000-0000-0000FA060000}"/>
    <cellStyle name="Ausgabe 2 2 9" xfId="2170" xr:uid="{00000000-0005-0000-0000-0000FB060000}"/>
    <cellStyle name="Ausgabe 2 20" xfId="4278" xr:uid="{00000000-0005-0000-0000-0000FC060000}"/>
    <cellStyle name="Ausgabe 2 21" xfId="4653" xr:uid="{00000000-0005-0000-0000-0000FD060000}"/>
    <cellStyle name="Ausgabe 2 22" xfId="4608" xr:uid="{00000000-0005-0000-0000-0000FE060000}"/>
    <cellStyle name="Ausgabe 2 23" xfId="5561" xr:uid="{00000000-0005-0000-0000-0000FF060000}"/>
    <cellStyle name="Ausgabe 2 3" xfId="636" xr:uid="{00000000-0005-0000-0000-000000070000}"/>
    <cellStyle name="Ausgabe 2 3 10" xfId="904" xr:uid="{00000000-0005-0000-0000-000001070000}"/>
    <cellStyle name="Ausgabe 2 3 11" xfId="1976" xr:uid="{00000000-0005-0000-0000-000002070000}"/>
    <cellStyle name="Ausgabe 2 3 12" xfId="2381" xr:uid="{00000000-0005-0000-0000-000003070000}"/>
    <cellStyle name="Ausgabe 2 3 13" xfId="2561" xr:uid="{00000000-0005-0000-0000-000004070000}"/>
    <cellStyle name="Ausgabe 2 3 14" xfId="2717" xr:uid="{00000000-0005-0000-0000-000005070000}"/>
    <cellStyle name="Ausgabe 2 3 15" xfId="2534" xr:uid="{00000000-0005-0000-0000-000006070000}"/>
    <cellStyle name="Ausgabe 2 3 16" xfId="2935" xr:uid="{00000000-0005-0000-0000-000007070000}"/>
    <cellStyle name="Ausgabe 2 3 17" xfId="3103" xr:uid="{00000000-0005-0000-0000-000008070000}"/>
    <cellStyle name="Ausgabe 2 3 18" xfId="3337" xr:uid="{00000000-0005-0000-0000-000009070000}"/>
    <cellStyle name="Ausgabe 2 3 19" xfId="3487" xr:uid="{00000000-0005-0000-0000-00000A070000}"/>
    <cellStyle name="Ausgabe 2 3 2" xfId="1152" xr:uid="{00000000-0005-0000-0000-00000B070000}"/>
    <cellStyle name="Ausgabe 2 3 2 2" xfId="4121" xr:uid="{00000000-0005-0000-0000-00000C070000}"/>
    <cellStyle name="Ausgabe 2 3 2 3" xfId="3566" xr:uid="{00000000-0005-0000-0000-00000D070000}"/>
    <cellStyle name="Ausgabe 2 3 2 4" xfId="4919" xr:uid="{00000000-0005-0000-0000-00000E070000}"/>
    <cellStyle name="Ausgabe 2 3 2 5" xfId="5293" xr:uid="{00000000-0005-0000-0000-00000F070000}"/>
    <cellStyle name="Ausgabe 2 3 2 6" xfId="5870" xr:uid="{00000000-0005-0000-0000-000010070000}"/>
    <cellStyle name="Ausgabe 2 3 20" xfId="3907" xr:uid="{00000000-0005-0000-0000-000011070000}"/>
    <cellStyle name="Ausgabe 2 3 21" xfId="4366" xr:uid="{00000000-0005-0000-0000-000012070000}"/>
    <cellStyle name="Ausgabe 2 3 22" xfId="4707" xr:uid="{00000000-0005-0000-0000-000013070000}"/>
    <cellStyle name="Ausgabe 2 3 23" xfId="5087" xr:uid="{00000000-0005-0000-0000-000014070000}"/>
    <cellStyle name="Ausgabe 2 3 24" xfId="5664" xr:uid="{00000000-0005-0000-0000-000015070000}"/>
    <cellStyle name="Ausgabe 2 3 3" xfId="808" xr:uid="{00000000-0005-0000-0000-000016070000}"/>
    <cellStyle name="Ausgabe 2 3 4" xfId="1216" xr:uid="{00000000-0005-0000-0000-000017070000}"/>
    <cellStyle name="Ausgabe 2 3 5" xfId="1551" xr:uid="{00000000-0005-0000-0000-000018070000}"/>
    <cellStyle name="Ausgabe 2 3 6" xfId="1747" xr:uid="{00000000-0005-0000-0000-000019070000}"/>
    <cellStyle name="Ausgabe 2 3 7" xfId="1192" xr:uid="{00000000-0005-0000-0000-00001A070000}"/>
    <cellStyle name="Ausgabe 2 3 8" xfId="2007" xr:uid="{00000000-0005-0000-0000-00001B070000}"/>
    <cellStyle name="Ausgabe 2 3 9" xfId="1179" xr:uid="{00000000-0005-0000-0000-00001C070000}"/>
    <cellStyle name="Ausgabe 2 4" xfId="1056" xr:uid="{00000000-0005-0000-0000-00001D070000}"/>
    <cellStyle name="Ausgabe 2 4 2" xfId="4079" xr:uid="{00000000-0005-0000-0000-00001E070000}"/>
    <cellStyle name="Ausgabe 2 4 3" xfId="3656" xr:uid="{00000000-0005-0000-0000-00001F070000}"/>
    <cellStyle name="Ausgabe 2 4 4" xfId="4877" xr:uid="{00000000-0005-0000-0000-000020070000}"/>
    <cellStyle name="Ausgabe 2 4 5" xfId="5251" xr:uid="{00000000-0005-0000-0000-000021070000}"/>
    <cellStyle name="Ausgabe 2 4 6" xfId="5828" xr:uid="{00000000-0005-0000-0000-000022070000}"/>
    <cellStyle name="Ausgabe 2 5" xfId="1148" xr:uid="{00000000-0005-0000-0000-000023070000}"/>
    <cellStyle name="Ausgabe 2 6" xfId="981" xr:uid="{00000000-0005-0000-0000-000024070000}"/>
    <cellStyle name="Ausgabe 2 7" xfId="929" xr:uid="{00000000-0005-0000-0000-000025070000}"/>
    <cellStyle name="Ausgabe 2 8" xfId="1028" xr:uid="{00000000-0005-0000-0000-000026070000}"/>
    <cellStyle name="Ausgabe 2 9" xfId="1116" xr:uid="{00000000-0005-0000-0000-000027070000}"/>
    <cellStyle name="Ausgabe 20" xfId="3249" xr:uid="{00000000-0005-0000-0000-000028070000}"/>
    <cellStyle name="Ausgabe 21" xfId="3573" hidden="1" xr:uid="{00000000-0005-0000-0000-000029070000}"/>
    <cellStyle name="Ausgabe 21" xfId="3778" hidden="1" xr:uid="{00000000-0005-0000-0000-00002A070000}"/>
    <cellStyle name="Ausgabe 21" xfId="3885" hidden="1" xr:uid="{00000000-0005-0000-0000-00002B070000}"/>
    <cellStyle name="Ausgabe 21" xfId="4314" hidden="1" xr:uid="{00000000-0005-0000-0000-00002C070000}"/>
    <cellStyle name="Ausgabe 21" xfId="4485" hidden="1" xr:uid="{00000000-0005-0000-0000-00002D070000}"/>
    <cellStyle name="Ausgabe 21" xfId="4466" hidden="1" xr:uid="{00000000-0005-0000-0000-00002E070000}"/>
    <cellStyle name="Ausgabe 21" xfId="4550" hidden="1" xr:uid="{00000000-0005-0000-0000-00002F070000}"/>
    <cellStyle name="Ausgabe 21" xfId="4646" hidden="1" xr:uid="{00000000-0005-0000-0000-000030070000}"/>
    <cellStyle name="Ausgabe 21" xfId="5439" hidden="1" xr:uid="{00000000-0005-0000-0000-000031070000}"/>
    <cellStyle name="Ausgabe 3" xfId="386" xr:uid="{00000000-0005-0000-0000-000032070000}"/>
    <cellStyle name="Ausgabe 3 10" xfId="790" xr:uid="{00000000-0005-0000-0000-000033070000}"/>
    <cellStyle name="Ausgabe 3 11" xfId="1993" xr:uid="{00000000-0005-0000-0000-000034070000}"/>
    <cellStyle name="Ausgabe 3 12" xfId="2144" xr:uid="{00000000-0005-0000-0000-000035070000}"/>
    <cellStyle name="Ausgabe 3 13" xfId="1973" xr:uid="{00000000-0005-0000-0000-000036070000}"/>
    <cellStyle name="Ausgabe 3 14" xfId="791" xr:uid="{00000000-0005-0000-0000-000037070000}"/>
    <cellStyle name="Ausgabe 3 15" xfId="2530" xr:uid="{00000000-0005-0000-0000-000038070000}"/>
    <cellStyle name="Ausgabe 3 16" xfId="2876" xr:uid="{00000000-0005-0000-0000-000039070000}"/>
    <cellStyle name="Ausgabe 3 17" xfId="2896" xr:uid="{00000000-0005-0000-0000-00003A070000}"/>
    <cellStyle name="Ausgabe 3 18" xfId="3290" xr:uid="{00000000-0005-0000-0000-00003B070000}"/>
    <cellStyle name="Ausgabe 3 19" xfId="3743" xr:uid="{00000000-0005-0000-0000-00003C070000}"/>
    <cellStyle name="Ausgabe 3 2" xfId="723" xr:uid="{00000000-0005-0000-0000-00003D070000}"/>
    <cellStyle name="Ausgabe 3 2 10" xfId="2227" xr:uid="{00000000-0005-0000-0000-00003E070000}"/>
    <cellStyle name="Ausgabe 3 2 11" xfId="2289" xr:uid="{00000000-0005-0000-0000-00003F070000}"/>
    <cellStyle name="Ausgabe 3 2 12" xfId="2468" xr:uid="{00000000-0005-0000-0000-000040070000}"/>
    <cellStyle name="Ausgabe 3 2 13" xfId="2648" xr:uid="{00000000-0005-0000-0000-000041070000}"/>
    <cellStyle name="Ausgabe 3 2 14" xfId="2754" xr:uid="{00000000-0005-0000-0000-000042070000}"/>
    <cellStyle name="Ausgabe 3 2 15" xfId="2793" xr:uid="{00000000-0005-0000-0000-000043070000}"/>
    <cellStyle name="Ausgabe 3 2 16" xfId="3022" xr:uid="{00000000-0005-0000-0000-000044070000}"/>
    <cellStyle name="Ausgabe 3 2 17" xfId="3190" xr:uid="{00000000-0005-0000-0000-000045070000}"/>
    <cellStyle name="Ausgabe 3 2 18" xfId="3424" xr:uid="{00000000-0005-0000-0000-000046070000}"/>
    <cellStyle name="Ausgabe 3 2 19" xfId="3523" xr:uid="{00000000-0005-0000-0000-000047070000}"/>
    <cellStyle name="Ausgabe 3 2 2" xfId="1229" xr:uid="{00000000-0005-0000-0000-000048070000}"/>
    <cellStyle name="Ausgabe 3 2 2 2" xfId="4208" xr:uid="{00000000-0005-0000-0000-000049070000}"/>
    <cellStyle name="Ausgabe 3 2 2 3" xfId="4362" xr:uid="{00000000-0005-0000-0000-00004A070000}"/>
    <cellStyle name="Ausgabe 3 2 2 4" xfId="5006" xr:uid="{00000000-0005-0000-0000-00004B070000}"/>
    <cellStyle name="Ausgabe 3 2 2 5" xfId="5380" xr:uid="{00000000-0005-0000-0000-00004C070000}"/>
    <cellStyle name="Ausgabe 3 2 2 6" xfId="5957" xr:uid="{00000000-0005-0000-0000-00004D070000}"/>
    <cellStyle name="Ausgabe 3 2 20" xfId="3994" xr:uid="{00000000-0005-0000-0000-00004E070000}"/>
    <cellStyle name="Ausgabe 3 2 21" xfId="4412" xr:uid="{00000000-0005-0000-0000-00004F070000}"/>
    <cellStyle name="Ausgabe 3 2 22" xfId="4794" xr:uid="{00000000-0005-0000-0000-000050070000}"/>
    <cellStyle name="Ausgabe 3 2 23" xfId="5174" xr:uid="{00000000-0005-0000-0000-000051070000}"/>
    <cellStyle name="Ausgabe 3 2 24" xfId="5751" xr:uid="{00000000-0005-0000-0000-000052070000}"/>
    <cellStyle name="Ausgabe 3 2 3" xfId="1323" xr:uid="{00000000-0005-0000-0000-000053070000}"/>
    <cellStyle name="Ausgabe 3 2 4" xfId="1404" xr:uid="{00000000-0005-0000-0000-000054070000}"/>
    <cellStyle name="Ausgabe 3 2 5" xfId="1638" xr:uid="{00000000-0005-0000-0000-000055070000}"/>
    <cellStyle name="Ausgabe 3 2 6" xfId="1816" xr:uid="{00000000-0005-0000-0000-000056070000}"/>
    <cellStyle name="Ausgabe 3 2 7" xfId="1910" xr:uid="{00000000-0005-0000-0000-000057070000}"/>
    <cellStyle name="Ausgabe 3 2 8" xfId="2073" xr:uid="{00000000-0005-0000-0000-000058070000}"/>
    <cellStyle name="Ausgabe 3 2 9" xfId="2151" xr:uid="{00000000-0005-0000-0000-000059070000}"/>
    <cellStyle name="Ausgabe 3 20" xfId="3825" xr:uid="{00000000-0005-0000-0000-00005A070000}"/>
    <cellStyle name="Ausgabe 3 21" xfId="4630" xr:uid="{00000000-0005-0000-0000-00005B070000}"/>
    <cellStyle name="Ausgabe 3 22" xfId="4657" xr:uid="{00000000-0005-0000-0000-00005C070000}"/>
    <cellStyle name="Ausgabe 3 23" xfId="5495" xr:uid="{00000000-0005-0000-0000-00005D070000}"/>
    <cellStyle name="Ausgabe 3 3" xfId="642" xr:uid="{00000000-0005-0000-0000-00005E070000}"/>
    <cellStyle name="Ausgabe 3 3 10" xfId="1313" xr:uid="{00000000-0005-0000-0000-00005F070000}"/>
    <cellStyle name="Ausgabe 3 3 11" xfId="2025" xr:uid="{00000000-0005-0000-0000-000060070000}"/>
    <cellStyle name="Ausgabe 3 3 12" xfId="2387" xr:uid="{00000000-0005-0000-0000-000061070000}"/>
    <cellStyle name="Ausgabe 3 3 13" xfId="2567" xr:uid="{00000000-0005-0000-0000-000062070000}"/>
    <cellStyle name="Ausgabe 3 3 14" xfId="2721" xr:uid="{00000000-0005-0000-0000-000063070000}"/>
    <cellStyle name="Ausgabe 3 3 15" xfId="2537" xr:uid="{00000000-0005-0000-0000-000064070000}"/>
    <cellStyle name="Ausgabe 3 3 16" xfId="2941" xr:uid="{00000000-0005-0000-0000-000065070000}"/>
    <cellStyle name="Ausgabe 3 3 17" xfId="3109" xr:uid="{00000000-0005-0000-0000-000066070000}"/>
    <cellStyle name="Ausgabe 3 3 18" xfId="3343" xr:uid="{00000000-0005-0000-0000-000067070000}"/>
    <cellStyle name="Ausgabe 3 3 19" xfId="3491" xr:uid="{00000000-0005-0000-0000-000068070000}"/>
    <cellStyle name="Ausgabe 3 3 2" xfId="1158" xr:uid="{00000000-0005-0000-0000-000069070000}"/>
    <cellStyle name="Ausgabe 3 3 2 2" xfId="4127" xr:uid="{00000000-0005-0000-0000-00006A070000}"/>
    <cellStyle name="Ausgabe 3 3 2 3" xfId="3803" xr:uid="{00000000-0005-0000-0000-00006B070000}"/>
    <cellStyle name="Ausgabe 3 3 2 4" xfId="4925" xr:uid="{00000000-0005-0000-0000-00006C070000}"/>
    <cellStyle name="Ausgabe 3 3 2 5" xfId="5299" xr:uid="{00000000-0005-0000-0000-00006D070000}"/>
    <cellStyle name="Ausgabe 3 3 2 6" xfId="5876" xr:uid="{00000000-0005-0000-0000-00006E070000}"/>
    <cellStyle name="Ausgabe 3 3 20" xfId="3913" xr:uid="{00000000-0005-0000-0000-00006F070000}"/>
    <cellStyle name="Ausgabe 3 3 21" xfId="4408" xr:uid="{00000000-0005-0000-0000-000070070000}"/>
    <cellStyle name="Ausgabe 3 3 22" xfId="4713" xr:uid="{00000000-0005-0000-0000-000071070000}"/>
    <cellStyle name="Ausgabe 3 3 23" xfId="5093" xr:uid="{00000000-0005-0000-0000-000072070000}"/>
    <cellStyle name="Ausgabe 3 3 24" xfId="5670" xr:uid="{00000000-0005-0000-0000-000073070000}"/>
    <cellStyle name="Ausgabe 3 3 3" xfId="914" xr:uid="{00000000-0005-0000-0000-000074070000}"/>
    <cellStyle name="Ausgabe 3 3 4" xfId="1184" xr:uid="{00000000-0005-0000-0000-000075070000}"/>
    <cellStyle name="Ausgabe 3 3 5" xfId="1557" xr:uid="{00000000-0005-0000-0000-000076070000}"/>
    <cellStyle name="Ausgabe 3 3 6" xfId="1753" xr:uid="{00000000-0005-0000-0000-000077070000}"/>
    <cellStyle name="Ausgabe 3 3 7" xfId="1024" xr:uid="{00000000-0005-0000-0000-000078070000}"/>
    <cellStyle name="Ausgabe 3 3 8" xfId="2013" xr:uid="{00000000-0005-0000-0000-000079070000}"/>
    <cellStyle name="Ausgabe 3 3 9" xfId="1014" xr:uid="{00000000-0005-0000-0000-00007A070000}"/>
    <cellStyle name="Ausgabe 3 4" xfId="972" xr:uid="{00000000-0005-0000-0000-00007B070000}"/>
    <cellStyle name="Ausgabe 3 4 2" xfId="4076" xr:uid="{00000000-0005-0000-0000-00007C070000}"/>
    <cellStyle name="Ausgabe 3 4 3" xfId="4344" xr:uid="{00000000-0005-0000-0000-00007D070000}"/>
    <cellStyle name="Ausgabe 3 4 4" xfId="4875" xr:uid="{00000000-0005-0000-0000-00007E070000}"/>
    <cellStyle name="Ausgabe 3 4 5" xfId="5249" xr:uid="{00000000-0005-0000-0000-00007F070000}"/>
    <cellStyle name="Ausgabe 3 4 6" xfId="5826" xr:uid="{00000000-0005-0000-0000-000080070000}"/>
    <cellStyle name="Ausgabe 3 5" xfId="856" xr:uid="{00000000-0005-0000-0000-000081070000}"/>
    <cellStyle name="Ausgabe 3 6" xfId="1296" xr:uid="{00000000-0005-0000-0000-000082070000}"/>
    <cellStyle name="Ausgabe 3 7" xfId="1186" xr:uid="{00000000-0005-0000-0000-000083070000}"/>
    <cellStyle name="Ausgabe 3 8" xfId="1495" xr:uid="{00000000-0005-0000-0000-000084070000}"/>
    <cellStyle name="Ausgabe 3 9" xfId="1731" xr:uid="{00000000-0005-0000-0000-000085070000}"/>
    <cellStyle name="Ausgabe 4" xfId="647" xr:uid="{00000000-0005-0000-0000-000086070000}"/>
    <cellStyle name="Ausgabe 4 10" xfId="1729" xr:uid="{00000000-0005-0000-0000-000087070000}"/>
    <cellStyle name="Ausgabe 4 11" xfId="1345" xr:uid="{00000000-0005-0000-0000-000088070000}"/>
    <cellStyle name="Ausgabe 4 12" xfId="2392" xr:uid="{00000000-0005-0000-0000-000089070000}"/>
    <cellStyle name="Ausgabe 4 13" xfId="2572" xr:uid="{00000000-0005-0000-0000-00008A070000}"/>
    <cellStyle name="Ausgabe 4 14" xfId="2723" xr:uid="{00000000-0005-0000-0000-00008B070000}"/>
    <cellStyle name="Ausgabe 4 15" xfId="1703" xr:uid="{00000000-0005-0000-0000-00008C070000}"/>
    <cellStyle name="Ausgabe 4 16" xfId="2946" xr:uid="{00000000-0005-0000-0000-00008D070000}"/>
    <cellStyle name="Ausgabe 4 17" xfId="3114" xr:uid="{00000000-0005-0000-0000-00008E070000}"/>
    <cellStyle name="Ausgabe 4 18" xfId="3348" xr:uid="{00000000-0005-0000-0000-00008F070000}"/>
    <cellStyle name="Ausgabe 4 19" xfId="3493" xr:uid="{00000000-0005-0000-0000-000090070000}"/>
    <cellStyle name="Ausgabe 4 2" xfId="1163" xr:uid="{00000000-0005-0000-0000-000091070000}"/>
    <cellStyle name="Ausgabe 4 2 2" xfId="4132" xr:uid="{00000000-0005-0000-0000-000092070000}"/>
    <cellStyle name="Ausgabe 4 2 3" xfId="4303" xr:uid="{00000000-0005-0000-0000-000093070000}"/>
    <cellStyle name="Ausgabe 4 2 4" xfId="4930" xr:uid="{00000000-0005-0000-0000-000094070000}"/>
    <cellStyle name="Ausgabe 4 2 5" xfId="5304" xr:uid="{00000000-0005-0000-0000-000095070000}"/>
    <cellStyle name="Ausgabe 4 2 6" xfId="5881" xr:uid="{00000000-0005-0000-0000-000096070000}"/>
    <cellStyle name="Ausgabe 4 20" xfId="3918" xr:uid="{00000000-0005-0000-0000-000097070000}"/>
    <cellStyle name="Ausgabe 4 21" xfId="4352" xr:uid="{00000000-0005-0000-0000-000098070000}"/>
    <cellStyle name="Ausgabe 4 22" xfId="4718" xr:uid="{00000000-0005-0000-0000-000099070000}"/>
    <cellStyle name="Ausgabe 4 23" xfId="5098" xr:uid="{00000000-0005-0000-0000-00009A070000}"/>
    <cellStyle name="Ausgabe 4 24" xfId="5675" xr:uid="{00000000-0005-0000-0000-00009B070000}"/>
    <cellStyle name="Ausgabe 4 3" xfId="803" xr:uid="{00000000-0005-0000-0000-00009C070000}"/>
    <cellStyle name="Ausgabe 4 4" xfId="1261" xr:uid="{00000000-0005-0000-0000-00009D070000}"/>
    <cellStyle name="Ausgabe 4 5" xfId="1562" xr:uid="{00000000-0005-0000-0000-00009E070000}"/>
    <cellStyle name="Ausgabe 4 6" xfId="1757" xr:uid="{00000000-0005-0000-0000-00009F070000}"/>
    <cellStyle name="Ausgabe 4 7" xfId="916" xr:uid="{00000000-0005-0000-0000-0000A0070000}"/>
    <cellStyle name="Ausgabe 4 8" xfId="2018" xr:uid="{00000000-0005-0000-0000-0000A1070000}"/>
    <cellStyle name="Ausgabe 4 9" xfId="1502" xr:uid="{00000000-0005-0000-0000-0000A2070000}"/>
    <cellStyle name="Ausgabe 5" xfId="766" xr:uid="{00000000-0005-0000-0000-0000A3070000}"/>
    <cellStyle name="Ausgabe 5 10" xfId="2258" xr:uid="{00000000-0005-0000-0000-0000A4070000}"/>
    <cellStyle name="Ausgabe 5 11" xfId="2332" xr:uid="{00000000-0005-0000-0000-0000A5070000}"/>
    <cellStyle name="Ausgabe 5 12" xfId="2511" xr:uid="{00000000-0005-0000-0000-0000A6070000}"/>
    <cellStyle name="Ausgabe 5 13" xfId="2691" xr:uid="{00000000-0005-0000-0000-0000A7070000}"/>
    <cellStyle name="Ausgabe 5 14" xfId="2773" xr:uid="{00000000-0005-0000-0000-0000A8070000}"/>
    <cellStyle name="Ausgabe 5 15" xfId="2812" xr:uid="{00000000-0005-0000-0000-0000A9070000}"/>
    <cellStyle name="Ausgabe 5 16" xfId="3065" xr:uid="{00000000-0005-0000-0000-0000AA070000}"/>
    <cellStyle name="Ausgabe 5 17" xfId="3233" xr:uid="{00000000-0005-0000-0000-0000AB070000}"/>
    <cellStyle name="Ausgabe 5 18" xfId="3467" xr:uid="{00000000-0005-0000-0000-0000AC070000}"/>
    <cellStyle name="Ausgabe 5 19" xfId="3542" xr:uid="{00000000-0005-0000-0000-0000AD070000}"/>
    <cellStyle name="Ausgabe 5 2" xfId="1266" xr:uid="{00000000-0005-0000-0000-0000AE070000}"/>
    <cellStyle name="Ausgabe 5 2 2" xfId="4251" xr:uid="{00000000-0005-0000-0000-0000AF070000}"/>
    <cellStyle name="Ausgabe 5 2 3" xfId="4510" xr:uid="{00000000-0005-0000-0000-0000B0070000}"/>
    <cellStyle name="Ausgabe 5 2 4" xfId="5049" xr:uid="{00000000-0005-0000-0000-0000B1070000}"/>
    <cellStyle name="Ausgabe 5 2 5" xfId="5423" xr:uid="{00000000-0005-0000-0000-0000B2070000}"/>
    <cellStyle name="Ausgabe 5 2 6" xfId="6000" xr:uid="{00000000-0005-0000-0000-0000B3070000}"/>
    <cellStyle name="Ausgabe 5 20" xfId="4037" xr:uid="{00000000-0005-0000-0000-0000B4070000}"/>
    <cellStyle name="Ausgabe 5 21" xfId="4288" xr:uid="{00000000-0005-0000-0000-0000B5070000}"/>
    <cellStyle name="Ausgabe 5 22" xfId="4837" xr:uid="{00000000-0005-0000-0000-0000B6070000}"/>
    <cellStyle name="Ausgabe 5 23" xfId="5217" xr:uid="{00000000-0005-0000-0000-0000B7070000}"/>
    <cellStyle name="Ausgabe 5 24" xfId="5794" xr:uid="{00000000-0005-0000-0000-0000B8070000}"/>
    <cellStyle name="Ausgabe 5 3" xfId="1362" xr:uid="{00000000-0005-0000-0000-0000B9070000}"/>
    <cellStyle name="Ausgabe 5 4" xfId="1447" xr:uid="{00000000-0005-0000-0000-0000BA070000}"/>
    <cellStyle name="Ausgabe 5 5" xfId="1681" xr:uid="{00000000-0005-0000-0000-0000BB070000}"/>
    <cellStyle name="Ausgabe 5 6" xfId="1851" xr:uid="{00000000-0005-0000-0000-0000BC070000}"/>
    <cellStyle name="Ausgabe 5 7" xfId="1953" xr:uid="{00000000-0005-0000-0000-0000BD070000}"/>
    <cellStyle name="Ausgabe 5 8" xfId="2104" xr:uid="{00000000-0005-0000-0000-0000BE070000}"/>
    <cellStyle name="Ausgabe 5 9" xfId="2183" xr:uid="{00000000-0005-0000-0000-0000BF070000}"/>
    <cellStyle name="Ausgabe 6" xfId="846" xr:uid="{00000000-0005-0000-0000-0000C0070000}"/>
    <cellStyle name="Ausgabe 6 2" xfId="4052" xr:uid="{00000000-0005-0000-0000-0000C1070000}"/>
    <cellStyle name="Ausgabe 6 3" xfId="4434" xr:uid="{00000000-0005-0000-0000-0000C2070000}"/>
    <cellStyle name="Ausgabe 6 4" xfId="4852" xr:uid="{00000000-0005-0000-0000-0000C3070000}"/>
    <cellStyle name="Ausgabe 6 5" xfId="5232" xr:uid="{00000000-0005-0000-0000-0000C4070000}"/>
    <cellStyle name="Ausgabe 6 6" xfId="5809" xr:uid="{00000000-0005-0000-0000-0000C5070000}"/>
    <cellStyle name="Ausgabe 7" xfId="1119" xr:uid="{00000000-0005-0000-0000-0000C6070000}"/>
    <cellStyle name="Ausgabe 8" xfId="1005" xr:uid="{00000000-0005-0000-0000-0000C7070000}"/>
    <cellStyle name="Ausgabe 9" xfId="1501" xr:uid="{00000000-0005-0000-0000-0000C8070000}"/>
    <cellStyle name="Bad" xfId="51" xr:uid="{00000000-0005-0000-0000-0000C9070000}"/>
    <cellStyle name="Bad 2" xfId="222" xr:uid="{00000000-0005-0000-0000-0000CA070000}"/>
    <cellStyle name="Bad 3" xfId="326" xr:uid="{00000000-0005-0000-0000-0000CB070000}"/>
    <cellStyle name="Bad 4" xfId="467" xr:uid="{00000000-0005-0000-0000-0000CC070000}"/>
    <cellStyle name="Berechnung" xfId="223" xr:uid="{00000000-0005-0000-0000-0000CD070000}"/>
    <cellStyle name="Berechnung 10" xfId="1125" xr:uid="{00000000-0005-0000-0000-0000CE070000}"/>
    <cellStyle name="Berechnung 11" xfId="812" xr:uid="{00000000-0005-0000-0000-0000CF070000}"/>
    <cellStyle name="Berechnung 12" xfId="1135" xr:uid="{00000000-0005-0000-0000-0000D0070000}"/>
    <cellStyle name="Berechnung 13" xfId="889" xr:uid="{00000000-0005-0000-0000-0000D1070000}"/>
    <cellStyle name="Berechnung 14" xfId="1842" xr:uid="{00000000-0005-0000-0000-0000D2070000}"/>
    <cellStyle name="Berechnung 15" xfId="1039" xr:uid="{00000000-0005-0000-0000-0000D3070000}"/>
    <cellStyle name="Berechnung 16" xfId="789" xr:uid="{00000000-0005-0000-0000-0000D4070000}"/>
    <cellStyle name="Berechnung 17" xfId="150" xr:uid="{00000000-0005-0000-0000-0000D5070000}"/>
    <cellStyle name="Berechnung 18" xfId="2215" xr:uid="{00000000-0005-0000-0000-0000D6070000}"/>
    <cellStyle name="Berechnung 19" xfId="2532" xr:uid="{00000000-0005-0000-0000-0000D7070000}"/>
    <cellStyle name="Berechnung 2" xfId="496" xr:uid="{00000000-0005-0000-0000-0000D8070000}"/>
    <cellStyle name="Berechnung 2 10" xfId="1742" xr:uid="{00000000-0005-0000-0000-0000D9070000}"/>
    <cellStyle name="Berechnung 2 11" xfId="1131" xr:uid="{00000000-0005-0000-0000-0000DA070000}"/>
    <cellStyle name="Berechnung 2 12" xfId="1480" xr:uid="{00000000-0005-0000-0000-0000DB070000}"/>
    <cellStyle name="Berechnung 2 13" xfId="2061" xr:uid="{00000000-0005-0000-0000-0000DC070000}"/>
    <cellStyle name="Berechnung 2 14" xfId="2246" xr:uid="{00000000-0005-0000-0000-0000DD070000}"/>
    <cellStyle name="Berechnung 2 15" xfId="1989" xr:uid="{00000000-0005-0000-0000-0000DE070000}"/>
    <cellStyle name="Berechnung 2 16" xfId="1465" xr:uid="{00000000-0005-0000-0000-0000DF070000}"/>
    <cellStyle name="Berechnung 2 17" xfId="2075" xr:uid="{00000000-0005-0000-0000-0000E0070000}"/>
    <cellStyle name="Berechnung 2 18" xfId="2533" xr:uid="{00000000-0005-0000-0000-0000E1070000}"/>
    <cellStyle name="Berechnung 2 19" xfId="2891" xr:uid="{00000000-0005-0000-0000-0000E2070000}"/>
    <cellStyle name="Berechnung 2 2" xfId="752" xr:uid="{00000000-0005-0000-0000-0000E3070000}"/>
    <cellStyle name="Berechnung 2 2 10" xfId="2248" xr:uid="{00000000-0005-0000-0000-0000E4070000}"/>
    <cellStyle name="Berechnung 2 2 11" xfId="2318" xr:uid="{00000000-0005-0000-0000-0000E5070000}"/>
    <cellStyle name="Berechnung 2 2 12" xfId="2497" xr:uid="{00000000-0005-0000-0000-0000E6070000}"/>
    <cellStyle name="Berechnung 2 2 13" xfId="2677" xr:uid="{00000000-0005-0000-0000-0000E7070000}"/>
    <cellStyle name="Berechnung 2 2 14" xfId="2766" xr:uid="{00000000-0005-0000-0000-0000E8070000}"/>
    <cellStyle name="Berechnung 2 2 15" xfId="2805" xr:uid="{00000000-0005-0000-0000-0000E9070000}"/>
    <cellStyle name="Berechnung 2 2 16" xfId="3051" xr:uid="{00000000-0005-0000-0000-0000EA070000}"/>
    <cellStyle name="Berechnung 2 2 17" xfId="3219" xr:uid="{00000000-0005-0000-0000-0000EB070000}"/>
    <cellStyle name="Berechnung 2 2 18" xfId="3453" xr:uid="{00000000-0005-0000-0000-0000EC070000}"/>
    <cellStyle name="Berechnung 2 2 19" xfId="3535" xr:uid="{00000000-0005-0000-0000-0000ED070000}"/>
    <cellStyle name="Berechnung 2 2 2" xfId="1256" xr:uid="{00000000-0005-0000-0000-0000EE070000}"/>
    <cellStyle name="Berechnung 2 2 2 2" xfId="4237" xr:uid="{00000000-0005-0000-0000-0000EF070000}"/>
    <cellStyle name="Berechnung 2 2 2 3" xfId="3621" xr:uid="{00000000-0005-0000-0000-0000F0070000}"/>
    <cellStyle name="Berechnung 2 2 2 4" xfId="5035" xr:uid="{00000000-0005-0000-0000-0000F1070000}"/>
    <cellStyle name="Berechnung 2 2 2 5" xfId="5409" xr:uid="{00000000-0005-0000-0000-0000F2070000}"/>
    <cellStyle name="Berechnung 2 2 2 6" xfId="5986" xr:uid="{00000000-0005-0000-0000-0000F3070000}"/>
    <cellStyle name="Berechnung 2 2 20" xfId="4023" xr:uid="{00000000-0005-0000-0000-0000F4070000}"/>
    <cellStyle name="Berechnung 2 2 21" xfId="4322" xr:uid="{00000000-0005-0000-0000-0000F5070000}"/>
    <cellStyle name="Berechnung 2 2 22" xfId="4823" xr:uid="{00000000-0005-0000-0000-0000F6070000}"/>
    <cellStyle name="Berechnung 2 2 23" xfId="5203" xr:uid="{00000000-0005-0000-0000-0000F7070000}"/>
    <cellStyle name="Berechnung 2 2 24" xfId="5780" xr:uid="{00000000-0005-0000-0000-0000F8070000}"/>
    <cellStyle name="Berechnung 2 2 3" xfId="1348" xr:uid="{00000000-0005-0000-0000-0000F9070000}"/>
    <cellStyle name="Berechnung 2 2 4" xfId="1433" xr:uid="{00000000-0005-0000-0000-0000FA070000}"/>
    <cellStyle name="Berechnung 2 2 5" xfId="1667" xr:uid="{00000000-0005-0000-0000-0000FB070000}"/>
    <cellStyle name="Berechnung 2 2 6" xfId="1840" xr:uid="{00000000-0005-0000-0000-0000FC070000}"/>
    <cellStyle name="Berechnung 2 2 7" xfId="1939" xr:uid="{00000000-0005-0000-0000-0000FD070000}"/>
    <cellStyle name="Berechnung 2 2 8" xfId="2096" xr:uid="{00000000-0005-0000-0000-0000FE070000}"/>
    <cellStyle name="Berechnung 2 2 9" xfId="2171" xr:uid="{00000000-0005-0000-0000-0000FF070000}"/>
    <cellStyle name="Berechnung 2 20" xfId="2848" xr:uid="{00000000-0005-0000-0000-000000080000}"/>
    <cellStyle name="Berechnung 2 21" xfId="3302" xr:uid="{00000000-0005-0000-0000-000001080000}"/>
    <cellStyle name="Berechnung 2 22" xfId="3248" xr:uid="{00000000-0005-0000-0000-000002080000}"/>
    <cellStyle name="Berechnung 2 23" xfId="3809" xr:uid="{00000000-0005-0000-0000-000003080000}"/>
    <cellStyle name="Berechnung 2 24" xfId="4301" xr:uid="{00000000-0005-0000-0000-000004080000}"/>
    <cellStyle name="Berechnung 2 25" xfId="4654" xr:uid="{00000000-0005-0000-0000-000005080000}"/>
    <cellStyle name="Berechnung 2 26" xfId="4651" xr:uid="{00000000-0005-0000-0000-000006080000}"/>
    <cellStyle name="Berechnung 2 27" xfId="5562" xr:uid="{00000000-0005-0000-0000-000007080000}"/>
    <cellStyle name="Berechnung 2 3" xfId="617" xr:uid="{00000000-0005-0000-0000-000008080000}"/>
    <cellStyle name="Berechnung 2 3 10" xfId="1463" xr:uid="{00000000-0005-0000-0000-000009080000}"/>
    <cellStyle name="Berechnung 2 3 11" xfId="927" xr:uid="{00000000-0005-0000-0000-00000A080000}"/>
    <cellStyle name="Berechnung 2 3 12" xfId="2362" xr:uid="{00000000-0005-0000-0000-00000B080000}"/>
    <cellStyle name="Berechnung 2 3 13" xfId="2542" xr:uid="{00000000-0005-0000-0000-00000C080000}"/>
    <cellStyle name="Berechnung 2 3 14" xfId="2712" xr:uid="{00000000-0005-0000-0000-00000D080000}"/>
    <cellStyle name="Berechnung 2 3 15" xfId="2219" xr:uid="{00000000-0005-0000-0000-00000E080000}"/>
    <cellStyle name="Berechnung 2 3 16" xfId="2916" xr:uid="{00000000-0005-0000-0000-00000F080000}"/>
    <cellStyle name="Berechnung 2 3 17" xfId="3084" xr:uid="{00000000-0005-0000-0000-000010080000}"/>
    <cellStyle name="Berechnung 2 3 18" xfId="3318" xr:uid="{00000000-0005-0000-0000-000011080000}"/>
    <cellStyle name="Berechnung 2 3 19" xfId="3482" xr:uid="{00000000-0005-0000-0000-000012080000}"/>
    <cellStyle name="Berechnung 2 3 2" xfId="1134" xr:uid="{00000000-0005-0000-0000-000013080000}"/>
    <cellStyle name="Berechnung 2 3 2 2" xfId="4102" xr:uid="{00000000-0005-0000-0000-000014080000}"/>
    <cellStyle name="Berechnung 2 3 2 3" xfId="4387" xr:uid="{00000000-0005-0000-0000-000015080000}"/>
    <cellStyle name="Berechnung 2 3 2 4" xfId="4900" xr:uid="{00000000-0005-0000-0000-000016080000}"/>
    <cellStyle name="Berechnung 2 3 2 5" xfId="5274" xr:uid="{00000000-0005-0000-0000-000017080000}"/>
    <cellStyle name="Berechnung 2 3 2 6" xfId="5851" xr:uid="{00000000-0005-0000-0000-000018080000}"/>
    <cellStyle name="Berechnung 2 3 20" xfId="3888" xr:uid="{00000000-0005-0000-0000-000019080000}"/>
    <cellStyle name="Berechnung 2 3 21" xfId="3860" xr:uid="{00000000-0005-0000-0000-00001A080000}"/>
    <cellStyle name="Berechnung 2 3 22" xfId="4688" xr:uid="{00000000-0005-0000-0000-00001B080000}"/>
    <cellStyle name="Berechnung 2 3 23" xfId="5068" xr:uid="{00000000-0005-0000-0000-00001C080000}"/>
    <cellStyle name="Berechnung 2 3 24" xfId="5645" xr:uid="{00000000-0005-0000-0000-00001D080000}"/>
    <cellStyle name="Berechnung 2 3 3" xfId="811" xr:uid="{00000000-0005-0000-0000-00001E080000}"/>
    <cellStyle name="Berechnung 2 3 4" xfId="876" xr:uid="{00000000-0005-0000-0000-00001F080000}"/>
    <cellStyle name="Berechnung 2 3 5" xfId="1532" xr:uid="{00000000-0005-0000-0000-000020080000}"/>
    <cellStyle name="Berechnung 2 3 6" xfId="1736" xr:uid="{00000000-0005-0000-0000-000021080000}"/>
    <cellStyle name="Berechnung 2 3 7" xfId="1272" xr:uid="{00000000-0005-0000-0000-000022080000}"/>
    <cellStyle name="Berechnung 2 3 8" xfId="1994" xr:uid="{00000000-0005-0000-0000-000023080000}"/>
    <cellStyle name="Berechnung 2 3 9" xfId="985" xr:uid="{00000000-0005-0000-0000-000024080000}"/>
    <cellStyle name="Berechnung 2 4" xfId="673" xr:uid="{00000000-0005-0000-0000-000025080000}"/>
    <cellStyle name="Berechnung 2 4 10" xfId="2200" xr:uid="{00000000-0005-0000-0000-000026080000}"/>
    <cellStyle name="Berechnung 2 4 11" xfId="1813" xr:uid="{00000000-0005-0000-0000-000027080000}"/>
    <cellStyle name="Berechnung 2 4 12" xfId="2418" xr:uid="{00000000-0005-0000-0000-000028080000}"/>
    <cellStyle name="Berechnung 2 4 13" xfId="2598" xr:uid="{00000000-0005-0000-0000-000029080000}"/>
    <cellStyle name="Berechnung 2 4 14" xfId="2738" xr:uid="{00000000-0005-0000-0000-00002A080000}"/>
    <cellStyle name="Berechnung 2 4 15" xfId="2778" xr:uid="{00000000-0005-0000-0000-00002B080000}"/>
    <cellStyle name="Berechnung 2 4 16" xfId="2972" xr:uid="{00000000-0005-0000-0000-00002C080000}"/>
    <cellStyle name="Berechnung 2 4 17" xfId="3140" xr:uid="{00000000-0005-0000-0000-00002D080000}"/>
    <cellStyle name="Berechnung 2 4 18" xfId="3374" xr:uid="{00000000-0005-0000-0000-00002E080000}"/>
    <cellStyle name="Berechnung 2 4 19" xfId="3508" xr:uid="{00000000-0005-0000-0000-00002F080000}"/>
    <cellStyle name="Berechnung 2 4 2" xfId="1187" xr:uid="{00000000-0005-0000-0000-000030080000}"/>
    <cellStyle name="Berechnung 2 4 2 2" xfId="4158" xr:uid="{00000000-0005-0000-0000-000031080000}"/>
    <cellStyle name="Berechnung 2 4 2 3" xfId="3804" xr:uid="{00000000-0005-0000-0000-000032080000}"/>
    <cellStyle name="Berechnung 2 4 2 4" xfId="4956" xr:uid="{00000000-0005-0000-0000-000033080000}"/>
    <cellStyle name="Berechnung 2 4 2 5" xfId="5330" xr:uid="{00000000-0005-0000-0000-000034080000}"/>
    <cellStyle name="Berechnung 2 4 2 6" xfId="5907" xr:uid="{00000000-0005-0000-0000-000035080000}"/>
    <cellStyle name="Berechnung 2 4 20" xfId="3944" xr:uid="{00000000-0005-0000-0000-000036080000}"/>
    <cellStyle name="Berechnung 2 4 21" xfId="4279" xr:uid="{00000000-0005-0000-0000-000037080000}"/>
    <cellStyle name="Berechnung 2 4 22" xfId="4744" xr:uid="{00000000-0005-0000-0000-000038080000}"/>
    <cellStyle name="Berechnung 2 4 23" xfId="5124" xr:uid="{00000000-0005-0000-0000-000039080000}"/>
    <cellStyle name="Berechnung 2 4 24" xfId="5701" xr:uid="{00000000-0005-0000-0000-00003A080000}"/>
    <cellStyle name="Berechnung 2 4 3" xfId="1281" xr:uid="{00000000-0005-0000-0000-00003B080000}"/>
    <cellStyle name="Berechnung 2 4 4" xfId="1235" xr:uid="{00000000-0005-0000-0000-00003C080000}"/>
    <cellStyle name="Berechnung 2 4 5" xfId="1588" xr:uid="{00000000-0005-0000-0000-00003D080000}"/>
    <cellStyle name="Berechnung 2 4 6" xfId="1779" xr:uid="{00000000-0005-0000-0000-00003E080000}"/>
    <cellStyle name="Berechnung 2 4 7" xfId="1289" xr:uid="{00000000-0005-0000-0000-00003F080000}"/>
    <cellStyle name="Berechnung 2 4 8" xfId="2040" xr:uid="{00000000-0005-0000-0000-000040080000}"/>
    <cellStyle name="Berechnung 2 4 9" xfId="2118" xr:uid="{00000000-0005-0000-0000-000041080000}"/>
    <cellStyle name="Berechnung 2 5" xfId="1057" xr:uid="{00000000-0005-0000-0000-000042080000}"/>
    <cellStyle name="Berechnung 2 5 2" xfId="4080" xr:uid="{00000000-0005-0000-0000-000043080000}"/>
    <cellStyle name="Berechnung 2 5 3" xfId="3657" xr:uid="{00000000-0005-0000-0000-000044080000}"/>
    <cellStyle name="Berechnung 2 5 4" xfId="4878" xr:uid="{00000000-0005-0000-0000-000045080000}"/>
    <cellStyle name="Berechnung 2 5 5" xfId="5252" xr:uid="{00000000-0005-0000-0000-000046080000}"/>
    <cellStyle name="Berechnung 2 5 6" xfId="5829" xr:uid="{00000000-0005-0000-0000-000047080000}"/>
    <cellStyle name="Berechnung 2 6" xfId="1071" xr:uid="{00000000-0005-0000-0000-000048080000}"/>
    <cellStyle name="Berechnung 2 7" xfId="1089" xr:uid="{00000000-0005-0000-0000-000049080000}"/>
    <cellStyle name="Berechnung 2 8" xfId="1143" xr:uid="{00000000-0005-0000-0000-00004A080000}"/>
    <cellStyle name="Berechnung 2 9" xfId="788" xr:uid="{00000000-0005-0000-0000-00004B080000}"/>
    <cellStyle name="Berechnung 20" xfId="2079" xr:uid="{00000000-0005-0000-0000-00004C080000}"/>
    <cellStyle name="Berechnung 21" xfId="2836" xr:uid="{00000000-0005-0000-0000-00004D080000}"/>
    <cellStyle name="Berechnung 22" xfId="2907" xr:uid="{00000000-0005-0000-0000-00004E080000}"/>
    <cellStyle name="Berechnung 23" xfId="3250" xr:uid="{00000000-0005-0000-0000-00004F080000}"/>
    <cellStyle name="Berechnung 24" xfId="3315" xr:uid="{00000000-0005-0000-0000-000050080000}"/>
    <cellStyle name="Berechnung 25" xfId="3574" hidden="1" xr:uid="{00000000-0005-0000-0000-000051080000}"/>
    <cellStyle name="Berechnung 25" xfId="3761" hidden="1" xr:uid="{00000000-0005-0000-0000-000052080000}"/>
    <cellStyle name="Berechnung 25" xfId="3682" hidden="1" xr:uid="{00000000-0005-0000-0000-000053080000}"/>
    <cellStyle name="Berechnung 25" xfId="3795" hidden="1" xr:uid="{00000000-0005-0000-0000-000054080000}"/>
    <cellStyle name="Berechnung 25" xfId="4411" hidden="1" xr:uid="{00000000-0005-0000-0000-000055080000}"/>
    <cellStyle name="Berechnung 25" xfId="4318" hidden="1" xr:uid="{00000000-0005-0000-0000-000056080000}"/>
    <cellStyle name="Berechnung 25" xfId="4551" hidden="1" xr:uid="{00000000-0005-0000-0000-000057080000}"/>
    <cellStyle name="Berechnung 25" xfId="4638" hidden="1" xr:uid="{00000000-0005-0000-0000-000058080000}"/>
    <cellStyle name="Berechnung 25" xfId="5440" hidden="1" xr:uid="{00000000-0005-0000-0000-000059080000}"/>
    <cellStyle name="Berechnung 3" xfId="376" xr:uid="{00000000-0005-0000-0000-00005A080000}"/>
    <cellStyle name="Berechnung 3 10" xfId="1497" xr:uid="{00000000-0005-0000-0000-00005B080000}"/>
    <cellStyle name="Berechnung 3 11" xfId="873" xr:uid="{00000000-0005-0000-0000-00005C080000}"/>
    <cellStyle name="Berechnung 3 12" xfId="1810" xr:uid="{00000000-0005-0000-0000-00005D080000}"/>
    <cellStyle name="Berechnung 3 13" xfId="1302" xr:uid="{00000000-0005-0000-0000-00005E080000}"/>
    <cellStyle name="Berechnung 3 14" xfId="823" xr:uid="{00000000-0005-0000-0000-00005F080000}"/>
    <cellStyle name="Berechnung 3 15" xfId="1982" xr:uid="{00000000-0005-0000-0000-000060080000}"/>
    <cellStyle name="Berechnung 3 16" xfId="1054" xr:uid="{00000000-0005-0000-0000-000061080000}"/>
    <cellStyle name="Berechnung 3 17" xfId="2352" xr:uid="{00000000-0005-0000-0000-000062080000}"/>
    <cellStyle name="Berechnung 3 18" xfId="2058" xr:uid="{00000000-0005-0000-0000-000063080000}"/>
    <cellStyle name="Berechnung 3 19" xfId="2868" xr:uid="{00000000-0005-0000-0000-000064080000}"/>
    <cellStyle name="Berechnung 3 2" xfId="715" xr:uid="{00000000-0005-0000-0000-000065080000}"/>
    <cellStyle name="Berechnung 3 2 10" xfId="2224" xr:uid="{00000000-0005-0000-0000-000066080000}"/>
    <cellStyle name="Berechnung 3 2 11" xfId="2281" xr:uid="{00000000-0005-0000-0000-000067080000}"/>
    <cellStyle name="Berechnung 3 2 12" xfId="2460" xr:uid="{00000000-0005-0000-0000-000068080000}"/>
    <cellStyle name="Berechnung 3 2 13" xfId="2640" xr:uid="{00000000-0005-0000-0000-000069080000}"/>
    <cellStyle name="Berechnung 3 2 14" xfId="2752" xr:uid="{00000000-0005-0000-0000-00006A080000}"/>
    <cellStyle name="Berechnung 3 2 15" xfId="2791" xr:uid="{00000000-0005-0000-0000-00006B080000}"/>
    <cellStyle name="Berechnung 3 2 16" xfId="3014" xr:uid="{00000000-0005-0000-0000-00006C080000}"/>
    <cellStyle name="Berechnung 3 2 17" xfId="3182" xr:uid="{00000000-0005-0000-0000-00006D080000}"/>
    <cellStyle name="Berechnung 3 2 18" xfId="3416" xr:uid="{00000000-0005-0000-0000-00006E080000}"/>
    <cellStyle name="Berechnung 3 2 19" xfId="3521" xr:uid="{00000000-0005-0000-0000-00006F080000}"/>
    <cellStyle name="Berechnung 3 2 2" xfId="1222" xr:uid="{00000000-0005-0000-0000-000070080000}"/>
    <cellStyle name="Berechnung 3 2 2 2" xfId="4200" xr:uid="{00000000-0005-0000-0000-000071080000}"/>
    <cellStyle name="Berechnung 3 2 2 3" xfId="3632" xr:uid="{00000000-0005-0000-0000-000072080000}"/>
    <cellStyle name="Berechnung 3 2 2 4" xfId="4998" xr:uid="{00000000-0005-0000-0000-000073080000}"/>
    <cellStyle name="Berechnung 3 2 2 5" xfId="5372" xr:uid="{00000000-0005-0000-0000-000074080000}"/>
    <cellStyle name="Berechnung 3 2 2 6" xfId="5949" xr:uid="{00000000-0005-0000-0000-000075080000}"/>
    <cellStyle name="Berechnung 3 2 20" xfId="3986" xr:uid="{00000000-0005-0000-0000-000076080000}"/>
    <cellStyle name="Berechnung 3 2 21" xfId="4437" xr:uid="{00000000-0005-0000-0000-000077080000}"/>
    <cellStyle name="Berechnung 3 2 22" xfId="4786" xr:uid="{00000000-0005-0000-0000-000078080000}"/>
    <cellStyle name="Berechnung 3 2 23" xfId="5166" xr:uid="{00000000-0005-0000-0000-000079080000}"/>
    <cellStyle name="Berechnung 3 2 24" xfId="5743" xr:uid="{00000000-0005-0000-0000-00007A080000}"/>
    <cellStyle name="Berechnung 3 2 3" xfId="1316" xr:uid="{00000000-0005-0000-0000-00007B080000}"/>
    <cellStyle name="Berechnung 3 2 4" xfId="1396" xr:uid="{00000000-0005-0000-0000-00007C080000}"/>
    <cellStyle name="Berechnung 3 2 5" xfId="1630" xr:uid="{00000000-0005-0000-0000-00007D080000}"/>
    <cellStyle name="Berechnung 3 2 6" xfId="1812" xr:uid="{00000000-0005-0000-0000-00007E080000}"/>
    <cellStyle name="Berechnung 3 2 7" xfId="1902" xr:uid="{00000000-0005-0000-0000-00007F080000}"/>
    <cellStyle name="Berechnung 3 2 8" xfId="2067" xr:uid="{00000000-0005-0000-0000-000080080000}"/>
    <cellStyle name="Berechnung 3 2 9" xfId="2145" xr:uid="{00000000-0005-0000-0000-000081080000}"/>
    <cellStyle name="Berechnung 3 20" xfId="2899" xr:uid="{00000000-0005-0000-0000-000082080000}"/>
    <cellStyle name="Berechnung 3 21" xfId="3281" xr:uid="{00000000-0005-0000-0000-000083080000}"/>
    <cellStyle name="Berechnung 3 22" xfId="3306" xr:uid="{00000000-0005-0000-0000-000084080000}"/>
    <cellStyle name="Berechnung 3 23" xfId="3734" xr:uid="{00000000-0005-0000-0000-000085080000}"/>
    <cellStyle name="Berechnung 3 24" xfId="4453" xr:uid="{00000000-0005-0000-0000-000086080000}"/>
    <cellStyle name="Berechnung 3 25" xfId="4622" xr:uid="{00000000-0005-0000-0000-000087080000}"/>
    <cellStyle name="Berechnung 3 26" xfId="4548" xr:uid="{00000000-0005-0000-0000-000088080000}"/>
    <cellStyle name="Berechnung 3 27" xfId="5486" xr:uid="{00000000-0005-0000-0000-000089080000}"/>
    <cellStyle name="Berechnung 3 3" xfId="651" xr:uid="{00000000-0005-0000-0000-00008A080000}"/>
    <cellStyle name="Berechnung 3 3 10" xfId="1133" xr:uid="{00000000-0005-0000-0000-00008B080000}"/>
    <cellStyle name="Berechnung 3 3 11" xfId="2062" xr:uid="{00000000-0005-0000-0000-00008C080000}"/>
    <cellStyle name="Berechnung 3 3 12" xfId="2396" xr:uid="{00000000-0005-0000-0000-00008D080000}"/>
    <cellStyle name="Berechnung 3 3 13" xfId="2576" xr:uid="{00000000-0005-0000-0000-00008E080000}"/>
    <cellStyle name="Berechnung 3 3 14" xfId="2726" xr:uid="{00000000-0005-0000-0000-00008F080000}"/>
    <cellStyle name="Berechnung 3 3 15" xfId="2116" xr:uid="{00000000-0005-0000-0000-000090080000}"/>
    <cellStyle name="Berechnung 3 3 16" xfId="2950" xr:uid="{00000000-0005-0000-0000-000091080000}"/>
    <cellStyle name="Berechnung 3 3 17" xfId="3118" xr:uid="{00000000-0005-0000-0000-000092080000}"/>
    <cellStyle name="Berechnung 3 3 18" xfId="3352" xr:uid="{00000000-0005-0000-0000-000093080000}"/>
    <cellStyle name="Berechnung 3 3 19" xfId="3496" xr:uid="{00000000-0005-0000-0000-000094080000}"/>
    <cellStyle name="Berechnung 3 3 2" xfId="1167" xr:uid="{00000000-0005-0000-0000-000095080000}"/>
    <cellStyle name="Berechnung 3 3 2 2" xfId="4136" xr:uid="{00000000-0005-0000-0000-000096080000}"/>
    <cellStyle name="Berechnung 3 3 2 3" xfId="3565" xr:uid="{00000000-0005-0000-0000-000097080000}"/>
    <cellStyle name="Berechnung 3 3 2 4" xfId="4934" xr:uid="{00000000-0005-0000-0000-000098080000}"/>
    <cellStyle name="Berechnung 3 3 2 5" xfId="5308" xr:uid="{00000000-0005-0000-0000-000099080000}"/>
    <cellStyle name="Berechnung 3 3 2 6" xfId="5885" xr:uid="{00000000-0005-0000-0000-00009A080000}"/>
    <cellStyle name="Berechnung 3 3 20" xfId="3922" xr:uid="{00000000-0005-0000-0000-00009B080000}"/>
    <cellStyle name="Berechnung 3 3 21" xfId="3556" xr:uid="{00000000-0005-0000-0000-00009C080000}"/>
    <cellStyle name="Berechnung 3 3 22" xfId="4722" xr:uid="{00000000-0005-0000-0000-00009D080000}"/>
    <cellStyle name="Berechnung 3 3 23" xfId="5102" xr:uid="{00000000-0005-0000-0000-00009E080000}"/>
    <cellStyle name="Berechnung 3 3 24" xfId="5679" xr:uid="{00000000-0005-0000-0000-00009F080000}"/>
    <cellStyle name="Berechnung 3 3 3" xfId="801" xr:uid="{00000000-0005-0000-0000-0000A0080000}"/>
    <cellStyle name="Berechnung 3 3 4" xfId="1337" xr:uid="{00000000-0005-0000-0000-0000A1080000}"/>
    <cellStyle name="Berechnung 3 3 5" xfId="1566" xr:uid="{00000000-0005-0000-0000-0000A2080000}"/>
    <cellStyle name="Berechnung 3 3 6" xfId="1760" xr:uid="{00000000-0005-0000-0000-0000A3080000}"/>
    <cellStyle name="Berechnung 3 3 7" xfId="1017" xr:uid="{00000000-0005-0000-0000-0000A4080000}"/>
    <cellStyle name="Berechnung 3 3 8" xfId="2022" xr:uid="{00000000-0005-0000-0000-0000A5080000}"/>
    <cellStyle name="Berechnung 3 3 9" xfId="1777" xr:uid="{00000000-0005-0000-0000-0000A6080000}"/>
    <cellStyle name="Berechnung 3 4" xfId="663" xr:uid="{00000000-0005-0000-0000-0000A7080000}"/>
    <cellStyle name="Berechnung 3 4 10" xfId="2192" xr:uid="{00000000-0005-0000-0000-0000A8080000}"/>
    <cellStyle name="Berechnung 3 4 11" xfId="1762" xr:uid="{00000000-0005-0000-0000-0000A9080000}"/>
    <cellStyle name="Berechnung 3 4 12" xfId="2408" xr:uid="{00000000-0005-0000-0000-0000AA080000}"/>
    <cellStyle name="Berechnung 3 4 13" xfId="2588" xr:uid="{00000000-0005-0000-0000-0000AB080000}"/>
    <cellStyle name="Berechnung 3 4 14" xfId="2732" xr:uid="{00000000-0005-0000-0000-0000AC080000}"/>
    <cellStyle name="Berechnung 3 4 15" xfId="2351" xr:uid="{00000000-0005-0000-0000-0000AD080000}"/>
    <cellStyle name="Berechnung 3 4 16" xfId="2962" xr:uid="{00000000-0005-0000-0000-0000AE080000}"/>
    <cellStyle name="Berechnung 3 4 17" xfId="3130" xr:uid="{00000000-0005-0000-0000-0000AF080000}"/>
    <cellStyle name="Berechnung 3 4 18" xfId="3364" xr:uid="{00000000-0005-0000-0000-0000B0080000}"/>
    <cellStyle name="Berechnung 3 4 19" xfId="3502" xr:uid="{00000000-0005-0000-0000-0000B1080000}"/>
    <cellStyle name="Berechnung 3 4 2" xfId="1178" xr:uid="{00000000-0005-0000-0000-0000B2080000}"/>
    <cellStyle name="Berechnung 3 4 2 2" xfId="4148" xr:uid="{00000000-0005-0000-0000-0000B3080000}"/>
    <cellStyle name="Berechnung 3 4 2 3" xfId="4308" xr:uid="{00000000-0005-0000-0000-0000B4080000}"/>
    <cellStyle name="Berechnung 3 4 2 4" xfId="4946" xr:uid="{00000000-0005-0000-0000-0000B5080000}"/>
    <cellStyle name="Berechnung 3 4 2 5" xfId="5320" xr:uid="{00000000-0005-0000-0000-0000B6080000}"/>
    <cellStyle name="Berechnung 3 4 2 6" xfId="5897" xr:uid="{00000000-0005-0000-0000-0000B7080000}"/>
    <cellStyle name="Berechnung 3 4 20" xfId="3934" xr:uid="{00000000-0005-0000-0000-0000B8080000}"/>
    <cellStyle name="Berechnung 3 4 21" xfId="3618" xr:uid="{00000000-0005-0000-0000-0000B9080000}"/>
    <cellStyle name="Berechnung 3 4 22" xfId="4734" xr:uid="{00000000-0005-0000-0000-0000BA080000}"/>
    <cellStyle name="Berechnung 3 4 23" xfId="5114" xr:uid="{00000000-0005-0000-0000-0000BB080000}"/>
    <cellStyle name="Berechnung 3 4 24" xfId="5691" xr:uid="{00000000-0005-0000-0000-0000BC080000}"/>
    <cellStyle name="Berechnung 3 4 3" xfId="798" xr:uid="{00000000-0005-0000-0000-0000BD080000}"/>
    <cellStyle name="Berechnung 3 4 4" xfId="1086" xr:uid="{00000000-0005-0000-0000-0000BE080000}"/>
    <cellStyle name="Berechnung 3 4 5" xfId="1578" xr:uid="{00000000-0005-0000-0000-0000BF080000}"/>
    <cellStyle name="Berechnung 3 4 6" xfId="1769" xr:uid="{00000000-0005-0000-0000-0000C0080000}"/>
    <cellStyle name="Berechnung 3 4 7" xfId="932" xr:uid="{00000000-0005-0000-0000-0000C1080000}"/>
    <cellStyle name="Berechnung 3 4 8" xfId="2033" xr:uid="{00000000-0005-0000-0000-0000C2080000}"/>
    <cellStyle name="Berechnung 3 4 9" xfId="1214" xr:uid="{00000000-0005-0000-0000-0000C3080000}"/>
    <cellStyle name="Berechnung 3 5" xfId="963" xr:uid="{00000000-0005-0000-0000-0000C4080000}"/>
    <cellStyle name="Berechnung 3 5 2" xfId="4071" xr:uid="{00000000-0005-0000-0000-0000C5080000}"/>
    <cellStyle name="Berechnung 3 5 3" xfId="4407" xr:uid="{00000000-0005-0000-0000-0000C6080000}"/>
    <cellStyle name="Berechnung 3 5 4" xfId="4871" xr:uid="{00000000-0005-0000-0000-0000C7080000}"/>
    <cellStyle name="Berechnung 3 5 5" xfId="5247" xr:uid="{00000000-0005-0000-0000-0000C8080000}"/>
    <cellStyle name="Berechnung 3 5 6" xfId="5824" xr:uid="{00000000-0005-0000-0000-0000C9080000}"/>
    <cellStyle name="Berechnung 3 6" xfId="928" xr:uid="{00000000-0005-0000-0000-0000CA080000}"/>
    <cellStyle name="Berechnung 3 7" xfId="1212" xr:uid="{00000000-0005-0000-0000-0000CB080000}"/>
    <cellStyle name="Berechnung 3 8" xfId="831" xr:uid="{00000000-0005-0000-0000-0000CC080000}"/>
    <cellStyle name="Berechnung 3 9" xfId="872" xr:uid="{00000000-0005-0000-0000-0000CD080000}"/>
    <cellStyle name="Berechnung 4" xfId="648" xr:uid="{00000000-0005-0000-0000-0000CE080000}"/>
    <cellStyle name="Berechnung 4 10" xfId="1701" xr:uid="{00000000-0005-0000-0000-0000CF080000}"/>
    <cellStyle name="Berechnung 4 11" xfId="2112" xr:uid="{00000000-0005-0000-0000-0000D0080000}"/>
    <cellStyle name="Berechnung 4 12" xfId="2393" xr:uid="{00000000-0005-0000-0000-0000D1080000}"/>
    <cellStyle name="Berechnung 4 13" xfId="2573" xr:uid="{00000000-0005-0000-0000-0000D2080000}"/>
    <cellStyle name="Berechnung 4 14" xfId="2724" xr:uid="{00000000-0005-0000-0000-0000D3080000}"/>
    <cellStyle name="Berechnung 4 15" xfId="2538" xr:uid="{00000000-0005-0000-0000-0000D4080000}"/>
    <cellStyle name="Berechnung 4 16" xfId="2947" xr:uid="{00000000-0005-0000-0000-0000D5080000}"/>
    <cellStyle name="Berechnung 4 17" xfId="3115" xr:uid="{00000000-0005-0000-0000-0000D6080000}"/>
    <cellStyle name="Berechnung 4 18" xfId="3349" xr:uid="{00000000-0005-0000-0000-0000D7080000}"/>
    <cellStyle name="Berechnung 4 19" xfId="3494" xr:uid="{00000000-0005-0000-0000-0000D8080000}"/>
    <cellStyle name="Berechnung 4 2" xfId="1164" xr:uid="{00000000-0005-0000-0000-0000D9080000}"/>
    <cellStyle name="Berechnung 4 2 2" xfId="4133" xr:uid="{00000000-0005-0000-0000-0000DA080000}"/>
    <cellStyle name="Berechnung 4 2 3" xfId="3563" xr:uid="{00000000-0005-0000-0000-0000DB080000}"/>
    <cellStyle name="Berechnung 4 2 4" xfId="4931" xr:uid="{00000000-0005-0000-0000-0000DC080000}"/>
    <cellStyle name="Berechnung 4 2 5" xfId="5305" xr:uid="{00000000-0005-0000-0000-0000DD080000}"/>
    <cellStyle name="Berechnung 4 2 6" xfId="5882" xr:uid="{00000000-0005-0000-0000-0000DE080000}"/>
    <cellStyle name="Berechnung 4 20" xfId="3919" xr:uid="{00000000-0005-0000-0000-0000DF080000}"/>
    <cellStyle name="Berechnung 4 21" xfId="4454" xr:uid="{00000000-0005-0000-0000-0000E0080000}"/>
    <cellStyle name="Berechnung 4 22" xfId="4719" xr:uid="{00000000-0005-0000-0000-0000E1080000}"/>
    <cellStyle name="Berechnung 4 23" xfId="5099" xr:uid="{00000000-0005-0000-0000-0000E2080000}"/>
    <cellStyle name="Berechnung 4 24" xfId="5676" xr:uid="{00000000-0005-0000-0000-0000E3080000}"/>
    <cellStyle name="Berechnung 4 3" xfId="912" xr:uid="{00000000-0005-0000-0000-0000E4080000}"/>
    <cellStyle name="Berechnung 4 4" xfId="786" xr:uid="{00000000-0005-0000-0000-0000E5080000}"/>
    <cellStyle name="Berechnung 4 5" xfId="1563" xr:uid="{00000000-0005-0000-0000-0000E6080000}"/>
    <cellStyle name="Berechnung 4 6" xfId="1758" xr:uid="{00000000-0005-0000-0000-0000E7080000}"/>
    <cellStyle name="Berechnung 4 7" xfId="1520" xr:uid="{00000000-0005-0000-0000-0000E8080000}"/>
    <cellStyle name="Berechnung 4 8" xfId="2019" xr:uid="{00000000-0005-0000-0000-0000E9080000}"/>
    <cellStyle name="Berechnung 4 9" xfId="1477" xr:uid="{00000000-0005-0000-0000-0000EA080000}"/>
    <cellStyle name="Berechnung 5" xfId="765" xr:uid="{00000000-0005-0000-0000-0000EB080000}"/>
    <cellStyle name="Berechnung 5 10" xfId="2257" xr:uid="{00000000-0005-0000-0000-0000EC080000}"/>
    <cellStyle name="Berechnung 5 11" xfId="2331" xr:uid="{00000000-0005-0000-0000-0000ED080000}"/>
    <cellStyle name="Berechnung 5 12" xfId="2510" xr:uid="{00000000-0005-0000-0000-0000EE080000}"/>
    <cellStyle name="Berechnung 5 13" xfId="2690" xr:uid="{00000000-0005-0000-0000-0000EF080000}"/>
    <cellStyle name="Berechnung 5 14" xfId="2772" xr:uid="{00000000-0005-0000-0000-0000F0080000}"/>
    <cellStyle name="Berechnung 5 15" xfId="2811" xr:uid="{00000000-0005-0000-0000-0000F1080000}"/>
    <cellStyle name="Berechnung 5 16" xfId="3064" xr:uid="{00000000-0005-0000-0000-0000F2080000}"/>
    <cellStyle name="Berechnung 5 17" xfId="3232" xr:uid="{00000000-0005-0000-0000-0000F3080000}"/>
    <cellStyle name="Berechnung 5 18" xfId="3466" xr:uid="{00000000-0005-0000-0000-0000F4080000}"/>
    <cellStyle name="Berechnung 5 19" xfId="3541" xr:uid="{00000000-0005-0000-0000-0000F5080000}"/>
    <cellStyle name="Berechnung 5 2" xfId="1265" xr:uid="{00000000-0005-0000-0000-0000F6080000}"/>
    <cellStyle name="Berechnung 5 2 2" xfId="4250" xr:uid="{00000000-0005-0000-0000-0000F7080000}"/>
    <cellStyle name="Berechnung 5 2 3" xfId="4509" xr:uid="{00000000-0005-0000-0000-0000F8080000}"/>
    <cellStyle name="Berechnung 5 2 4" xfId="5048" xr:uid="{00000000-0005-0000-0000-0000F9080000}"/>
    <cellStyle name="Berechnung 5 2 5" xfId="5422" xr:uid="{00000000-0005-0000-0000-0000FA080000}"/>
    <cellStyle name="Berechnung 5 2 6" xfId="5999" xr:uid="{00000000-0005-0000-0000-0000FB080000}"/>
    <cellStyle name="Berechnung 5 20" xfId="4036" xr:uid="{00000000-0005-0000-0000-0000FC080000}"/>
    <cellStyle name="Berechnung 5 21" xfId="4447" xr:uid="{00000000-0005-0000-0000-0000FD080000}"/>
    <cellStyle name="Berechnung 5 22" xfId="4836" xr:uid="{00000000-0005-0000-0000-0000FE080000}"/>
    <cellStyle name="Berechnung 5 23" xfId="5216" xr:uid="{00000000-0005-0000-0000-0000FF080000}"/>
    <cellStyle name="Berechnung 5 24" xfId="5793" xr:uid="{00000000-0005-0000-0000-000000090000}"/>
    <cellStyle name="Berechnung 5 3" xfId="1361" xr:uid="{00000000-0005-0000-0000-000001090000}"/>
    <cellStyle name="Berechnung 5 4" xfId="1446" xr:uid="{00000000-0005-0000-0000-000002090000}"/>
    <cellStyle name="Berechnung 5 5" xfId="1680" xr:uid="{00000000-0005-0000-0000-000003090000}"/>
    <cellStyle name="Berechnung 5 6" xfId="1850" xr:uid="{00000000-0005-0000-0000-000004090000}"/>
    <cellStyle name="Berechnung 5 7" xfId="1952" xr:uid="{00000000-0005-0000-0000-000005090000}"/>
    <cellStyle name="Berechnung 5 8" xfId="2103" xr:uid="{00000000-0005-0000-0000-000006090000}"/>
    <cellStyle name="Berechnung 5 9" xfId="2182" xr:uid="{00000000-0005-0000-0000-000007090000}"/>
    <cellStyle name="Berechnung 6" xfId="777" xr:uid="{00000000-0005-0000-0000-000008090000}"/>
    <cellStyle name="Berechnung 6 10" xfId="2264" xr:uid="{00000000-0005-0000-0000-000009090000}"/>
    <cellStyle name="Berechnung 6 11" xfId="2342" xr:uid="{00000000-0005-0000-0000-00000A090000}"/>
    <cellStyle name="Berechnung 6 12" xfId="2521" xr:uid="{00000000-0005-0000-0000-00000B090000}"/>
    <cellStyle name="Berechnung 6 13" xfId="2701" xr:uid="{00000000-0005-0000-0000-00000C090000}"/>
    <cellStyle name="Berechnung 6 14" xfId="2776" xr:uid="{00000000-0005-0000-0000-00000D090000}"/>
    <cellStyle name="Berechnung 6 15" xfId="2815" xr:uid="{00000000-0005-0000-0000-00000E090000}"/>
    <cellStyle name="Berechnung 6 16" xfId="3075" xr:uid="{00000000-0005-0000-0000-00000F090000}"/>
    <cellStyle name="Berechnung 6 17" xfId="3243" xr:uid="{00000000-0005-0000-0000-000010090000}"/>
    <cellStyle name="Berechnung 6 18" xfId="3477" xr:uid="{00000000-0005-0000-0000-000011090000}"/>
    <cellStyle name="Berechnung 6 19" xfId="3545" xr:uid="{00000000-0005-0000-0000-000012090000}"/>
    <cellStyle name="Berechnung 6 2" xfId="1276" xr:uid="{00000000-0005-0000-0000-000013090000}"/>
    <cellStyle name="Berechnung 6 2 2" xfId="4261" xr:uid="{00000000-0005-0000-0000-000014090000}"/>
    <cellStyle name="Berechnung 6 2 3" xfId="4520" xr:uid="{00000000-0005-0000-0000-000015090000}"/>
    <cellStyle name="Berechnung 6 2 4" xfId="5059" xr:uid="{00000000-0005-0000-0000-000016090000}"/>
    <cellStyle name="Berechnung 6 2 5" xfId="5433" xr:uid="{00000000-0005-0000-0000-000017090000}"/>
    <cellStyle name="Berechnung 6 2 6" xfId="6010" xr:uid="{00000000-0005-0000-0000-000018090000}"/>
    <cellStyle name="Berechnung 6 20" xfId="4047" xr:uid="{00000000-0005-0000-0000-000019090000}"/>
    <cellStyle name="Berechnung 6 21" xfId="3696" xr:uid="{00000000-0005-0000-0000-00001A090000}"/>
    <cellStyle name="Berechnung 6 22" xfId="4847" xr:uid="{00000000-0005-0000-0000-00001B090000}"/>
    <cellStyle name="Berechnung 6 23" xfId="5227" xr:uid="{00000000-0005-0000-0000-00001C090000}"/>
    <cellStyle name="Berechnung 6 24" xfId="5804" xr:uid="{00000000-0005-0000-0000-00001D090000}"/>
    <cellStyle name="Berechnung 6 3" xfId="1370" xr:uid="{00000000-0005-0000-0000-00001E090000}"/>
    <cellStyle name="Berechnung 6 4" xfId="1457" xr:uid="{00000000-0005-0000-0000-00001F090000}"/>
    <cellStyle name="Berechnung 6 5" xfId="1692" xr:uid="{00000000-0005-0000-0000-000020090000}"/>
    <cellStyle name="Berechnung 6 6" xfId="1860" xr:uid="{00000000-0005-0000-0000-000021090000}"/>
    <cellStyle name="Berechnung 6 7" xfId="1963" xr:uid="{00000000-0005-0000-0000-000022090000}"/>
    <cellStyle name="Berechnung 6 8" xfId="2115" xr:uid="{00000000-0005-0000-0000-000023090000}"/>
    <cellStyle name="Berechnung 6 9" xfId="2188" xr:uid="{00000000-0005-0000-0000-000024090000}"/>
    <cellStyle name="Berechnung 7" xfId="848" xr:uid="{00000000-0005-0000-0000-000025090000}"/>
    <cellStyle name="Berechnung 7 2" xfId="4053" xr:uid="{00000000-0005-0000-0000-000026090000}"/>
    <cellStyle name="Berechnung 7 3" xfId="3681" xr:uid="{00000000-0005-0000-0000-000027090000}"/>
    <cellStyle name="Berechnung 7 4" xfId="4853" xr:uid="{00000000-0005-0000-0000-000028090000}"/>
    <cellStyle name="Berechnung 7 5" xfId="5233" xr:uid="{00000000-0005-0000-0000-000029090000}"/>
    <cellStyle name="Berechnung 7 6" xfId="5810" xr:uid="{00000000-0005-0000-0000-00002A090000}"/>
    <cellStyle name="Berechnung 8" xfId="996" xr:uid="{00000000-0005-0000-0000-00002B090000}"/>
    <cellStyle name="Berechnung 9" xfId="1277" xr:uid="{00000000-0005-0000-0000-00002C090000}"/>
    <cellStyle name="Bold GHG Numbers (0.00)" xfId="52" xr:uid="{00000000-0005-0000-0000-00002D090000}"/>
    <cellStyle name="Calculation" xfId="53" xr:uid="{00000000-0005-0000-0000-00002E090000}"/>
    <cellStyle name="Calculation 2" xfId="224" xr:uid="{00000000-0005-0000-0000-00002F090000}"/>
    <cellStyle name="Calculation 2 10" xfId="1366" xr:uid="{00000000-0005-0000-0000-000030090000}"/>
    <cellStyle name="Calculation 2 11" xfId="984" xr:uid="{00000000-0005-0000-0000-000031090000}"/>
    <cellStyle name="Calculation 2 12" xfId="1698" xr:uid="{00000000-0005-0000-0000-000032090000}"/>
    <cellStyle name="Calculation 2 13" xfId="1490" xr:uid="{00000000-0005-0000-0000-000033090000}"/>
    <cellStyle name="Calculation 2 14" xfId="1995" xr:uid="{00000000-0005-0000-0000-000034090000}"/>
    <cellStyle name="Calculation 2 15" xfId="1704" xr:uid="{00000000-0005-0000-0000-000035090000}"/>
    <cellStyle name="Calculation 2 16" xfId="2353" xr:uid="{00000000-0005-0000-0000-000036090000}"/>
    <cellStyle name="Calculation 2 17" xfId="1817" xr:uid="{00000000-0005-0000-0000-000037090000}"/>
    <cellStyle name="Calculation 2 18" xfId="1351" xr:uid="{00000000-0005-0000-0000-000038090000}"/>
    <cellStyle name="Calculation 2 19" xfId="2837" xr:uid="{00000000-0005-0000-0000-000039090000}"/>
    <cellStyle name="Calculation 2 2" xfId="650" xr:uid="{00000000-0005-0000-0000-00003A090000}"/>
    <cellStyle name="Calculation 2 2 10" xfId="2071" xr:uid="{00000000-0005-0000-0000-00003B090000}"/>
    <cellStyle name="Calculation 2 2 11" xfId="2105" xr:uid="{00000000-0005-0000-0000-00003C090000}"/>
    <cellStyle name="Calculation 2 2 12" xfId="2395" xr:uid="{00000000-0005-0000-0000-00003D090000}"/>
    <cellStyle name="Calculation 2 2 13" xfId="2575" xr:uid="{00000000-0005-0000-0000-00003E090000}"/>
    <cellStyle name="Calculation 2 2 14" xfId="2725" xr:uid="{00000000-0005-0000-0000-00003F090000}"/>
    <cellStyle name="Calculation 2 2 15" xfId="869" xr:uid="{00000000-0005-0000-0000-000040090000}"/>
    <cellStyle name="Calculation 2 2 16" xfId="2949" xr:uid="{00000000-0005-0000-0000-000041090000}"/>
    <cellStyle name="Calculation 2 2 17" xfId="3117" xr:uid="{00000000-0005-0000-0000-000042090000}"/>
    <cellStyle name="Calculation 2 2 18" xfId="3351" xr:uid="{00000000-0005-0000-0000-000043090000}"/>
    <cellStyle name="Calculation 2 2 19" xfId="3495" xr:uid="{00000000-0005-0000-0000-000044090000}"/>
    <cellStyle name="Calculation 2 2 2" xfId="1166" xr:uid="{00000000-0005-0000-0000-000045090000}"/>
    <cellStyle name="Calculation 2 2 2 2" xfId="4135" xr:uid="{00000000-0005-0000-0000-000046090000}"/>
    <cellStyle name="Calculation 2 2 2 3" xfId="3720" xr:uid="{00000000-0005-0000-0000-000047090000}"/>
    <cellStyle name="Calculation 2 2 2 4" xfId="4933" xr:uid="{00000000-0005-0000-0000-000048090000}"/>
    <cellStyle name="Calculation 2 2 2 5" xfId="5307" xr:uid="{00000000-0005-0000-0000-000049090000}"/>
    <cellStyle name="Calculation 2 2 2 6" xfId="5884" xr:uid="{00000000-0005-0000-0000-00004A090000}"/>
    <cellStyle name="Calculation 2 2 20" xfId="3921" xr:uid="{00000000-0005-0000-0000-00004B090000}"/>
    <cellStyle name="Calculation 2 2 21" xfId="3839" xr:uid="{00000000-0005-0000-0000-00004C090000}"/>
    <cellStyle name="Calculation 2 2 22" xfId="4721" xr:uid="{00000000-0005-0000-0000-00004D090000}"/>
    <cellStyle name="Calculation 2 2 23" xfId="5101" xr:uid="{00000000-0005-0000-0000-00004E090000}"/>
    <cellStyle name="Calculation 2 2 24" xfId="5678" xr:uid="{00000000-0005-0000-0000-00004F090000}"/>
    <cellStyle name="Calculation 2 2 3" xfId="911" xr:uid="{00000000-0005-0000-0000-000050090000}"/>
    <cellStyle name="Calculation 2 2 4" xfId="807" xr:uid="{00000000-0005-0000-0000-000051090000}"/>
    <cellStyle name="Calculation 2 2 5" xfId="1565" xr:uid="{00000000-0005-0000-0000-000052090000}"/>
    <cellStyle name="Calculation 2 2 6" xfId="1759" xr:uid="{00000000-0005-0000-0000-000053090000}"/>
    <cellStyle name="Calculation 2 2 7" xfId="960" xr:uid="{00000000-0005-0000-0000-000054090000}"/>
    <cellStyle name="Calculation 2 2 8" xfId="2021" xr:uid="{00000000-0005-0000-0000-000055090000}"/>
    <cellStyle name="Calculation 2 2 9" xfId="1262" xr:uid="{00000000-0005-0000-0000-000056090000}"/>
    <cellStyle name="Calculation 2 20" xfId="2883" xr:uid="{00000000-0005-0000-0000-000057090000}"/>
    <cellStyle name="Calculation 2 21" xfId="3251" xr:uid="{00000000-0005-0000-0000-000058090000}"/>
    <cellStyle name="Calculation 2 22" xfId="3314" xr:uid="{00000000-0005-0000-0000-000059090000}"/>
    <cellStyle name="Calculation 2 23" xfId="3646" xr:uid="{00000000-0005-0000-0000-00005A090000}"/>
    <cellStyle name="Calculation 2 24" xfId="4385" xr:uid="{00000000-0005-0000-0000-00005B090000}"/>
    <cellStyle name="Calculation 2 25" xfId="4589" xr:uid="{00000000-0005-0000-0000-00005C090000}"/>
    <cellStyle name="Calculation 2 26" xfId="4674" xr:uid="{00000000-0005-0000-0000-00005D090000}"/>
    <cellStyle name="Calculation 2 27" xfId="5462" xr:uid="{00000000-0005-0000-0000-00005E090000}"/>
    <cellStyle name="Calculation 2 3" xfId="734" xr:uid="{00000000-0005-0000-0000-00005F090000}"/>
    <cellStyle name="Calculation 2 3 10" xfId="2234" xr:uid="{00000000-0005-0000-0000-000060090000}"/>
    <cellStyle name="Calculation 2 3 11" xfId="2300" xr:uid="{00000000-0005-0000-0000-000061090000}"/>
    <cellStyle name="Calculation 2 3 12" xfId="2479" xr:uid="{00000000-0005-0000-0000-000062090000}"/>
    <cellStyle name="Calculation 2 3 13" xfId="2659" xr:uid="{00000000-0005-0000-0000-000063090000}"/>
    <cellStyle name="Calculation 2 3 14" xfId="2761" xr:uid="{00000000-0005-0000-0000-000064090000}"/>
    <cellStyle name="Calculation 2 3 15" xfId="2800" xr:uid="{00000000-0005-0000-0000-000065090000}"/>
    <cellStyle name="Calculation 2 3 16" xfId="3033" xr:uid="{00000000-0005-0000-0000-000066090000}"/>
    <cellStyle name="Calculation 2 3 17" xfId="3201" xr:uid="{00000000-0005-0000-0000-000067090000}"/>
    <cellStyle name="Calculation 2 3 18" xfId="3435" xr:uid="{00000000-0005-0000-0000-000068090000}"/>
    <cellStyle name="Calculation 2 3 19" xfId="3530" xr:uid="{00000000-0005-0000-0000-000069090000}"/>
    <cellStyle name="Calculation 2 3 2" xfId="1239" xr:uid="{00000000-0005-0000-0000-00006A090000}"/>
    <cellStyle name="Calculation 2 3 2 2" xfId="4219" xr:uid="{00000000-0005-0000-0000-00006B090000}"/>
    <cellStyle name="Calculation 2 3 2 3" xfId="3622" xr:uid="{00000000-0005-0000-0000-00006C090000}"/>
    <cellStyle name="Calculation 2 3 2 4" xfId="5017" xr:uid="{00000000-0005-0000-0000-00006D090000}"/>
    <cellStyle name="Calculation 2 3 2 5" xfId="5391" xr:uid="{00000000-0005-0000-0000-00006E090000}"/>
    <cellStyle name="Calculation 2 3 2 6" xfId="5968" xr:uid="{00000000-0005-0000-0000-00006F090000}"/>
    <cellStyle name="Calculation 2 3 20" xfId="4005" xr:uid="{00000000-0005-0000-0000-000070090000}"/>
    <cellStyle name="Calculation 2 3 21" xfId="4286" xr:uid="{00000000-0005-0000-0000-000071090000}"/>
    <cellStyle name="Calculation 2 3 22" xfId="4805" xr:uid="{00000000-0005-0000-0000-000072090000}"/>
    <cellStyle name="Calculation 2 3 23" xfId="5185" xr:uid="{00000000-0005-0000-0000-000073090000}"/>
    <cellStyle name="Calculation 2 3 24" xfId="5762" xr:uid="{00000000-0005-0000-0000-000074090000}"/>
    <cellStyle name="Calculation 2 3 3" xfId="1331" xr:uid="{00000000-0005-0000-0000-000075090000}"/>
    <cellStyle name="Calculation 2 3 4" xfId="1415" xr:uid="{00000000-0005-0000-0000-000076090000}"/>
    <cellStyle name="Calculation 2 3 5" xfId="1649" xr:uid="{00000000-0005-0000-0000-000077090000}"/>
    <cellStyle name="Calculation 2 3 6" xfId="1827" xr:uid="{00000000-0005-0000-0000-000078090000}"/>
    <cellStyle name="Calculation 2 3 7" xfId="1921" xr:uid="{00000000-0005-0000-0000-000079090000}"/>
    <cellStyle name="Calculation 2 3 8" xfId="2083" xr:uid="{00000000-0005-0000-0000-00007A090000}"/>
    <cellStyle name="Calculation 2 3 9" xfId="2160" xr:uid="{00000000-0005-0000-0000-00007B090000}"/>
    <cellStyle name="Calculation 2 4" xfId="640" xr:uid="{00000000-0005-0000-0000-00007C090000}"/>
    <cellStyle name="Calculation 2 4 10" xfId="2014" xr:uid="{00000000-0005-0000-0000-00007D090000}"/>
    <cellStyle name="Calculation 2 4 11" xfId="1107" xr:uid="{00000000-0005-0000-0000-00007E090000}"/>
    <cellStyle name="Calculation 2 4 12" xfId="2385" xr:uid="{00000000-0005-0000-0000-00007F090000}"/>
    <cellStyle name="Calculation 2 4 13" xfId="2565" xr:uid="{00000000-0005-0000-0000-000080090000}"/>
    <cellStyle name="Calculation 2 4 14" xfId="2719" xr:uid="{00000000-0005-0000-0000-000081090000}"/>
    <cellStyle name="Calculation 2 4 15" xfId="2259" xr:uid="{00000000-0005-0000-0000-000082090000}"/>
    <cellStyle name="Calculation 2 4 16" xfId="2939" xr:uid="{00000000-0005-0000-0000-000083090000}"/>
    <cellStyle name="Calculation 2 4 17" xfId="3107" xr:uid="{00000000-0005-0000-0000-000084090000}"/>
    <cellStyle name="Calculation 2 4 18" xfId="3341" xr:uid="{00000000-0005-0000-0000-000085090000}"/>
    <cellStyle name="Calculation 2 4 19" xfId="3489" xr:uid="{00000000-0005-0000-0000-000086090000}"/>
    <cellStyle name="Calculation 2 4 2" xfId="1156" xr:uid="{00000000-0005-0000-0000-000087090000}"/>
    <cellStyle name="Calculation 2 4 2 2" xfId="4125" xr:uid="{00000000-0005-0000-0000-000088090000}"/>
    <cellStyle name="Calculation 2 4 2 3" xfId="3655" xr:uid="{00000000-0005-0000-0000-000089090000}"/>
    <cellStyle name="Calculation 2 4 2 4" xfId="4923" xr:uid="{00000000-0005-0000-0000-00008A090000}"/>
    <cellStyle name="Calculation 2 4 2 5" xfId="5297" xr:uid="{00000000-0005-0000-0000-00008B090000}"/>
    <cellStyle name="Calculation 2 4 2 6" xfId="5874" xr:uid="{00000000-0005-0000-0000-00008C090000}"/>
    <cellStyle name="Calculation 2 4 20" xfId="3911" xr:uid="{00000000-0005-0000-0000-00008D090000}"/>
    <cellStyle name="Calculation 2 4 21" xfId="3711" xr:uid="{00000000-0005-0000-0000-00008E090000}"/>
    <cellStyle name="Calculation 2 4 22" xfId="4711" xr:uid="{00000000-0005-0000-0000-00008F090000}"/>
    <cellStyle name="Calculation 2 4 23" xfId="5091" xr:uid="{00000000-0005-0000-0000-000090090000}"/>
    <cellStyle name="Calculation 2 4 24" xfId="5668" xr:uid="{00000000-0005-0000-0000-000091090000}"/>
    <cellStyle name="Calculation 2 4 3" xfId="915" xr:uid="{00000000-0005-0000-0000-000092090000}"/>
    <cellStyle name="Calculation 2 4 4" xfId="879" xr:uid="{00000000-0005-0000-0000-000093090000}"/>
    <cellStyle name="Calculation 2 4 5" xfId="1555" xr:uid="{00000000-0005-0000-0000-000094090000}"/>
    <cellStyle name="Calculation 2 4 6" xfId="1751" xr:uid="{00000000-0005-0000-0000-000095090000}"/>
    <cellStyle name="Calculation 2 4 7" xfId="1020" xr:uid="{00000000-0005-0000-0000-000096090000}"/>
    <cellStyle name="Calculation 2 4 8" xfId="2011" xr:uid="{00000000-0005-0000-0000-000097090000}"/>
    <cellStyle name="Calculation 2 4 9" xfId="1716" xr:uid="{00000000-0005-0000-0000-000098090000}"/>
    <cellStyle name="Calculation 2 5" xfId="850" xr:uid="{00000000-0005-0000-0000-000099090000}"/>
    <cellStyle name="Calculation 2 5 2" xfId="4054" xr:uid="{00000000-0005-0000-0000-00009A090000}"/>
    <cellStyle name="Calculation 2 5 3" xfId="4405" xr:uid="{00000000-0005-0000-0000-00009B090000}"/>
    <cellStyle name="Calculation 2 5 4" xfId="4854" xr:uid="{00000000-0005-0000-0000-00009C090000}"/>
    <cellStyle name="Calculation 2 5 5" xfId="5234" xr:uid="{00000000-0005-0000-0000-00009D090000}"/>
    <cellStyle name="Calculation 2 5 6" xfId="5811" xr:uid="{00000000-0005-0000-0000-00009E090000}"/>
    <cellStyle name="Calculation 2 6" xfId="978" xr:uid="{00000000-0005-0000-0000-00009F090000}"/>
    <cellStyle name="Calculation 2 7" xfId="1138" xr:uid="{00000000-0005-0000-0000-0000A0090000}"/>
    <cellStyle name="Calculation 2 8" xfId="903" xr:uid="{00000000-0005-0000-0000-0000A1090000}"/>
    <cellStyle name="Calculation 2 9" xfId="1220" xr:uid="{00000000-0005-0000-0000-0000A2090000}"/>
    <cellStyle name="Calculation 3" xfId="327" xr:uid="{00000000-0005-0000-0000-0000A3090000}"/>
    <cellStyle name="Calculation 3 10" xfId="1483" xr:uid="{00000000-0005-0000-0000-0000A4090000}"/>
    <cellStyle name="Calculation 3 11" xfId="1721" xr:uid="{00000000-0005-0000-0000-0000A5090000}"/>
    <cellStyle name="Calculation 3 12" xfId="1055" xr:uid="{00000000-0005-0000-0000-0000A6090000}"/>
    <cellStyle name="Calculation 3 13" xfId="2150" xr:uid="{00000000-0005-0000-0000-0000A7090000}"/>
    <cellStyle name="Calculation 3 14" xfId="953" xr:uid="{00000000-0005-0000-0000-0000A8090000}"/>
    <cellStyle name="Calculation 3 15" xfId="1985" xr:uid="{00000000-0005-0000-0000-0000A9090000}"/>
    <cellStyle name="Calculation 3 16" xfId="1146" xr:uid="{00000000-0005-0000-0000-0000AA090000}"/>
    <cellStyle name="Calculation 3 17" xfId="1048" xr:uid="{00000000-0005-0000-0000-0000AB090000}"/>
    <cellStyle name="Calculation 3 18" xfId="2024" xr:uid="{00000000-0005-0000-0000-0000AC090000}"/>
    <cellStyle name="Calculation 3 19" xfId="2850" xr:uid="{00000000-0005-0000-0000-0000AD090000}"/>
    <cellStyle name="Calculation 3 2" xfId="689" xr:uid="{00000000-0005-0000-0000-0000AE090000}"/>
    <cellStyle name="Calculation 3 2 10" xfId="2209" xr:uid="{00000000-0005-0000-0000-0000AF090000}"/>
    <cellStyle name="Calculation 3 2 11" xfId="792" xr:uid="{00000000-0005-0000-0000-0000B0090000}"/>
    <cellStyle name="Calculation 3 2 12" xfId="2434" xr:uid="{00000000-0005-0000-0000-0000B1090000}"/>
    <cellStyle name="Calculation 3 2 13" xfId="2614" xr:uid="{00000000-0005-0000-0000-0000B2090000}"/>
    <cellStyle name="Calculation 3 2 14" xfId="2744" xr:uid="{00000000-0005-0000-0000-0000B3090000}"/>
    <cellStyle name="Calculation 3 2 15" xfId="2783" xr:uid="{00000000-0005-0000-0000-0000B4090000}"/>
    <cellStyle name="Calculation 3 2 16" xfId="2988" xr:uid="{00000000-0005-0000-0000-0000B5090000}"/>
    <cellStyle name="Calculation 3 2 17" xfId="3156" xr:uid="{00000000-0005-0000-0000-0000B6090000}"/>
    <cellStyle name="Calculation 3 2 18" xfId="3390" xr:uid="{00000000-0005-0000-0000-0000B7090000}"/>
    <cellStyle name="Calculation 3 2 19" xfId="3513" xr:uid="{00000000-0005-0000-0000-0000B8090000}"/>
    <cellStyle name="Calculation 3 2 2" xfId="1201" xr:uid="{00000000-0005-0000-0000-0000B9090000}"/>
    <cellStyle name="Calculation 3 2 2 2" xfId="4174" xr:uid="{00000000-0005-0000-0000-0000BA090000}"/>
    <cellStyle name="Calculation 3 2 2 3" xfId="3662" xr:uid="{00000000-0005-0000-0000-0000BB090000}"/>
    <cellStyle name="Calculation 3 2 2 4" xfId="4972" xr:uid="{00000000-0005-0000-0000-0000BC090000}"/>
    <cellStyle name="Calculation 3 2 2 5" xfId="5346" xr:uid="{00000000-0005-0000-0000-0000BD090000}"/>
    <cellStyle name="Calculation 3 2 2 6" xfId="5923" xr:uid="{00000000-0005-0000-0000-0000BE090000}"/>
    <cellStyle name="Calculation 3 2 20" xfId="3960" xr:uid="{00000000-0005-0000-0000-0000BF090000}"/>
    <cellStyle name="Calculation 3 2 21" xfId="4389" xr:uid="{00000000-0005-0000-0000-0000C0090000}"/>
    <cellStyle name="Calculation 3 2 22" xfId="4760" xr:uid="{00000000-0005-0000-0000-0000C1090000}"/>
    <cellStyle name="Calculation 3 2 23" xfId="5140" xr:uid="{00000000-0005-0000-0000-0000C2090000}"/>
    <cellStyle name="Calculation 3 2 24" xfId="5717" xr:uid="{00000000-0005-0000-0000-0000C3090000}"/>
    <cellStyle name="Calculation 3 2 3" xfId="1295" xr:uid="{00000000-0005-0000-0000-0000C4090000}"/>
    <cellStyle name="Calculation 3 2 4" xfId="1101" xr:uid="{00000000-0005-0000-0000-0000C5090000}"/>
    <cellStyle name="Calculation 3 2 5" xfId="1604" xr:uid="{00000000-0005-0000-0000-0000C6090000}"/>
    <cellStyle name="Calculation 3 2 6" xfId="1790" xr:uid="{00000000-0005-0000-0000-0000C7090000}"/>
    <cellStyle name="Calculation 3 2 7" xfId="1876" xr:uid="{00000000-0005-0000-0000-0000C8090000}"/>
    <cellStyle name="Calculation 3 2 8" xfId="2049" xr:uid="{00000000-0005-0000-0000-0000C9090000}"/>
    <cellStyle name="Calculation 3 2 9" xfId="2127" xr:uid="{00000000-0005-0000-0000-0000CA090000}"/>
    <cellStyle name="Calculation 3 20" xfId="2840" xr:uid="{00000000-0005-0000-0000-0000CB090000}"/>
    <cellStyle name="Calculation 3 21" xfId="3263" xr:uid="{00000000-0005-0000-0000-0000CC090000}"/>
    <cellStyle name="Calculation 3 22" xfId="3255" xr:uid="{00000000-0005-0000-0000-0000CD090000}"/>
    <cellStyle name="Calculation 3 23" xfId="3698" xr:uid="{00000000-0005-0000-0000-0000CE090000}"/>
    <cellStyle name="Calculation 3 24" xfId="4400" xr:uid="{00000000-0005-0000-0000-0000CF090000}"/>
    <cellStyle name="Calculation 3 25" xfId="4602" xr:uid="{00000000-0005-0000-0000-0000D0090000}"/>
    <cellStyle name="Calculation 3 26" xfId="4544" xr:uid="{00000000-0005-0000-0000-0000D1090000}"/>
    <cellStyle name="Calculation 3 27" xfId="5469" xr:uid="{00000000-0005-0000-0000-0000D2090000}"/>
    <cellStyle name="Calculation 3 3" xfId="675" xr:uid="{00000000-0005-0000-0000-0000D3090000}"/>
    <cellStyle name="Calculation 3 3 10" xfId="2202" xr:uid="{00000000-0005-0000-0000-0000D4090000}"/>
    <cellStyle name="Calculation 3 3 11" xfId="2185" xr:uid="{00000000-0005-0000-0000-0000D5090000}"/>
    <cellStyle name="Calculation 3 3 12" xfId="2420" xr:uid="{00000000-0005-0000-0000-0000D6090000}"/>
    <cellStyle name="Calculation 3 3 13" xfId="2600" xr:uid="{00000000-0005-0000-0000-0000D7090000}"/>
    <cellStyle name="Calculation 3 3 14" xfId="2739" xr:uid="{00000000-0005-0000-0000-0000D8090000}"/>
    <cellStyle name="Calculation 3 3 15" xfId="2779" xr:uid="{00000000-0005-0000-0000-0000D9090000}"/>
    <cellStyle name="Calculation 3 3 16" xfId="2974" xr:uid="{00000000-0005-0000-0000-0000DA090000}"/>
    <cellStyle name="Calculation 3 3 17" xfId="3142" xr:uid="{00000000-0005-0000-0000-0000DB090000}"/>
    <cellStyle name="Calculation 3 3 18" xfId="3376" xr:uid="{00000000-0005-0000-0000-0000DC090000}"/>
    <cellStyle name="Calculation 3 3 19" xfId="3509" xr:uid="{00000000-0005-0000-0000-0000DD090000}"/>
    <cellStyle name="Calculation 3 3 2" xfId="1189" xr:uid="{00000000-0005-0000-0000-0000DE090000}"/>
    <cellStyle name="Calculation 3 3 2 2" xfId="4160" xr:uid="{00000000-0005-0000-0000-0000DF090000}"/>
    <cellStyle name="Calculation 3 3 2 3" xfId="4283" xr:uid="{00000000-0005-0000-0000-0000E0090000}"/>
    <cellStyle name="Calculation 3 3 2 4" xfId="4958" xr:uid="{00000000-0005-0000-0000-0000E1090000}"/>
    <cellStyle name="Calculation 3 3 2 5" xfId="5332" xr:uid="{00000000-0005-0000-0000-0000E2090000}"/>
    <cellStyle name="Calculation 3 3 2 6" xfId="5909" xr:uid="{00000000-0005-0000-0000-0000E3090000}"/>
    <cellStyle name="Calculation 3 3 20" xfId="3946" xr:uid="{00000000-0005-0000-0000-0000E4090000}"/>
    <cellStyle name="Calculation 3 3 21" xfId="4450" xr:uid="{00000000-0005-0000-0000-0000E5090000}"/>
    <cellStyle name="Calculation 3 3 22" xfId="4746" xr:uid="{00000000-0005-0000-0000-0000E6090000}"/>
    <cellStyle name="Calculation 3 3 23" xfId="5126" xr:uid="{00000000-0005-0000-0000-0000E7090000}"/>
    <cellStyle name="Calculation 3 3 24" xfId="5703" xr:uid="{00000000-0005-0000-0000-0000E8090000}"/>
    <cellStyle name="Calculation 3 3 3" xfId="1282" xr:uid="{00000000-0005-0000-0000-0000E9090000}"/>
    <cellStyle name="Calculation 3 3 4" xfId="787" xr:uid="{00000000-0005-0000-0000-0000EA090000}"/>
    <cellStyle name="Calculation 3 3 5" xfId="1590" xr:uid="{00000000-0005-0000-0000-0000EB090000}"/>
    <cellStyle name="Calculation 3 3 6" xfId="1780" xr:uid="{00000000-0005-0000-0000-0000EC090000}"/>
    <cellStyle name="Calculation 3 3 7" xfId="1509" xr:uid="{00000000-0005-0000-0000-0000ED090000}"/>
    <cellStyle name="Calculation 3 3 8" xfId="2041" xr:uid="{00000000-0005-0000-0000-0000EE090000}"/>
    <cellStyle name="Calculation 3 3 9" xfId="2120" xr:uid="{00000000-0005-0000-0000-0000EF090000}"/>
    <cellStyle name="Calculation 3 4" xfId="759" xr:uid="{00000000-0005-0000-0000-0000F0090000}"/>
    <cellStyle name="Calculation 3 4 10" xfId="2252" xr:uid="{00000000-0005-0000-0000-0000F1090000}"/>
    <cellStyle name="Calculation 3 4 11" xfId="2325" xr:uid="{00000000-0005-0000-0000-0000F2090000}"/>
    <cellStyle name="Calculation 3 4 12" xfId="2504" xr:uid="{00000000-0005-0000-0000-0000F3090000}"/>
    <cellStyle name="Calculation 3 4 13" xfId="2684" xr:uid="{00000000-0005-0000-0000-0000F4090000}"/>
    <cellStyle name="Calculation 3 4 14" xfId="2769" xr:uid="{00000000-0005-0000-0000-0000F5090000}"/>
    <cellStyle name="Calculation 3 4 15" xfId="2808" xr:uid="{00000000-0005-0000-0000-0000F6090000}"/>
    <cellStyle name="Calculation 3 4 16" xfId="3058" xr:uid="{00000000-0005-0000-0000-0000F7090000}"/>
    <cellStyle name="Calculation 3 4 17" xfId="3226" xr:uid="{00000000-0005-0000-0000-0000F8090000}"/>
    <cellStyle name="Calculation 3 4 18" xfId="3460" xr:uid="{00000000-0005-0000-0000-0000F9090000}"/>
    <cellStyle name="Calculation 3 4 19" xfId="3538" xr:uid="{00000000-0005-0000-0000-0000FA090000}"/>
    <cellStyle name="Calculation 3 4 2" xfId="1260" xr:uid="{00000000-0005-0000-0000-0000FB090000}"/>
    <cellStyle name="Calculation 3 4 2 2" xfId="4244" xr:uid="{00000000-0005-0000-0000-0000FC090000}"/>
    <cellStyle name="Calculation 3 4 2 3" xfId="4503" xr:uid="{00000000-0005-0000-0000-0000FD090000}"/>
    <cellStyle name="Calculation 3 4 2 4" xfId="5042" xr:uid="{00000000-0005-0000-0000-0000FE090000}"/>
    <cellStyle name="Calculation 3 4 2 5" xfId="5416" xr:uid="{00000000-0005-0000-0000-0000FF090000}"/>
    <cellStyle name="Calculation 3 4 2 6" xfId="5993" xr:uid="{00000000-0005-0000-0000-0000000A0000}"/>
    <cellStyle name="Calculation 3 4 20" xfId="4030" xr:uid="{00000000-0005-0000-0000-0000010A0000}"/>
    <cellStyle name="Calculation 3 4 21" xfId="4377" xr:uid="{00000000-0005-0000-0000-0000020A0000}"/>
    <cellStyle name="Calculation 3 4 22" xfId="4830" xr:uid="{00000000-0005-0000-0000-0000030A0000}"/>
    <cellStyle name="Calculation 3 4 23" xfId="5210" xr:uid="{00000000-0005-0000-0000-0000040A0000}"/>
    <cellStyle name="Calculation 3 4 24" xfId="5787" xr:uid="{00000000-0005-0000-0000-0000050A0000}"/>
    <cellStyle name="Calculation 3 4 3" xfId="1355" xr:uid="{00000000-0005-0000-0000-0000060A0000}"/>
    <cellStyle name="Calculation 3 4 4" xfId="1440" xr:uid="{00000000-0005-0000-0000-0000070A0000}"/>
    <cellStyle name="Calculation 3 4 5" xfId="1674" xr:uid="{00000000-0005-0000-0000-0000080A0000}"/>
    <cellStyle name="Calculation 3 4 6" xfId="1845" xr:uid="{00000000-0005-0000-0000-0000090A0000}"/>
    <cellStyle name="Calculation 3 4 7" xfId="1946" xr:uid="{00000000-0005-0000-0000-00000A0A0000}"/>
    <cellStyle name="Calculation 3 4 8" xfId="2099" xr:uid="{00000000-0005-0000-0000-00000B0A0000}"/>
    <cellStyle name="Calculation 3 4 9" xfId="2178" xr:uid="{00000000-0005-0000-0000-00000C0A0000}"/>
    <cellStyle name="Calculation 3 5" xfId="926" xr:uid="{00000000-0005-0000-0000-00000D0A0000}"/>
    <cellStyle name="Calculation 3 5 2" xfId="4062" xr:uid="{00000000-0005-0000-0000-00000E0A0000}"/>
    <cellStyle name="Calculation 3 5 3" xfId="4321" xr:uid="{00000000-0005-0000-0000-00000F0A0000}"/>
    <cellStyle name="Calculation 3 5 4" xfId="4862" xr:uid="{00000000-0005-0000-0000-0000100A0000}"/>
    <cellStyle name="Calculation 3 5 5" xfId="5242" xr:uid="{00000000-0005-0000-0000-0000110A0000}"/>
    <cellStyle name="Calculation 3 5 6" xfId="5819" xr:uid="{00000000-0005-0000-0000-0000120A0000}"/>
    <cellStyle name="Calculation 3 6" xfId="1081" xr:uid="{00000000-0005-0000-0000-0000130A0000}"/>
    <cellStyle name="Calculation 3 7" xfId="838" xr:uid="{00000000-0005-0000-0000-0000140A0000}"/>
    <cellStyle name="Calculation 3 8" xfId="1010" xr:uid="{00000000-0005-0000-0000-0000150A0000}"/>
    <cellStyle name="Calculation 3 9" xfId="870" xr:uid="{00000000-0005-0000-0000-0000160A0000}"/>
    <cellStyle name="Check Cell" xfId="54" xr:uid="{00000000-0005-0000-0000-0000170A0000}"/>
    <cellStyle name="Check Cell 2" xfId="225" xr:uid="{00000000-0005-0000-0000-0000180A0000}"/>
    <cellStyle name="Check Cell 3" xfId="328" xr:uid="{00000000-0005-0000-0000-0000190A0000}"/>
    <cellStyle name="Check Cell 4" xfId="473" xr:uid="{00000000-0005-0000-0000-00001A0A0000}"/>
    <cellStyle name="Comma 2" xfId="226" xr:uid="{00000000-0005-0000-0000-00001B0A0000}"/>
    <cellStyle name="Comma 2 2" xfId="227" xr:uid="{00000000-0005-0000-0000-00001C0A0000}"/>
    <cellStyle name="Comma 2 2 2" xfId="518" xr:uid="{00000000-0005-0000-0000-00001D0A0000}"/>
    <cellStyle name="Comma 2 3" xfId="3647" xr:uid="{00000000-0005-0000-0000-00001E0A0000}"/>
    <cellStyle name="Comma 2 4" xfId="4590" xr:uid="{00000000-0005-0000-0000-00001F0A0000}"/>
    <cellStyle name="Comma 3" xfId="228" xr:uid="{00000000-0005-0000-0000-0000200A0000}"/>
    <cellStyle name="Comma 3 2" xfId="3649" xr:uid="{00000000-0005-0000-0000-0000210A0000}"/>
    <cellStyle name="Comma 3 3" xfId="4591" xr:uid="{00000000-0005-0000-0000-0000220A0000}"/>
    <cellStyle name="Constants" xfId="55" xr:uid="{00000000-0005-0000-0000-0000230A0000}"/>
    <cellStyle name="ContentsHyperlink" xfId="345" xr:uid="{00000000-0005-0000-0000-0000240A0000}"/>
    <cellStyle name="CustomCellsOrange" xfId="56" xr:uid="{00000000-0005-0000-0000-0000250A0000}"/>
    <cellStyle name="CustomCellsOrange 2" xfId="519" xr:uid="{00000000-0005-0000-0000-0000260A0000}"/>
    <cellStyle name="CustomCellsOrange 2 2" xfId="542" xr:uid="{00000000-0005-0000-0000-0000270A0000}"/>
    <cellStyle name="CustomCellsOrange 2 2 10" xfId="2039" xr:uid="{00000000-0005-0000-0000-0000280A0000}"/>
    <cellStyle name="CustomCellsOrange 2 2 11" xfId="151" xr:uid="{00000000-0005-0000-0000-0000290A0000}"/>
    <cellStyle name="CustomCellsOrange 2 2 12" xfId="2908" xr:uid="{00000000-0005-0000-0000-00002A0A0000}"/>
    <cellStyle name="CustomCellsOrange 2 2 13" xfId="3080" xr:uid="{00000000-0005-0000-0000-00002B0A0000}"/>
    <cellStyle name="CustomCellsOrange 2 2 14" xfId="3310" xr:uid="{00000000-0005-0000-0000-00002C0A0000}"/>
    <cellStyle name="CustomCellsOrange 2 2 15" xfId="3841" xr:uid="{00000000-0005-0000-0000-00002D0A0000}"/>
    <cellStyle name="CustomCellsOrange 2 2 16" xfId="3811" xr:uid="{00000000-0005-0000-0000-00002E0A0000}"/>
    <cellStyle name="CustomCellsOrange 2 2 17" xfId="4671" xr:uid="{00000000-0005-0000-0000-00002F0A0000}"/>
    <cellStyle name="CustomCellsOrange 2 2 18" xfId="5064" xr:uid="{00000000-0005-0000-0000-0000300A0000}"/>
    <cellStyle name="CustomCellsOrange 2 2 19" xfId="5573" xr:uid="{00000000-0005-0000-0000-0000310A0000}"/>
    <cellStyle name="CustomCellsOrange 2 2 2" xfId="612" xr:uid="{00000000-0005-0000-0000-0000320A0000}"/>
    <cellStyle name="CustomCellsOrange 2 2 2 2" xfId="778" xr:uid="{00000000-0005-0000-0000-0000330A0000}"/>
    <cellStyle name="CustomCellsOrange 2 2 2 2 10" xfId="3478" xr:uid="{00000000-0005-0000-0000-0000340A0000}"/>
    <cellStyle name="CustomCellsOrange 2 2 2 2 11" xfId="4048" xr:uid="{00000000-0005-0000-0000-0000350A0000}"/>
    <cellStyle name="CustomCellsOrange 2 2 2 2 12" xfId="3823" xr:uid="{00000000-0005-0000-0000-0000360A0000}"/>
    <cellStyle name="CustomCellsOrange 2 2 2 2 13" xfId="4848" xr:uid="{00000000-0005-0000-0000-0000370A0000}"/>
    <cellStyle name="CustomCellsOrange 2 2 2 2 14" xfId="5228" xr:uid="{00000000-0005-0000-0000-0000380A0000}"/>
    <cellStyle name="CustomCellsOrange 2 2 2 2 15" xfId="5805" xr:uid="{00000000-0005-0000-0000-0000390A0000}"/>
    <cellStyle name="CustomCellsOrange 2 2 2 2 2" xfId="1458" xr:uid="{00000000-0005-0000-0000-00003A0A0000}"/>
    <cellStyle name="CustomCellsOrange 2 2 2 2 2 2" xfId="4262" xr:uid="{00000000-0005-0000-0000-00003B0A0000}"/>
    <cellStyle name="CustomCellsOrange 2 2 2 2 2 3" xfId="4521" xr:uid="{00000000-0005-0000-0000-00003C0A0000}"/>
    <cellStyle name="CustomCellsOrange 2 2 2 2 2 4" xfId="5060" xr:uid="{00000000-0005-0000-0000-00003D0A0000}"/>
    <cellStyle name="CustomCellsOrange 2 2 2 2 2 5" xfId="5434" xr:uid="{00000000-0005-0000-0000-00003E0A0000}"/>
    <cellStyle name="CustomCellsOrange 2 2 2 2 2 6" xfId="6011" xr:uid="{00000000-0005-0000-0000-00003F0A0000}"/>
    <cellStyle name="CustomCellsOrange 2 2 2 2 3" xfId="1693" xr:uid="{00000000-0005-0000-0000-0000400A0000}"/>
    <cellStyle name="CustomCellsOrange 2 2 2 2 4" xfId="1964" xr:uid="{00000000-0005-0000-0000-0000410A0000}"/>
    <cellStyle name="CustomCellsOrange 2 2 2 2 5" xfId="2343" xr:uid="{00000000-0005-0000-0000-0000420A0000}"/>
    <cellStyle name="CustomCellsOrange 2 2 2 2 6" xfId="2522" xr:uid="{00000000-0005-0000-0000-0000430A0000}"/>
    <cellStyle name="CustomCellsOrange 2 2 2 2 7" xfId="2702" xr:uid="{00000000-0005-0000-0000-0000440A0000}"/>
    <cellStyle name="CustomCellsOrange 2 2 2 2 8" xfId="3076" xr:uid="{00000000-0005-0000-0000-0000450A0000}"/>
    <cellStyle name="CustomCellsOrange 2 2 2 2 9" xfId="3244" xr:uid="{00000000-0005-0000-0000-0000460A0000}"/>
    <cellStyle name="CustomCellsOrange 2 2 2 3" xfId="1293" xr:uid="{00000000-0005-0000-0000-0000470A0000}"/>
    <cellStyle name="CustomCellsOrange 2 2 3" xfId="761" xr:uid="{00000000-0005-0000-0000-0000480A0000}"/>
    <cellStyle name="CustomCellsOrange 2 2 3 10" xfId="3462" xr:uid="{00000000-0005-0000-0000-0000490A0000}"/>
    <cellStyle name="CustomCellsOrange 2 2 3 11" xfId="4032" xr:uid="{00000000-0005-0000-0000-00004A0A0000}"/>
    <cellStyle name="CustomCellsOrange 2 2 3 12" xfId="4391" xr:uid="{00000000-0005-0000-0000-00004B0A0000}"/>
    <cellStyle name="CustomCellsOrange 2 2 3 13" xfId="4832" xr:uid="{00000000-0005-0000-0000-00004C0A0000}"/>
    <cellStyle name="CustomCellsOrange 2 2 3 14" xfId="5212" xr:uid="{00000000-0005-0000-0000-00004D0A0000}"/>
    <cellStyle name="CustomCellsOrange 2 2 3 15" xfId="5789" xr:uid="{00000000-0005-0000-0000-00004E0A0000}"/>
    <cellStyle name="CustomCellsOrange 2 2 3 2" xfId="1442" xr:uid="{00000000-0005-0000-0000-00004F0A0000}"/>
    <cellStyle name="CustomCellsOrange 2 2 3 2 2" xfId="4246" xr:uid="{00000000-0005-0000-0000-0000500A0000}"/>
    <cellStyle name="CustomCellsOrange 2 2 3 2 3" xfId="4505" xr:uid="{00000000-0005-0000-0000-0000510A0000}"/>
    <cellStyle name="CustomCellsOrange 2 2 3 2 4" xfId="5044" xr:uid="{00000000-0005-0000-0000-0000520A0000}"/>
    <cellStyle name="CustomCellsOrange 2 2 3 2 5" xfId="5418" xr:uid="{00000000-0005-0000-0000-0000530A0000}"/>
    <cellStyle name="CustomCellsOrange 2 2 3 2 6" xfId="5995" xr:uid="{00000000-0005-0000-0000-0000540A0000}"/>
    <cellStyle name="CustomCellsOrange 2 2 3 3" xfId="1676" xr:uid="{00000000-0005-0000-0000-0000550A0000}"/>
    <cellStyle name="CustomCellsOrange 2 2 3 4" xfId="1948" xr:uid="{00000000-0005-0000-0000-0000560A0000}"/>
    <cellStyle name="CustomCellsOrange 2 2 3 5" xfId="2327" xr:uid="{00000000-0005-0000-0000-0000570A0000}"/>
    <cellStyle name="CustomCellsOrange 2 2 3 6" xfId="2506" xr:uid="{00000000-0005-0000-0000-0000580A0000}"/>
    <cellStyle name="CustomCellsOrange 2 2 3 7" xfId="2686" xr:uid="{00000000-0005-0000-0000-0000590A0000}"/>
    <cellStyle name="CustomCellsOrange 2 2 3 8" xfId="3060" xr:uid="{00000000-0005-0000-0000-00005A0A0000}"/>
    <cellStyle name="CustomCellsOrange 2 2 3 9" xfId="3228" xr:uid="{00000000-0005-0000-0000-00005B0A0000}"/>
    <cellStyle name="CustomCellsOrange 2 2 4" xfId="679" xr:uid="{00000000-0005-0000-0000-00005C0A0000}"/>
    <cellStyle name="CustomCellsOrange 2 2 4 10" xfId="3380" xr:uid="{00000000-0005-0000-0000-00005D0A0000}"/>
    <cellStyle name="CustomCellsOrange 2 2 4 11" xfId="3950" xr:uid="{00000000-0005-0000-0000-00005E0A0000}"/>
    <cellStyle name="CustomCellsOrange 2 2 4 12" xfId="4343" xr:uid="{00000000-0005-0000-0000-00005F0A0000}"/>
    <cellStyle name="CustomCellsOrange 2 2 4 13" xfId="4750" xr:uid="{00000000-0005-0000-0000-0000600A0000}"/>
    <cellStyle name="CustomCellsOrange 2 2 4 14" xfId="5130" xr:uid="{00000000-0005-0000-0000-0000610A0000}"/>
    <cellStyle name="CustomCellsOrange 2 2 4 15" xfId="5707" xr:uid="{00000000-0005-0000-0000-0000620A0000}"/>
    <cellStyle name="CustomCellsOrange 2 2 4 2" xfId="880" xr:uid="{00000000-0005-0000-0000-0000630A0000}"/>
    <cellStyle name="CustomCellsOrange 2 2 4 2 2" xfId="4164" xr:uid="{00000000-0005-0000-0000-0000640A0000}"/>
    <cellStyle name="CustomCellsOrange 2 2 4 2 3" xfId="3685" xr:uid="{00000000-0005-0000-0000-0000650A0000}"/>
    <cellStyle name="CustomCellsOrange 2 2 4 2 4" xfId="4962" xr:uid="{00000000-0005-0000-0000-0000660A0000}"/>
    <cellStyle name="CustomCellsOrange 2 2 4 2 5" xfId="5336" xr:uid="{00000000-0005-0000-0000-0000670A0000}"/>
    <cellStyle name="CustomCellsOrange 2 2 4 2 6" xfId="5913" xr:uid="{00000000-0005-0000-0000-0000680A0000}"/>
    <cellStyle name="CustomCellsOrange 2 2 4 3" xfId="1594" xr:uid="{00000000-0005-0000-0000-0000690A0000}"/>
    <cellStyle name="CustomCellsOrange 2 2 4 4" xfId="1866" xr:uid="{00000000-0005-0000-0000-00006A0A0000}"/>
    <cellStyle name="CustomCellsOrange 2 2 4 5" xfId="1357" xr:uid="{00000000-0005-0000-0000-00006B0A0000}"/>
    <cellStyle name="CustomCellsOrange 2 2 4 6" xfId="2424" xr:uid="{00000000-0005-0000-0000-00006C0A0000}"/>
    <cellStyle name="CustomCellsOrange 2 2 4 7" xfId="2604" xr:uid="{00000000-0005-0000-0000-00006D0A0000}"/>
    <cellStyle name="CustomCellsOrange 2 2 4 8" xfId="2978" xr:uid="{00000000-0005-0000-0000-00006E0A0000}"/>
    <cellStyle name="CustomCellsOrange 2 2 4 9" xfId="3146" xr:uid="{00000000-0005-0000-0000-00006F0A0000}"/>
    <cellStyle name="CustomCellsOrange 2 2 5" xfId="780" xr:uid="{00000000-0005-0000-0000-0000700A0000}"/>
    <cellStyle name="CustomCellsOrange 2 2 5 10" xfId="3480" xr:uid="{00000000-0005-0000-0000-0000710A0000}"/>
    <cellStyle name="CustomCellsOrange 2 2 5 11" xfId="4050" xr:uid="{00000000-0005-0000-0000-0000720A0000}"/>
    <cellStyle name="CustomCellsOrange 2 2 5 12" xfId="4399" xr:uid="{00000000-0005-0000-0000-0000730A0000}"/>
    <cellStyle name="CustomCellsOrange 2 2 5 13" xfId="4850" xr:uid="{00000000-0005-0000-0000-0000740A0000}"/>
    <cellStyle name="CustomCellsOrange 2 2 5 14" xfId="5230" xr:uid="{00000000-0005-0000-0000-0000750A0000}"/>
    <cellStyle name="CustomCellsOrange 2 2 5 15" xfId="5807" xr:uid="{00000000-0005-0000-0000-0000760A0000}"/>
    <cellStyle name="CustomCellsOrange 2 2 5 2" xfId="1460" xr:uid="{00000000-0005-0000-0000-0000770A0000}"/>
    <cellStyle name="CustomCellsOrange 2 2 5 2 2" xfId="4264" xr:uid="{00000000-0005-0000-0000-0000780A0000}"/>
    <cellStyle name="CustomCellsOrange 2 2 5 2 3" xfId="4523" xr:uid="{00000000-0005-0000-0000-0000790A0000}"/>
    <cellStyle name="CustomCellsOrange 2 2 5 2 4" xfId="5062" xr:uid="{00000000-0005-0000-0000-00007A0A0000}"/>
    <cellStyle name="CustomCellsOrange 2 2 5 2 5" xfId="5436" xr:uid="{00000000-0005-0000-0000-00007B0A0000}"/>
    <cellStyle name="CustomCellsOrange 2 2 5 2 6" xfId="6013" xr:uid="{00000000-0005-0000-0000-00007C0A0000}"/>
    <cellStyle name="CustomCellsOrange 2 2 5 3" xfId="1695" xr:uid="{00000000-0005-0000-0000-00007D0A0000}"/>
    <cellStyle name="CustomCellsOrange 2 2 5 4" xfId="1966" xr:uid="{00000000-0005-0000-0000-00007E0A0000}"/>
    <cellStyle name="CustomCellsOrange 2 2 5 5" xfId="2345" xr:uid="{00000000-0005-0000-0000-00007F0A0000}"/>
    <cellStyle name="CustomCellsOrange 2 2 5 6" xfId="2524" xr:uid="{00000000-0005-0000-0000-0000800A0000}"/>
    <cellStyle name="CustomCellsOrange 2 2 5 7" xfId="2704" xr:uid="{00000000-0005-0000-0000-0000810A0000}"/>
    <cellStyle name="CustomCellsOrange 2 2 5 8" xfId="3078" xr:uid="{00000000-0005-0000-0000-0000820A0000}"/>
    <cellStyle name="CustomCellsOrange 2 2 5 9" xfId="3246" xr:uid="{00000000-0005-0000-0000-0000830A0000}"/>
    <cellStyle name="CustomCellsOrange 2 2 6" xfId="1215" xr:uid="{00000000-0005-0000-0000-0000840A0000}"/>
    <cellStyle name="CustomCellsOrange 2 2 7" xfId="1481" xr:uid="{00000000-0005-0000-0000-0000850A0000}"/>
    <cellStyle name="CustomCellsOrange 2 2 8" xfId="1018" xr:uid="{00000000-0005-0000-0000-0000860A0000}"/>
    <cellStyle name="CustomCellsOrange 2 2 9" xfId="1727" xr:uid="{00000000-0005-0000-0000-0000870A0000}"/>
    <cellStyle name="CustomCellsOrange 2 3" xfId="260" xr:uid="{00000000-0005-0000-0000-0000880A0000}"/>
    <cellStyle name="CustomCellsOrange 3" xfId="377" xr:uid="{00000000-0005-0000-0000-0000890A0000}"/>
    <cellStyle name="CustomCellsOrange 3 10" xfId="1717" xr:uid="{00000000-0005-0000-0000-00008A0A0000}"/>
    <cellStyle name="CustomCellsOrange 3 11" xfId="2869" xr:uid="{00000000-0005-0000-0000-00008B0A0000}"/>
    <cellStyle name="CustomCellsOrange 3 12" xfId="2900" xr:uid="{00000000-0005-0000-0000-00008C0A0000}"/>
    <cellStyle name="CustomCellsOrange 3 13" xfId="3282" xr:uid="{00000000-0005-0000-0000-00008D0A0000}"/>
    <cellStyle name="CustomCellsOrange 3 14" xfId="3735" xr:uid="{00000000-0005-0000-0000-00008E0A0000}"/>
    <cellStyle name="CustomCellsOrange 3 15" xfId="4398" xr:uid="{00000000-0005-0000-0000-00008F0A0000}"/>
    <cellStyle name="CustomCellsOrange 3 16" xfId="4623" xr:uid="{00000000-0005-0000-0000-0000900A0000}"/>
    <cellStyle name="CustomCellsOrange 3 17" xfId="4661" xr:uid="{00000000-0005-0000-0000-0000910A0000}"/>
    <cellStyle name="CustomCellsOrange 3 18" xfId="5487" xr:uid="{00000000-0005-0000-0000-0000920A0000}"/>
    <cellStyle name="CustomCellsOrange 3 2" xfId="716" xr:uid="{00000000-0005-0000-0000-0000930A0000}"/>
    <cellStyle name="CustomCellsOrange 3 2 10" xfId="3417" xr:uid="{00000000-0005-0000-0000-0000940A0000}"/>
    <cellStyle name="CustomCellsOrange 3 2 11" xfId="3987" xr:uid="{00000000-0005-0000-0000-0000950A0000}"/>
    <cellStyle name="CustomCellsOrange 3 2 12" xfId="3800" xr:uid="{00000000-0005-0000-0000-0000960A0000}"/>
    <cellStyle name="CustomCellsOrange 3 2 13" xfId="4787" xr:uid="{00000000-0005-0000-0000-0000970A0000}"/>
    <cellStyle name="CustomCellsOrange 3 2 14" xfId="5167" xr:uid="{00000000-0005-0000-0000-0000980A0000}"/>
    <cellStyle name="CustomCellsOrange 3 2 15" xfId="5744" xr:uid="{00000000-0005-0000-0000-0000990A0000}"/>
    <cellStyle name="CustomCellsOrange 3 2 2" xfId="1397" xr:uid="{00000000-0005-0000-0000-00009A0A0000}"/>
    <cellStyle name="CustomCellsOrange 3 2 2 2" xfId="4201" xr:uid="{00000000-0005-0000-0000-00009B0A0000}"/>
    <cellStyle name="CustomCellsOrange 3 2 2 3" xfId="3801" xr:uid="{00000000-0005-0000-0000-00009C0A0000}"/>
    <cellStyle name="CustomCellsOrange 3 2 2 4" xfId="4999" xr:uid="{00000000-0005-0000-0000-00009D0A0000}"/>
    <cellStyle name="CustomCellsOrange 3 2 2 5" xfId="5373" xr:uid="{00000000-0005-0000-0000-00009E0A0000}"/>
    <cellStyle name="CustomCellsOrange 3 2 2 6" xfId="5950" xr:uid="{00000000-0005-0000-0000-00009F0A0000}"/>
    <cellStyle name="CustomCellsOrange 3 2 3" xfId="1631" xr:uid="{00000000-0005-0000-0000-0000A00A0000}"/>
    <cellStyle name="CustomCellsOrange 3 2 4" xfId="1903" xr:uid="{00000000-0005-0000-0000-0000A10A0000}"/>
    <cellStyle name="CustomCellsOrange 3 2 5" xfId="2282" xr:uid="{00000000-0005-0000-0000-0000A20A0000}"/>
    <cellStyle name="CustomCellsOrange 3 2 6" xfId="2461" xr:uid="{00000000-0005-0000-0000-0000A30A0000}"/>
    <cellStyle name="CustomCellsOrange 3 2 7" xfId="2641" xr:uid="{00000000-0005-0000-0000-0000A40A0000}"/>
    <cellStyle name="CustomCellsOrange 3 2 8" xfId="3015" xr:uid="{00000000-0005-0000-0000-0000A50A0000}"/>
    <cellStyle name="CustomCellsOrange 3 2 9" xfId="3183" xr:uid="{00000000-0005-0000-0000-0000A60A0000}"/>
    <cellStyle name="CustomCellsOrange 3 3" xfId="649" xr:uid="{00000000-0005-0000-0000-0000A70A0000}"/>
    <cellStyle name="CustomCellsOrange 3 3 10" xfId="3350" xr:uid="{00000000-0005-0000-0000-0000A80A0000}"/>
    <cellStyle name="CustomCellsOrange 3 3 11" xfId="3920" xr:uid="{00000000-0005-0000-0000-0000A90A0000}"/>
    <cellStyle name="CustomCellsOrange 3 3 12" xfId="3645" xr:uid="{00000000-0005-0000-0000-0000AA0A0000}"/>
    <cellStyle name="CustomCellsOrange 3 3 13" xfId="4720" xr:uid="{00000000-0005-0000-0000-0000AB0A0000}"/>
    <cellStyle name="CustomCellsOrange 3 3 14" xfId="5100" xr:uid="{00000000-0005-0000-0000-0000AC0A0000}"/>
    <cellStyle name="CustomCellsOrange 3 3 15" xfId="5677" xr:uid="{00000000-0005-0000-0000-0000AD0A0000}"/>
    <cellStyle name="CustomCellsOrange 3 3 2" xfId="1033" xr:uid="{00000000-0005-0000-0000-0000AE0A0000}"/>
    <cellStyle name="CustomCellsOrange 3 3 2 2" xfId="4134" xr:uid="{00000000-0005-0000-0000-0000AF0A0000}"/>
    <cellStyle name="CustomCellsOrange 3 3 2 3" xfId="3709" xr:uid="{00000000-0005-0000-0000-0000B00A0000}"/>
    <cellStyle name="CustomCellsOrange 3 3 2 4" xfId="4932" xr:uid="{00000000-0005-0000-0000-0000B10A0000}"/>
    <cellStyle name="CustomCellsOrange 3 3 2 5" xfId="5306" xr:uid="{00000000-0005-0000-0000-0000B20A0000}"/>
    <cellStyle name="CustomCellsOrange 3 3 2 6" xfId="5883" xr:uid="{00000000-0005-0000-0000-0000B30A0000}"/>
    <cellStyle name="CustomCellsOrange 3 3 3" xfId="1564" xr:uid="{00000000-0005-0000-0000-0000B40A0000}"/>
    <cellStyle name="CustomCellsOrange 3 3 4" xfId="896" xr:uid="{00000000-0005-0000-0000-0000B50A0000}"/>
    <cellStyle name="CustomCellsOrange 3 3 5" xfId="2176" xr:uid="{00000000-0005-0000-0000-0000B60A0000}"/>
    <cellStyle name="CustomCellsOrange 3 3 6" xfId="2394" xr:uid="{00000000-0005-0000-0000-0000B70A0000}"/>
    <cellStyle name="CustomCellsOrange 3 3 7" xfId="2574" xr:uid="{00000000-0005-0000-0000-0000B80A0000}"/>
    <cellStyle name="CustomCellsOrange 3 3 8" xfId="2948" xr:uid="{00000000-0005-0000-0000-0000B90A0000}"/>
    <cellStyle name="CustomCellsOrange 3 3 9" xfId="3116" xr:uid="{00000000-0005-0000-0000-0000BA0A0000}"/>
    <cellStyle name="CustomCellsOrange 3 4" xfId="662" xr:uid="{00000000-0005-0000-0000-0000BB0A0000}"/>
    <cellStyle name="CustomCellsOrange 3 4 10" xfId="3363" xr:uid="{00000000-0005-0000-0000-0000BC0A0000}"/>
    <cellStyle name="CustomCellsOrange 3 4 11" xfId="3933" xr:uid="{00000000-0005-0000-0000-0000BD0A0000}"/>
    <cellStyle name="CustomCellsOrange 3 4 12" xfId="4370" xr:uid="{00000000-0005-0000-0000-0000BE0A0000}"/>
    <cellStyle name="CustomCellsOrange 3 4 13" xfId="4733" xr:uid="{00000000-0005-0000-0000-0000BF0A0000}"/>
    <cellStyle name="CustomCellsOrange 3 4 14" xfId="5113" xr:uid="{00000000-0005-0000-0000-0000C00A0000}"/>
    <cellStyle name="CustomCellsOrange 3 4 15" xfId="5690" xr:uid="{00000000-0005-0000-0000-0000C10A0000}"/>
    <cellStyle name="CustomCellsOrange 3 4 2" xfId="1097" xr:uid="{00000000-0005-0000-0000-0000C20A0000}"/>
    <cellStyle name="CustomCellsOrange 3 4 2 2" xfId="4147" xr:uid="{00000000-0005-0000-0000-0000C30A0000}"/>
    <cellStyle name="CustomCellsOrange 3 4 2 3" xfId="3881" xr:uid="{00000000-0005-0000-0000-0000C40A0000}"/>
    <cellStyle name="CustomCellsOrange 3 4 2 4" xfId="4945" xr:uid="{00000000-0005-0000-0000-0000C50A0000}"/>
    <cellStyle name="CustomCellsOrange 3 4 2 5" xfId="5319" xr:uid="{00000000-0005-0000-0000-0000C60A0000}"/>
    <cellStyle name="CustomCellsOrange 3 4 2 6" xfId="5896" xr:uid="{00000000-0005-0000-0000-0000C70A0000}"/>
    <cellStyle name="CustomCellsOrange 3 4 3" xfId="1577" xr:uid="{00000000-0005-0000-0000-0000C80A0000}"/>
    <cellStyle name="CustomCellsOrange 3 4 4" xfId="1472" xr:uid="{00000000-0005-0000-0000-0000C90A0000}"/>
    <cellStyle name="CustomCellsOrange 3 4 5" xfId="2236" xr:uid="{00000000-0005-0000-0000-0000CA0A0000}"/>
    <cellStyle name="CustomCellsOrange 3 4 6" xfId="2407" xr:uid="{00000000-0005-0000-0000-0000CB0A0000}"/>
    <cellStyle name="CustomCellsOrange 3 4 7" xfId="2587" xr:uid="{00000000-0005-0000-0000-0000CC0A0000}"/>
    <cellStyle name="CustomCellsOrange 3 4 8" xfId="2961" xr:uid="{00000000-0005-0000-0000-0000CD0A0000}"/>
    <cellStyle name="CustomCellsOrange 3 4 9" xfId="3129" xr:uid="{00000000-0005-0000-0000-0000CE0A0000}"/>
    <cellStyle name="CustomCellsOrange 3 5" xfId="1091" xr:uid="{00000000-0005-0000-0000-0000CF0A0000}"/>
    <cellStyle name="CustomCellsOrange 3 5 2" xfId="4072" xr:uid="{00000000-0005-0000-0000-0000D00A0000}"/>
    <cellStyle name="CustomCellsOrange 3 5 3" xfId="4872" xr:uid="{00000000-0005-0000-0000-0000D10A0000}"/>
    <cellStyle name="CustomCellsOrange 3 6" xfId="853" xr:uid="{00000000-0005-0000-0000-0000D20A0000}"/>
    <cellStyle name="CustomCellsOrange 3 7" xfId="1230" xr:uid="{00000000-0005-0000-0000-0000D30A0000}"/>
    <cellStyle name="CustomCellsOrange 3 8" xfId="2124" xr:uid="{00000000-0005-0000-0000-0000D40A0000}"/>
    <cellStyle name="CustomCellsOrange 3 9" xfId="2088" xr:uid="{00000000-0005-0000-0000-0000D50A0000}"/>
    <cellStyle name="CustomCellsOrange 4" xfId="1267" xr:uid="{00000000-0005-0000-0000-0000D60A0000}"/>
    <cellStyle name="CustomizationCells" xfId="57" xr:uid="{00000000-0005-0000-0000-0000D70A0000}"/>
    <cellStyle name="CustomizationCells 2" xfId="520" xr:uid="{00000000-0005-0000-0000-0000D80A0000}"/>
    <cellStyle name="CustomizationCells 2 2" xfId="543" xr:uid="{00000000-0005-0000-0000-0000D90A0000}"/>
    <cellStyle name="CustomizationCells 2 2 10" xfId="1835" xr:uid="{00000000-0005-0000-0000-0000DA0A0000}"/>
    <cellStyle name="CustomizationCells 2 2 11" xfId="819" xr:uid="{00000000-0005-0000-0000-0000DB0A0000}"/>
    <cellStyle name="CustomizationCells 2 2 12" xfId="2909" xr:uid="{00000000-0005-0000-0000-0000DC0A0000}"/>
    <cellStyle name="CustomizationCells 2 2 13" xfId="3081" xr:uid="{00000000-0005-0000-0000-0000DD0A0000}"/>
    <cellStyle name="CustomizationCells 2 2 14" xfId="3311" xr:uid="{00000000-0005-0000-0000-0000DE0A0000}"/>
    <cellStyle name="CustomizationCells 2 2 15" xfId="3842" xr:uid="{00000000-0005-0000-0000-0000DF0A0000}"/>
    <cellStyle name="CustomizationCells 2 2 16" xfId="4340" xr:uid="{00000000-0005-0000-0000-0000E00A0000}"/>
    <cellStyle name="CustomizationCells 2 2 17" xfId="4672" xr:uid="{00000000-0005-0000-0000-0000E10A0000}"/>
    <cellStyle name="CustomizationCells 2 2 18" xfId="5065" xr:uid="{00000000-0005-0000-0000-0000E20A0000}"/>
    <cellStyle name="CustomizationCells 2 2 19" xfId="5574" xr:uid="{00000000-0005-0000-0000-0000E30A0000}"/>
    <cellStyle name="CustomizationCells 2 2 2" xfId="613" xr:uid="{00000000-0005-0000-0000-0000E40A0000}"/>
    <cellStyle name="CustomizationCells 2 2 2 2" xfId="779" xr:uid="{00000000-0005-0000-0000-0000E50A0000}"/>
    <cellStyle name="CustomizationCells 2 2 2 2 10" xfId="3479" xr:uid="{00000000-0005-0000-0000-0000E60A0000}"/>
    <cellStyle name="CustomizationCells 2 2 2 2 11" xfId="4049" xr:uid="{00000000-0005-0000-0000-0000E70A0000}"/>
    <cellStyle name="CustomizationCells 2 2 2 2 12" xfId="3670" xr:uid="{00000000-0005-0000-0000-0000E80A0000}"/>
    <cellStyle name="CustomizationCells 2 2 2 2 13" xfId="4849" xr:uid="{00000000-0005-0000-0000-0000E90A0000}"/>
    <cellStyle name="CustomizationCells 2 2 2 2 14" xfId="5229" xr:uid="{00000000-0005-0000-0000-0000EA0A0000}"/>
    <cellStyle name="CustomizationCells 2 2 2 2 15" xfId="5806" xr:uid="{00000000-0005-0000-0000-0000EB0A0000}"/>
    <cellStyle name="CustomizationCells 2 2 2 2 2" xfId="1459" xr:uid="{00000000-0005-0000-0000-0000EC0A0000}"/>
    <cellStyle name="CustomizationCells 2 2 2 2 2 2" xfId="4263" xr:uid="{00000000-0005-0000-0000-0000ED0A0000}"/>
    <cellStyle name="CustomizationCells 2 2 2 2 2 3" xfId="4522" xr:uid="{00000000-0005-0000-0000-0000EE0A0000}"/>
    <cellStyle name="CustomizationCells 2 2 2 2 2 4" xfId="5061" xr:uid="{00000000-0005-0000-0000-0000EF0A0000}"/>
    <cellStyle name="CustomizationCells 2 2 2 2 2 5" xfId="5435" xr:uid="{00000000-0005-0000-0000-0000F00A0000}"/>
    <cellStyle name="CustomizationCells 2 2 2 2 2 6" xfId="6012" xr:uid="{00000000-0005-0000-0000-0000F10A0000}"/>
    <cellStyle name="CustomizationCells 2 2 2 2 3" xfId="1694" xr:uid="{00000000-0005-0000-0000-0000F20A0000}"/>
    <cellStyle name="CustomizationCells 2 2 2 2 4" xfId="1965" xr:uid="{00000000-0005-0000-0000-0000F30A0000}"/>
    <cellStyle name="CustomizationCells 2 2 2 2 5" xfId="2344" xr:uid="{00000000-0005-0000-0000-0000F40A0000}"/>
    <cellStyle name="CustomizationCells 2 2 2 2 6" xfId="2523" xr:uid="{00000000-0005-0000-0000-0000F50A0000}"/>
    <cellStyle name="CustomizationCells 2 2 2 2 7" xfId="2703" xr:uid="{00000000-0005-0000-0000-0000F60A0000}"/>
    <cellStyle name="CustomizationCells 2 2 2 2 8" xfId="3077" xr:uid="{00000000-0005-0000-0000-0000F70A0000}"/>
    <cellStyle name="CustomizationCells 2 2 2 2 9" xfId="3245" xr:uid="{00000000-0005-0000-0000-0000F80A0000}"/>
    <cellStyle name="CustomizationCells 2 2 2 3" xfId="1336" xr:uid="{00000000-0005-0000-0000-0000F90A0000}"/>
    <cellStyle name="CustomizationCells 2 2 3" xfId="762" xr:uid="{00000000-0005-0000-0000-0000FA0A0000}"/>
    <cellStyle name="CustomizationCells 2 2 3 10" xfId="3463" xr:uid="{00000000-0005-0000-0000-0000FB0A0000}"/>
    <cellStyle name="CustomizationCells 2 2 3 11" xfId="4033" xr:uid="{00000000-0005-0000-0000-0000FC0A0000}"/>
    <cellStyle name="CustomizationCells 2 2 3 12" xfId="3858" xr:uid="{00000000-0005-0000-0000-0000FD0A0000}"/>
    <cellStyle name="CustomizationCells 2 2 3 13" xfId="4833" xr:uid="{00000000-0005-0000-0000-0000FE0A0000}"/>
    <cellStyle name="CustomizationCells 2 2 3 14" xfId="5213" xr:uid="{00000000-0005-0000-0000-0000FF0A0000}"/>
    <cellStyle name="CustomizationCells 2 2 3 15" xfId="5790" xr:uid="{00000000-0005-0000-0000-0000000B0000}"/>
    <cellStyle name="CustomizationCells 2 2 3 2" xfId="1443" xr:uid="{00000000-0005-0000-0000-0000010B0000}"/>
    <cellStyle name="CustomizationCells 2 2 3 2 2" xfId="4247" xr:uid="{00000000-0005-0000-0000-0000020B0000}"/>
    <cellStyle name="CustomizationCells 2 2 3 2 3" xfId="4506" xr:uid="{00000000-0005-0000-0000-0000030B0000}"/>
    <cellStyle name="CustomizationCells 2 2 3 2 4" xfId="5045" xr:uid="{00000000-0005-0000-0000-0000040B0000}"/>
    <cellStyle name="CustomizationCells 2 2 3 2 5" xfId="5419" xr:uid="{00000000-0005-0000-0000-0000050B0000}"/>
    <cellStyle name="CustomizationCells 2 2 3 2 6" xfId="5996" xr:uid="{00000000-0005-0000-0000-0000060B0000}"/>
    <cellStyle name="CustomizationCells 2 2 3 3" xfId="1677" xr:uid="{00000000-0005-0000-0000-0000070B0000}"/>
    <cellStyle name="CustomizationCells 2 2 3 4" xfId="1949" xr:uid="{00000000-0005-0000-0000-0000080B0000}"/>
    <cellStyle name="CustomizationCells 2 2 3 5" xfId="2328" xr:uid="{00000000-0005-0000-0000-0000090B0000}"/>
    <cellStyle name="CustomizationCells 2 2 3 6" xfId="2507" xr:uid="{00000000-0005-0000-0000-00000A0B0000}"/>
    <cellStyle name="CustomizationCells 2 2 3 7" xfId="2687" xr:uid="{00000000-0005-0000-0000-00000B0B0000}"/>
    <cellStyle name="CustomizationCells 2 2 3 8" xfId="3061" xr:uid="{00000000-0005-0000-0000-00000C0B0000}"/>
    <cellStyle name="CustomizationCells 2 2 3 9" xfId="3229" xr:uid="{00000000-0005-0000-0000-00000D0B0000}"/>
    <cellStyle name="CustomizationCells 2 2 4" xfId="625" xr:uid="{00000000-0005-0000-0000-00000E0B0000}"/>
    <cellStyle name="CustomizationCells 2 2 4 10" xfId="3326" xr:uid="{00000000-0005-0000-0000-00000F0B0000}"/>
    <cellStyle name="CustomizationCells 2 2 4 11" xfId="3896" xr:uid="{00000000-0005-0000-0000-0000100B0000}"/>
    <cellStyle name="CustomizationCells 2 2 4 12" xfId="3651" xr:uid="{00000000-0005-0000-0000-0000110B0000}"/>
    <cellStyle name="CustomizationCells 2 2 4 13" xfId="4696" xr:uid="{00000000-0005-0000-0000-0000120B0000}"/>
    <cellStyle name="CustomizationCells 2 2 4 14" xfId="5076" xr:uid="{00000000-0005-0000-0000-0000130B0000}"/>
    <cellStyle name="CustomizationCells 2 2 4 15" xfId="5653" xr:uid="{00000000-0005-0000-0000-0000140B0000}"/>
    <cellStyle name="CustomizationCells 2 2 4 2" xfId="1032" xr:uid="{00000000-0005-0000-0000-0000150B0000}"/>
    <cellStyle name="CustomizationCells 2 2 4 2 2" xfId="4110" xr:uid="{00000000-0005-0000-0000-0000160B0000}"/>
    <cellStyle name="CustomizationCells 2 2 4 2 3" xfId="3781" xr:uid="{00000000-0005-0000-0000-0000170B0000}"/>
    <cellStyle name="CustomizationCells 2 2 4 2 4" xfId="4908" xr:uid="{00000000-0005-0000-0000-0000180B0000}"/>
    <cellStyle name="CustomizationCells 2 2 4 2 5" xfId="5282" xr:uid="{00000000-0005-0000-0000-0000190B0000}"/>
    <cellStyle name="CustomizationCells 2 2 4 2 6" xfId="5859" xr:uid="{00000000-0005-0000-0000-00001A0B0000}"/>
    <cellStyle name="CustomizationCells 2 2 4 3" xfId="1540" xr:uid="{00000000-0005-0000-0000-00001B0B0000}"/>
    <cellStyle name="CustomizationCells 2 2 4 4" xfId="1314" xr:uid="{00000000-0005-0000-0000-00001C0B0000}"/>
    <cellStyle name="CustomizationCells 2 2 4 5" xfId="2026" xr:uid="{00000000-0005-0000-0000-00001D0B0000}"/>
    <cellStyle name="CustomizationCells 2 2 4 6" xfId="2370" xr:uid="{00000000-0005-0000-0000-00001E0B0000}"/>
    <cellStyle name="CustomizationCells 2 2 4 7" xfId="2550" xr:uid="{00000000-0005-0000-0000-00001F0B0000}"/>
    <cellStyle name="CustomizationCells 2 2 4 8" xfId="2924" xr:uid="{00000000-0005-0000-0000-0000200B0000}"/>
    <cellStyle name="CustomizationCells 2 2 4 9" xfId="3092" xr:uid="{00000000-0005-0000-0000-0000210B0000}"/>
    <cellStyle name="CustomizationCells 2 2 5" xfId="781" xr:uid="{00000000-0005-0000-0000-0000220B0000}"/>
    <cellStyle name="CustomizationCells 2 2 5 10" xfId="3481" xr:uid="{00000000-0005-0000-0000-0000230B0000}"/>
    <cellStyle name="CustomizationCells 2 2 5 11" xfId="4051" xr:uid="{00000000-0005-0000-0000-0000240B0000}"/>
    <cellStyle name="CustomizationCells 2 2 5 12" xfId="4330" xr:uid="{00000000-0005-0000-0000-0000250B0000}"/>
    <cellStyle name="CustomizationCells 2 2 5 13" xfId="4851" xr:uid="{00000000-0005-0000-0000-0000260B0000}"/>
    <cellStyle name="CustomizationCells 2 2 5 14" xfId="5231" xr:uid="{00000000-0005-0000-0000-0000270B0000}"/>
    <cellStyle name="CustomizationCells 2 2 5 15" xfId="5808" xr:uid="{00000000-0005-0000-0000-0000280B0000}"/>
    <cellStyle name="CustomizationCells 2 2 5 2" xfId="1461" xr:uid="{00000000-0005-0000-0000-0000290B0000}"/>
    <cellStyle name="CustomizationCells 2 2 5 2 2" xfId="4265" xr:uid="{00000000-0005-0000-0000-00002A0B0000}"/>
    <cellStyle name="CustomizationCells 2 2 5 2 3" xfId="6014" xr:uid="{00000000-0005-0000-0000-00002B0B0000}"/>
    <cellStyle name="CustomizationCells 2 2 5 3" xfId="1696" xr:uid="{00000000-0005-0000-0000-00002C0B0000}"/>
    <cellStyle name="CustomizationCells 2 2 5 4" xfId="1967" xr:uid="{00000000-0005-0000-0000-00002D0B0000}"/>
    <cellStyle name="CustomizationCells 2 2 5 5" xfId="2346" xr:uid="{00000000-0005-0000-0000-00002E0B0000}"/>
    <cellStyle name="CustomizationCells 2 2 5 6" xfId="2525" xr:uid="{00000000-0005-0000-0000-00002F0B0000}"/>
    <cellStyle name="CustomizationCells 2 2 5 7" xfId="2705" xr:uid="{00000000-0005-0000-0000-0000300B0000}"/>
    <cellStyle name="CustomizationCells 2 2 5 8" xfId="3079" xr:uid="{00000000-0005-0000-0000-0000310B0000}"/>
    <cellStyle name="CustomizationCells 2 2 5 9" xfId="3247" xr:uid="{00000000-0005-0000-0000-0000320B0000}"/>
    <cellStyle name="CustomizationCells 2 2 6" xfId="1124" xr:uid="{00000000-0005-0000-0000-0000330B0000}"/>
    <cellStyle name="CustomizationCells 2 2 7" xfId="1482" xr:uid="{00000000-0005-0000-0000-0000340B0000}"/>
    <cellStyle name="CustomizationCells 2 2 8" xfId="1083" xr:uid="{00000000-0005-0000-0000-0000350B0000}"/>
    <cellStyle name="CustomizationCells 2 2 9" xfId="2220" xr:uid="{00000000-0005-0000-0000-0000360B0000}"/>
    <cellStyle name="CustomizationCells 2 3" xfId="1244" xr:uid="{00000000-0005-0000-0000-0000370B0000}"/>
    <cellStyle name="CustomizationCells 3" xfId="378" xr:uid="{00000000-0005-0000-0000-0000380B0000}"/>
    <cellStyle name="CustomizationCells 3 10" xfId="921" xr:uid="{00000000-0005-0000-0000-0000390B0000}"/>
    <cellStyle name="CustomizationCells 3 11" xfId="2870" xr:uid="{00000000-0005-0000-0000-00003A0B0000}"/>
    <cellStyle name="CustomizationCells 3 12" xfId="2829" xr:uid="{00000000-0005-0000-0000-00003B0B0000}"/>
    <cellStyle name="CustomizationCells 3 13" xfId="3283" xr:uid="{00000000-0005-0000-0000-00003C0B0000}"/>
    <cellStyle name="CustomizationCells 3 14" xfId="3736" xr:uid="{00000000-0005-0000-0000-00003D0B0000}"/>
    <cellStyle name="CustomizationCells 3 15" xfId="4323" xr:uid="{00000000-0005-0000-0000-00003E0B0000}"/>
    <cellStyle name="CustomizationCells 3 16" xfId="4624" xr:uid="{00000000-0005-0000-0000-00003F0B0000}"/>
    <cellStyle name="CustomizationCells 3 17" xfId="4662" xr:uid="{00000000-0005-0000-0000-0000400B0000}"/>
    <cellStyle name="CustomizationCells 3 18" xfId="5488" xr:uid="{00000000-0005-0000-0000-0000410B0000}"/>
    <cellStyle name="CustomizationCells 3 2" xfId="717" xr:uid="{00000000-0005-0000-0000-0000420B0000}"/>
    <cellStyle name="CustomizationCells 3 2 10" xfId="3418" xr:uid="{00000000-0005-0000-0000-0000430B0000}"/>
    <cellStyle name="CustomizationCells 3 2 11" xfId="3988" xr:uid="{00000000-0005-0000-0000-0000440B0000}"/>
    <cellStyle name="CustomizationCells 3 2 12" xfId="3838" xr:uid="{00000000-0005-0000-0000-0000450B0000}"/>
    <cellStyle name="CustomizationCells 3 2 13" xfId="4788" xr:uid="{00000000-0005-0000-0000-0000460B0000}"/>
    <cellStyle name="CustomizationCells 3 2 14" xfId="5168" xr:uid="{00000000-0005-0000-0000-0000470B0000}"/>
    <cellStyle name="CustomizationCells 3 2 15" xfId="5745" xr:uid="{00000000-0005-0000-0000-0000480B0000}"/>
    <cellStyle name="CustomizationCells 3 2 2" xfId="1398" xr:uid="{00000000-0005-0000-0000-0000490B0000}"/>
    <cellStyle name="CustomizationCells 3 2 2 2" xfId="4202" xr:uid="{00000000-0005-0000-0000-00004A0B0000}"/>
    <cellStyle name="CustomizationCells 3 2 2 3" xfId="3717" xr:uid="{00000000-0005-0000-0000-00004B0B0000}"/>
    <cellStyle name="CustomizationCells 3 2 2 4" xfId="5000" xr:uid="{00000000-0005-0000-0000-00004C0B0000}"/>
    <cellStyle name="CustomizationCells 3 2 2 5" xfId="5374" xr:uid="{00000000-0005-0000-0000-00004D0B0000}"/>
    <cellStyle name="CustomizationCells 3 2 2 6" xfId="5951" xr:uid="{00000000-0005-0000-0000-00004E0B0000}"/>
    <cellStyle name="CustomizationCells 3 2 3" xfId="1632" xr:uid="{00000000-0005-0000-0000-00004F0B0000}"/>
    <cellStyle name="CustomizationCells 3 2 4" xfId="1904" xr:uid="{00000000-0005-0000-0000-0000500B0000}"/>
    <cellStyle name="CustomizationCells 3 2 5" xfId="2283" xr:uid="{00000000-0005-0000-0000-0000510B0000}"/>
    <cellStyle name="CustomizationCells 3 2 6" xfId="2462" xr:uid="{00000000-0005-0000-0000-0000520B0000}"/>
    <cellStyle name="CustomizationCells 3 2 7" xfId="2642" xr:uid="{00000000-0005-0000-0000-0000530B0000}"/>
    <cellStyle name="CustomizationCells 3 2 8" xfId="3016" xr:uid="{00000000-0005-0000-0000-0000540B0000}"/>
    <cellStyle name="CustomizationCells 3 2 9" xfId="3184" xr:uid="{00000000-0005-0000-0000-0000550B0000}"/>
    <cellStyle name="CustomizationCells 3 3" xfId="744" xr:uid="{00000000-0005-0000-0000-0000560B0000}"/>
    <cellStyle name="CustomizationCells 3 3 10" xfId="3445" xr:uid="{00000000-0005-0000-0000-0000570B0000}"/>
    <cellStyle name="CustomizationCells 3 3 11" xfId="4015" xr:uid="{00000000-0005-0000-0000-0000580B0000}"/>
    <cellStyle name="CustomizationCells 3 3 12" xfId="4334" xr:uid="{00000000-0005-0000-0000-0000590B0000}"/>
    <cellStyle name="CustomizationCells 3 3 13" xfId="4815" xr:uid="{00000000-0005-0000-0000-00005A0B0000}"/>
    <cellStyle name="CustomizationCells 3 3 14" xfId="5195" xr:uid="{00000000-0005-0000-0000-00005B0B0000}"/>
    <cellStyle name="CustomizationCells 3 3 15" xfId="5772" xr:uid="{00000000-0005-0000-0000-00005C0B0000}"/>
    <cellStyle name="CustomizationCells 3 3 2" xfId="1425" xr:uid="{00000000-0005-0000-0000-00005D0B0000}"/>
    <cellStyle name="CustomizationCells 3 3 2 2" xfId="4229" xr:uid="{00000000-0005-0000-0000-00005E0B0000}"/>
    <cellStyle name="CustomizationCells 3 3 2 3" xfId="3629" xr:uid="{00000000-0005-0000-0000-00005F0B0000}"/>
    <cellStyle name="CustomizationCells 3 3 2 4" xfId="5027" xr:uid="{00000000-0005-0000-0000-0000600B0000}"/>
    <cellStyle name="CustomizationCells 3 3 2 5" xfId="5401" xr:uid="{00000000-0005-0000-0000-0000610B0000}"/>
    <cellStyle name="CustomizationCells 3 3 2 6" xfId="5978" xr:uid="{00000000-0005-0000-0000-0000620B0000}"/>
    <cellStyle name="CustomizationCells 3 3 3" xfId="1659" xr:uid="{00000000-0005-0000-0000-0000630B0000}"/>
    <cellStyle name="CustomizationCells 3 3 4" xfId="1931" xr:uid="{00000000-0005-0000-0000-0000640B0000}"/>
    <cellStyle name="CustomizationCells 3 3 5" xfId="2310" xr:uid="{00000000-0005-0000-0000-0000650B0000}"/>
    <cellStyle name="CustomizationCells 3 3 6" xfId="2489" xr:uid="{00000000-0005-0000-0000-0000660B0000}"/>
    <cellStyle name="CustomizationCells 3 3 7" xfId="2669" xr:uid="{00000000-0005-0000-0000-0000670B0000}"/>
    <cellStyle name="CustomizationCells 3 3 8" xfId="3043" xr:uid="{00000000-0005-0000-0000-0000680B0000}"/>
    <cellStyle name="CustomizationCells 3 3 9" xfId="3211" xr:uid="{00000000-0005-0000-0000-0000690B0000}"/>
    <cellStyle name="CustomizationCells 3 4" xfId="664" xr:uid="{00000000-0005-0000-0000-00006A0B0000}"/>
    <cellStyle name="CustomizationCells 3 4 10" xfId="3365" xr:uid="{00000000-0005-0000-0000-00006B0B0000}"/>
    <cellStyle name="CustomizationCells 3 4 11" xfId="3935" xr:uid="{00000000-0005-0000-0000-00006C0B0000}"/>
    <cellStyle name="CustomizationCells 3 4 12" xfId="4273" xr:uid="{00000000-0005-0000-0000-00006D0B0000}"/>
    <cellStyle name="CustomizationCells 3 4 13" xfId="4735" xr:uid="{00000000-0005-0000-0000-00006E0B0000}"/>
    <cellStyle name="CustomizationCells 3 4 14" xfId="5115" xr:uid="{00000000-0005-0000-0000-00006F0B0000}"/>
    <cellStyle name="CustomizationCells 3 4 15" xfId="5692" xr:uid="{00000000-0005-0000-0000-0000700B0000}"/>
    <cellStyle name="CustomizationCells 3 4 2" xfId="1094" xr:uid="{00000000-0005-0000-0000-0000710B0000}"/>
    <cellStyle name="CustomizationCells 3 4 2 2" xfId="4149" xr:uid="{00000000-0005-0000-0000-0000720B0000}"/>
    <cellStyle name="CustomizationCells 3 4 2 3" xfId="3555" xr:uid="{00000000-0005-0000-0000-0000730B0000}"/>
    <cellStyle name="CustomizationCells 3 4 2 4" xfId="4947" xr:uid="{00000000-0005-0000-0000-0000740B0000}"/>
    <cellStyle name="CustomizationCells 3 4 2 5" xfId="5321" xr:uid="{00000000-0005-0000-0000-0000750B0000}"/>
    <cellStyle name="CustomizationCells 3 4 2 6" xfId="5898" xr:uid="{00000000-0005-0000-0000-0000760B0000}"/>
    <cellStyle name="CustomizationCells 3 4 3" xfId="1579" xr:uid="{00000000-0005-0000-0000-0000770B0000}"/>
    <cellStyle name="CustomizationCells 3 4 4" xfId="1523" xr:uid="{00000000-0005-0000-0000-0000780B0000}"/>
    <cellStyle name="CustomizationCells 3 4 5" xfId="2046" xr:uid="{00000000-0005-0000-0000-0000790B0000}"/>
    <cellStyle name="CustomizationCells 3 4 6" xfId="2409" xr:uid="{00000000-0005-0000-0000-00007A0B0000}"/>
    <cellStyle name="CustomizationCells 3 4 7" xfId="2589" xr:uid="{00000000-0005-0000-0000-00007B0B0000}"/>
    <cellStyle name="CustomizationCells 3 4 8" xfId="2963" xr:uid="{00000000-0005-0000-0000-00007C0B0000}"/>
    <cellStyle name="CustomizationCells 3 4 9" xfId="3131" xr:uid="{00000000-0005-0000-0000-00007D0B0000}"/>
    <cellStyle name="CustomizationCells 3 5" xfId="1011" xr:uid="{00000000-0005-0000-0000-00007E0B0000}"/>
    <cellStyle name="CustomizationCells 3 5 2" xfId="4073" xr:uid="{00000000-0005-0000-0000-00007F0B0000}"/>
    <cellStyle name="CustomizationCells 3 5 3" xfId="4873" xr:uid="{00000000-0005-0000-0000-0000800B0000}"/>
    <cellStyle name="CustomizationCells 3 6" xfId="897" xr:uid="{00000000-0005-0000-0000-0000810B0000}"/>
    <cellStyle name="CustomizationCells 3 7" xfId="1132" xr:uid="{00000000-0005-0000-0000-0000820B0000}"/>
    <cellStyle name="CustomizationCells 3 8" xfId="1984" xr:uid="{00000000-0005-0000-0000-0000830B0000}"/>
    <cellStyle name="CustomizationCells 3 9" xfId="2223" xr:uid="{00000000-0005-0000-0000-0000840B0000}"/>
    <cellStyle name="CustomizationCells 4" xfId="970" xr:uid="{00000000-0005-0000-0000-0000850B0000}"/>
    <cellStyle name="CustomizationCells 4 2" xfId="4576" xr:uid="{00000000-0005-0000-0000-0000860B0000}"/>
    <cellStyle name="CustomizationGreenCells" xfId="58" xr:uid="{00000000-0005-0000-0000-0000870B0000}"/>
    <cellStyle name="CustomizationGreenCells 2" xfId="521" xr:uid="{00000000-0005-0000-0000-0000880B0000}"/>
    <cellStyle name="CustomizationGreenCells 2 2" xfId="1077" xr:uid="{00000000-0005-0000-0000-0000890B0000}"/>
    <cellStyle name="CustomizationGreenCells 2 3" xfId="955" xr:uid="{00000000-0005-0000-0000-00008A0B0000}"/>
    <cellStyle name="CustomizationGreenCells 2 4" xfId="1473" xr:uid="{00000000-0005-0000-0000-00008B0B0000}"/>
    <cellStyle name="CustomizationGreenCells 2 5" xfId="923" xr:uid="{00000000-0005-0000-0000-00008C0B0000}"/>
    <cellStyle name="CustomizationGreenCells 2 6" xfId="1833" xr:uid="{00000000-0005-0000-0000-00008D0B0000}"/>
    <cellStyle name="CustomizationGreenCells 2 7" xfId="888" xr:uid="{00000000-0005-0000-0000-00008E0B0000}"/>
    <cellStyle name="CustomizationGreenCells 2 8" xfId="1863" xr:uid="{00000000-0005-0000-0000-00008F0B0000}"/>
    <cellStyle name="CustomizationGreenCells 3" xfId="379" xr:uid="{00000000-0005-0000-0000-0000900B0000}"/>
    <cellStyle name="CustomizationGreenCells 3 10" xfId="1304" xr:uid="{00000000-0005-0000-0000-0000910B0000}"/>
    <cellStyle name="CustomizationGreenCells 3 11" xfId="2871" xr:uid="{00000000-0005-0000-0000-0000920B0000}"/>
    <cellStyle name="CustomizationGreenCells 3 12" xfId="2818" xr:uid="{00000000-0005-0000-0000-0000930B0000}"/>
    <cellStyle name="CustomizationGreenCells 3 13" xfId="3284" xr:uid="{00000000-0005-0000-0000-0000940B0000}"/>
    <cellStyle name="CustomizationGreenCells 3 14" xfId="3737" xr:uid="{00000000-0005-0000-0000-0000950B0000}"/>
    <cellStyle name="CustomizationGreenCells 3 15" xfId="3846" xr:uid="{00000000-0005-0000-0000-0000960B0000}"/>
    <cellStyle name="CustomizationGreenCells 3 16" xfId="4625" xr:uid="{00000000-0005-0000-0000-0000970B0000}"/>
    <cellStyle name="CustomizationGreenCells 3 17" xfId="4586" xr:uid="{00000000-0005-0000-0000-0000980B0000}"/>
    <cellStyle name="CustomizationGreenCells 3 18" xfId="5489" xr:uid="{00000000-0005-0000-0000-0000990B0000}"/>
    <cellStyle name="CustomizationGreenCells 3 2" xfId="718" xr:uid="{00000000-0005-0000-0000-00009A0B0000}"/>
    <cellStyle name="CustomizationGreenCells 3 2 10" xfId="3419" xr:uid="{00000000-0005-0000-0000-00009B0B0000}"/>
    <cellStyle name="CustomizationGreenCells 3 2 11" xfId="3989" xr:uid="{00000000-0005-0000-0000-00009C0B0000}"/>
    <cellStyle name="CustomizationGreenCells 3 2 12" xfId="3617" xr:uid="{00000000-0005-0000-0000-00009D0B0000}"/>
    <cellStyle name="CustomizationGreenCells 3 2 13" xfId="4789" xr:uid="{00000000-0005-0000-0000-00009E0B0000}"/>
    <cellStyle name="CustomizationGreenCells 3 2 14" xfId="5169" xr:uid="{00000000-0005-0000-0000-00009F0B0000}"/>
    <cellStyle name="CustomizationGreenCells 3 2 15" xfId="5746" xr:uid="{00000000-0005-0000-0000-0000A00B0000}"/>
    <cellStyle name="CustomizationGreenCells 3 2 2" xfId="1399" xr:uid="{00000000-0005-0000-0000-0000A10B0000}"/>
    <cellStyle name="CustomizationGreenCells 3 2 2 2" xfId="4203" xr:uid="{00000000-0005-0000-0000-0000A20B0000}"/>
    <cellStyle name="CustomizationGreenCells 3 2 2 3" xfId="4442" xr:uid="{00000000-0005-0000-0000-0000A30B0000}"/>
    <cellStyle name="CustomizationGreenCells 3 2 2 4" xfId="5001" xr:uid="{00000000-0005-0000-0000-0000A40B0000}"/>
    <cellStyle name="CustomizationGreenCells 3 2 2 5" xfId="5375" xr:uid="{00000000-0005-0000-0000-0000A50B0000}"/>
    <cellStyle name="CustomizationGreenCells 3 2 2 6" xfId="5952" xr:uid="{00000000-0005-0000-0000-0000A60B0000}"/>
    <cellStyle name="CustomizationGreenCells 3 2 3" xfId="1633" xr:uid="{00000000-0005-0000-0000-0000A70B0000}"/>
    <cellStyle name="CustomizationGreenCells 3 2 4" xfId="1905" xr:uid="{00000000-0005-0000-0000-0000A80B0000}"/>
    <cellStyle name="CustomizationGreenCells 3 2 5" xfId="2284" xr:uid="{00000000-0005-0000-0000-0000A90B0000}"/>
    <cellStyle name="CustomizationGreenCells 3 2 6" xfId="2463" xr:uid="{00000000-0005-0000-0000-0000AA0B0000}"/>
    <cellStyle name="CustomizationGreenCells 3 2 7" xfId="2643" xr:uid="{00000000-0005-0000-0000-0000AB0B0000}"/>
    <cellStyle name="CustomizationGreenCells 3 2 8" xfId="3017" xr:uid="{00000000-0005-0000-0000-0000AC0B0000}"/>
    <cellStyle name="CustomizationGreenCells 3 2 9" xfId="3185" xr:uid="{00000000-0005-0000-0000-0000AD0B0000}"/>
    <cellStyle name="CustomizationGreenCells 3 3" xfId="688" xr:uid="{00000000-0005-0000-0000-0000AE0B0000}"/>
    <cellStyle name="CustomizationGreenCells 3 3 10" xfId="3389" xr:uid="{00000000-0005-0000-0000-0000AF0B0000}"/>
    <cellStyle name="CustomizationGreenCells 3 3 11" xfId="3959" xr:uid="{00000000-0005-0000-0000-0000B00B0000}"/>
    <cellStyle name="CustomizationGreenCells 3 3 12" xfId="3697" xr:uid="{00000000-0005-0000-0000-0000B10B0000}"/>
    <cellStyle name="CustomizationGreenCells 3 3 13" xfId="4759" xr:uid="{00000000-0005-0000-0000-0000B20B0000}"/>
    <cellStyle name="CustomizationGreenCells 3 3 14" xfId="5139" xr:uid="{00000000-0005-0000-0000-0000B30B0000}"/>
    <cellStyle name="CustomizationGreenCells 3 3 15" xfId="5716" xr:uid="{00000000-0005-0000-0000-0000B40B0000}"/>
    <cellStyle name="CustomizationGreenCells 3 3 2" xfId="905" xr:uid="{00000000-0005-0000-0000-0000B50B0000}"/>
    <cellStyle name="CustomizationGreenCells 3 3 2 2" xfId="4173" xr:uid="{00000000-0005-0000-0000-0000B60B0000}"/>
    <cellStyle name="CustomizationGreenCells 3 3 2 3" xfId="4438" xr:uid="{00000000-0005-0000-0000-0000B70B0000}"/>
    <cellStyle name="CustomizationGreenCells 3 3 2 4" xfId="4971" xr:uid="{00000000-0005-0000-0000-0000B80B0000}"/>
    <cellStyle name="CustomizationGreenCells 3 3 2 5" xfId="5345" xr:uid="{00000000-0005-0000-0000-0000B90B0000}"/>
    <cellStyle name="CustomizationGreenCells 3 3 2 6" xfId="5922" xr:uid="{00000000-0005-0000-0000-0000BA0B0000}"/>
    <cellStyle name="CustomizationGreenCells 3 3 3" xfId="1603" xr:uid="{00000000-0005-0000-0000-0000BB0B0000}"/>
    <cellStyle name="CustomizationGreenCells 3 3 4" xfId="1875" xr:uid="{00000000-0005-0000-0000-0000BC0B0000}"/>
    <cellStyle name="CustomizationGreenCells 3 3 5" xfId="1834" xr:uid="{00000000-0005-0000-0000-0000BD0B0000}"/>
    <cellStyle name="CustomizationGreenCells 3 3 6" xfId="2433" xr:uid="{00000000-0005-0000-0000-0000BE0B0000}"/>
    <cellStyle name="CustomizationGreenCells 3 3 7" xfId="2613" xr:uid="{00000000-0005-0000-0000-0000BF0B0000}"/>
    <cellStyle name="CustomizationGreenCells 3 3 8" xfId="2987" xr:uid="{00000000-0005-0000-0000-0000C00B0000}"/>
    <cellStyle name="CustomizationGreenCells 3 3 9" xfId="3155" xr:uid="{00000000-0005-0000-0000-0000C10B0000}"/>
    <cellStyle name="CustomizationGreenCells 3 4" xfId="621" xr:uid="{00000000-0005-0000-0000-0000C20B0000}"/>
    <cellStyle name="CustomizationGreenCells 3 4 10" xfId="3322" xr:uid="{00000000-0005-0000-0000-0000C30B0000}"/>
    <cellStyle name="CustomizationGreenCells 3 4 11" xfId="3892" xr:uid="{00000000-0005-0000-0000-0000C40B0000}"/>
    <cellStyle name="CustomizationGreenCells 3 4 12" xfId="3616" xr:uid="{00000000-0005-0000-0000-0000C50B0000}"/>
    <cellStyle name="CustomizationGreenCells 3 4 13" xfId="4692" xr:uid="{00000000-0005-0000-0000-0000C60B0000}"/>
    <cellStyle name="CustomizationGreenCells 3 4 14" xfId="5072" xr:uid="{00000000-0005-0000-0000-0000C70B0000}"/>
    <cellStyle name="CustomizationGreenCells 3 4 15" xfId="5649" xr:uid="{00000000-0005-0000-0000-0000C80B0000}"/>
    <cellStyle name="CustomizationGreenCells 3 4 2" xfId="1084" xr:uid="{00000000-0005-0000-0000-0000C90B0000}"/>
    <cellStyle name="CustomizationGreenCells 3 4 2 2" xfId="4106" xr:uid="{00000000-0005-0000-0000-0000CA0B0000}"/>
    <cellStyle name="CustomizationGreenCells 3 4 2 3" xfId="3873" xr:uid="{00000000-0005-0000-0000-0000CB0B0000}"/>
    <cellStyle name="CustomizationGreenCells 3 4 2 4" xfId="4904" xr:uid="{00000000-0005-0000-0000-0000CC0B0000}"/>
    <cellStyle name="CustomizationGreenCells 3 4 2 5" xfId="5278" xr:uid="{00000000-0005-0000-0000-0000CD0B0000}"/>
    <cellStyle name="CustomizationGreenCells 3 4 2 6" xfId="5855" xr:uid="{00000000-0005-0000-0000-0000CE0B0000}"/>
    <cellStyle name="CustomizationGreenCells 3 4 3" xfId="1536" xr:uid="{00000000-0005-0000-0000-0000CF0B0000}"/>
    <cellStyle name="CustomizationGreenCells 3 4 4" xfId="837" xr:uid="{00000000-0005-0000-0000-0000D00B0000}"/>
    <cellStyle name="CustomizationGreenCells 3 4 5" xfId="2260" xr:uid="{00000000-0005-0000-0000-0000D10B0000}"/>
    <cellStyle name="CustomizationGreenCells 3 4 6" xfId="2366" xr:uid="{00000000-0005-0000-0000-0000D20B0000}"/>
    <cellStyle name="CustomizationGreenCells 3 4 7" xfId="2546" xr:uid="{00000000-0005-0000-0000-0000D30B0000}"/>
    <cellStyle name="CustomizationGreenCells 3 4 8" xfId="2920" xr:uid="{00000000-0005-0000-0000-0000D40B0000}"/>
    <cellStyle name="CustomizationGreenCells 3 4 9" xfId="3088" xr:uid="{00000000-0005-0000-0000-0000D50B0000}"/>
    <cellStyle name="CustomizationGreenCells 3 5" xfId="958" xr:uid="{00000000-0005-0000-0000-0000D60B0000}"/>
    <cellStyle name="CustomizationGreenCells 3 5 2" xfId="4074" xr:uid="{00000000-0005-0000-0000-0000D70B0000}"/>
    <cellStyle name="CustomizationGreenCells 3 6" xfId="910" xr:uid="{00000000-0005-0000-0000-0000D80B0000}"/>
    <cellStyle name="CustomizationGreenCells 3 7" xfId="1496" xr:uid="{00000000-0005-0000-0000-0000D90B0000}"/>
    <cellStyle name="CustomizationGreenCells 3 8" xfId="1856" xr:uid="{00000000-0005-0000-0000-0000DA0B0000}"/>
    <cellStyle name="CustomizationGreenCells 3 9" xfId="1269" xr:uid="{00000000-0005-0000-0000-0000DB0B0000}"/>
    <cellStyle name="CustomizationGreenCells 4" xfId="1052" xr:uid="{00000000-0005-0000-0000-0000DC0B0000}"/>
    <cellStyle name="DocBox_EmptyRow" xfId="59" xr:uid="{00000000-0005-0000-0000-0000DD0B0000}"/>
    <cellStyle name="Eingabe" xfId="231" xr:uid="{00000000-0005-0000-0000-0000DE0B0000}"/>
    <cellStyle name="Eingabe 10" xfId="1219" xr:uid="{00000000-0005-0000-0000-0000DF0B0000}"/>
    <cellStyle name="Eingabe 11" xfId="908" xr:uid="{00000000-0005-0000-0000-0000E00B0000}"/>
    <cellStyle name="Eingabe 12" xfId="1499" xr:uid="{00000000-0005-0000-0000-0000E10B0000}"/>
    <cellStyle name="Eingabe 13" xfId="1725" xr:uid="{00000000-0005-0000-0000-0000E20B0000}"/>
    <cellStyle name="Eingabe 14" xfId="246" xr:uid="{00000000-0005-0000-0000-0000E30B0000}"/>
    <cellStyle name="Eingabe 15" xfId="1306" xr:uid="{00000000-0005-0000-0000-0000E40B0000}"/>
    <cellStyle name="Eingabe 16" xfId="2032" xr:uid="{00000000-0005-0000-0000-0000E50B0000}"/>
    <cellStyle name="Eingabe 17" xfId="1815" xr:uid="{00000000-0005-0000-0000-0000E60B0000}"/>
    <cellStyle name="Eingabe 18" xfId="2125" xr:uid="{00000000-0005-0000-0000-0000E70B0000}"/>
    <cellStyle name="Eingabe 19" xfId="2111" xr:uid="{00000000-0005-0000-0000-0000E80B0000}"/>
    <cellStyle name="Eingabe 2" xfId="476" xr:uid="{00000000-0005-0000-0000-0000E90B0000}"/>
    <cellStyle name="Eingabe 20" xfId="2527" xr:uid="{00000000-0005-0000-0000-0000EA0B0000}"/>
    <cellStyle name="Eingabe 21" xfId="1799" xr:uid="{00000000-0005-0000-0000-0000EB0B0000}"/>
    <cellStyle name="Eingabe 22" xfId="2838" xr:uid="{00000000-0005-0000-0000-0000EC0B0000}"/>
    <cellStyle name="Eingabe 23" xfId="2884" xr:uid="{00000000-0005-0000-0000-0000ED0B0000}"/>
    <cellStyle name="Eingabe 24" xfId="3252" xr:uid="{00000000-0005-0000-0000-0000EE0B0000}"/>
    <cellStyle name="Eingabe 25" xfId="3312" xr:uid="{00000000-0005-0000-0000-0000EF0B0000}"/>
    <cellStyle name="Eingabe 3" xfId="522" xr:uid="{00000000-0005-0000-0000-0000F00B0000}"/>
    <cellStyle name="Eingabe 3 10" xfId="1803" xr:uid="{00000000-0005-0000-0000-0000F10B0000}"/>
    <cellStyle name="Eingabe 3 11" xfId="1853" xr:uid="{00000000-0005-0000-0000-0000F20B0000}"/>
    <cellStyle name="Eingabe 3 12" xfId="1270" xr:uid="{00000000-0005-0000-0000-0000F30B0000}"/>
    <cellStyle name="Eingabe 3 13" xfId="1706" xr:uid="{00000000-0005-0000-0000-0000F40B0000}"/>
    <cellStyle name="Eingabe 3 14" xfId="1737" xr:uid="{00000000-0005-0000-0000-0000F50B0000}"/>
    <cellStyle name="Eingabe 3 15" xfId="1697" xr:uid="{00000000-0005-0000-0000-0000F60B0000}"/>
    <cellStyle name="Eingabe 3 16" xfId="1318" xr:uid="{00000000-0005-0000-0000-0000F70B0000}"/>
    <cellStyle name="Eingabe 3 17" xfId="1047" xr:uid="{00000000-0005-0000-0000-0000F80B0000}"/>
    <cellStyle name="Eingabe 3 18" xfId="2742" xr:uid="{00000000-0005-0000-0000-0000F90B0000}"/>
    <cellStyle name="Eingabe 3 19" xfId="2906" xr:uid="{00000000-0005-0000-0000-0000FA0B0000}"/>
    <cellStyle name="Eingabe 3 2" xfId="758" xr:uid="{00000000-0005-0000-0000-0000FB0B0000}"/>
    <cellStyle name="Eingabe 3 2 10" xfId="2251" xr:uid="{00000000-0005-0000-0000-0000FC0B0000}"/>
    <cellStyle name="Eingabe 3 2 11" xfId="2324" xr:uid="{00000000-0005-0000-0000-0000FD0B0000}"/>
    <cellStyle name="Eingabe 3 2 12" xfId="2503" xr:uid="{00000000-0005-0000-0000-0000FE0B0000}"/>
    <cellStyle name="Eingabe 3 2 13" xfId="2683" xr:uid="{00000000-0005-0000-0000-0000FF0B0000}"/>
    <cellStyle name="Eingabe 3 2 14" xfId="2768" xr:uid="{00000000-0005-0000-0000-0000000C0000}"/>
    <cellStyle name="Eingabe 3 2 15" xfId="2807" xr:uid="{00000000-0005-0000-0000-0000010C0000}"/>
    <cellStyle name="Eingabe 3 2 16" xfId="3057" xr:uid="{00000000-0005-0000-0000-0000020C0000}"/>
    <cellStyle name="Eingabe 3 2 17" xfId="3225" xr:uid="{00000000-0005-0000-0000-0000030C0000}"/>
    <cellStyle name="Eingabe 3 2 18" xfId="3459" xr:uid="{00000000-0005-0000-0000-0000040C0000}"/>
    <cellStyle name="Eingabe 3 2 19" xfId="3537" xr:uid="{00000000-0005-0000-0000-0000050C0000}"/>
    <cellStyle name="Eingabe 3 2 2" xfId="1259" xr:uid="{00000000-0005-0000-0000-0000060C0000}"/>
    <cellStyle name="Eingabe 3 2 2 2" xfId="4243" xr:uid="{00000000-0005-0000-0000-0000070C0000}"/>
    <cellStyle name="Eingabe 3 2 2 3" xfId="4502" xr:uid="{00000000-0005-0000-0000-0000080C0000}"/>
    <cellStyle name="Eingabe 3 2 2 4" xfId="5041" xr:uid="{00000000-0005-0000-0000-0000090C0000}"/>
    <cellStyle name="Eingabe 3 2 2 5" xfId="5415" xr:uid="{00000000-0005-0000-0000-00000A0C0000}"/>
    <cellStyle name="Eingabe 3 2 2 6" xfId="5992" xr:uid="{00000000-0005-0000-0000-00000B0C0000}"/>
    <cellStyle name="Eingabe 3 2 20" xfId="4029" xr:uid="{00000000-0005-0000-0000-00000C0C0000}"/>
    <cellStyle name="Eingabe 3 2 21" xfId="4439" xr:uid="{00000000-0005-0000-0000-00000D0C0000}"/>
    <cellStyle name="Eingabe 3 2 22" xfId="4829" xr:uid="{00000000-0005-0000-0000-00000E0C0000}"/>
    <cellStyle name="Eingabe 3 2 23" xfId="5209" xr:uid="{00000000-0005-0000-0000-00000F0C0000}"/>
    <cellStyle name="Eingabe 3 2 24" xfId="5786" xr:uid="{00000000-0005-0000-0000-0000100C0000}"/>
    <cellStyle name="Eingabe 3 2 3" xfId="1354" xr:uid="{00000000-0005-0000-0000-0000110C0000}"/>
    <cellStyle name="Eingabe 3 2 4" xfId="1439" xr:uid="{00000000-0005-0000-0000-0000120C0000}"/>
    <cellStyle name="Eingabe 3 2 5" xfId="1673" xr:uid="{00000000-0005-0000-0000-0000130C0000}"/>
    <cellStyle name="Eingabe 3 2 6" xfId="1844" xr:uid="{00000000-0005-0000-0000-0000140C0000}"/>
    <cellStyle name="Eingabe 3 2 7" xfId="1945" xr:uid="{00000000-0005-0000-0000-0000150C0000}"/>
    <cellStyle name="Eingabe 3 2 8" xfId="2098" xr:uid="{00000000-0005-0000-0000-0000160C0000}"/>
    <cellStyle name="Eingabe 3 2 9" xfId="2177" xr:uid="{00000000-0005-0000-0000-0000170C0000}"/>
    <cellStyle name="Eingabe 3 20" xfId="2824" xr:uid="{00000000-0005-0000-0000-0000180C0000}"/>
    <cellStyle name="Eingabe 3 21" xfId="3309" xr:uid="{00000000-0005-0000-0000-0000190C0000}"/>
    <cellStyle name="Eingabe 3 22" xfId="3268" xr:uid="{00000000-0005-0000-0000-00001A0C0000}"/>
    <cellStyle name="Eingabe 3 23" xfId="3828" xr:uid="{00000000-0005-0000-0000-00001B0C0000}"/>
    <cellStyle name="Eingabe 3 24" xfId="3851" xr:uid="{00000000-0005-0000-0000-00001C0C0000}"/>
    <cellStyle name="Eingabe 3 25" xfId="4668" xr:uid="{00000000-0005-0000-0000-00001D0C0000}"/>
    <cellStyle name="Eingabe 3 26" xfId="5063" xr:uid="{00000000-0005-0000-0000-00001E0C0000}"/>
    <cellStyle name="Eingabe 3 27" xfId="5568" xr:uid="{00000000-0005-0000-0000-00001F0C0000}"/>
    <cellStyle name="Eingabe 3 3" xfId="747" xr:uid="{00000000-0005-0000-0000-0000200C0000}"/>
    <cellStyle name="Eingabe 3 3 10" xfId="2244" xr:uid="{00000000-0005-0000-0000-0000210C0000}"/>
    <cellStyle name="Eingabe 3 3 11" xfId="2313" xr:uid="{00000000-0005-0000-0000-0000220C0000}"/>
    <cellStyle name="Eingabe 3 3 12" xfId="2492" xr:uid="{00000000-0005-0000-0000-0000230C0000}"/>
    <cellStyle name="Eingabe 3 3 13" xfId="2672" xr:uid="{00000000-0005-0000-0000-0000240C0000}"/>
    <cellStyle name="Eingabe 3 3 14" xfId="2764" xr:uid="{00000000-0005-0000-0000-0000250C0000}"/>
    <cellStyle name="Eingabe 3 3 15" xfId="2803" xr:uid="{00000000-0005-0000-0000-0000260C0000}"/>
    <cellStyle name="Eingabe 3 3 16" xfId="3046" xr:uid="{00000000-0005-0000-0000-0000270C0000}"/>
    <cellStyle name="Eingabe 3 3 17" xfId="3214" xr:uid="{00000000-0005-0000-0000-0000280C0000}"/>
    <cellStyle name="Eingabe 3 3 18" xfId="3448" xr:uid="{00000000-0005-0000-0000-0000290C0000}"/>
    <cellStyle name="Eingabe 3 3 19" xfId="3533" xr:uid="{00000000-0005-0000-0000-00002A0C0000}"/>
    <cellStyle name="Eingabe 3 3 2" xfId="1252" xr:uid="{00000000-0005-0000-0000-00002B0C0000}"/>
    <cellStyle name="Eingabe 3 3 2 2" xfId="4232" xr:uid="{00000000-0005-0000-0000-00002C0C0000}"/>
    <cellStyle name="Eingabe 3 3 2 3" xfId="3826" xr:uid="{00000000-0005-0000-0000-00002D0C0000}"/>
    <cellStyle name="Eingabe 3 3 2 4" xfId="5030" xr:uid="{00000000-0005-0000-0000-00002E0C0000}"/>
    <cellStyle name="Eingabe 3 3 2 5" xfId="5404" xr:uid="{00000000-0005-0000-0000-00002F0C0000}"/>
    <cellStyle name="Eingabe 3 3 2 6" xfId="5981" xr:uid="{00000000-0005-0000-0000-0000300C0000}"/>
    <cellStyle name="Eingabe 3 3 20" xfId="4018" xr:uid="{00000000-0005-0000-0000-0000310C0000}"/>
    <cellStyle name="Eingabe 3 3 21" xfId="3692" xr:uid="{00000000-0005-0000-0000-0000320C0000}"/>
    <cellStyle name="Eingabe 3 3 22" xfId="4818" xr:uid="{00000000-0005-0000-0000-0000330C0000}"/>
    <cellStyle name="Eingabe 3 3 23" xfId="5198" xr:uid="{00000000-0005-0000-0000-0000340C0000}"/>
    <cellStyle name="Eingabe 3 3 24" xfId="5775" xr:uid="{00000000-0005-0000-0000-0000350C0000}"/>
    <cellStyle name="Eingabe 3 3 3" xfId="1344" xr:uid="{00000000-0005-0000-0000-0000360C0000}"/>
    <cellStyle name="Eingabe 3 3 4" xfId="1428" xr:uid="{00000000-0005-0000-0000-0000370C0000}"/>
    <cellStyle name="Eingabe 3 3 5" xfId="1662" xr:uid="{00000000-0005-0000-0000-0000380C0000}"/>
    <cellStyle name="Eingabe 3 3 6" xfId="1837" xr:uid="{00000000-0005-0000-0000-0000390C0000}"/>
    <cellStyle name="Eingabe 3 3 7" xfId="1934" xr:uid="{00000000-0005-0000-0000-00003A0C0000}"/>
    <cellStyle name="Eingabe 3 3 8" xfId="2092" xr:uid="{00000000-0005-0000-0000-00003B0C0000}"/>
    <cellStyle name="Eingabe 3 3 9" xfId="2168" xr:uid="{00000000-0005-0000-0000-00003C0C0000}"/>
    <cellStyle name="Eingabe 3 4" xfId="638" xr:uid="{00000000-0005-0000-0000-00003D0C0000}"/>
    <cellStyle name="Eingabe 3 4 10" xfId="2072" xr:uid="{00000000-0005-0000-0000-00003E0C0000}"/>
    <cellStyle name="Eingabe 3 4 11" xfId="2063" xr:uid="{00000000-0005-0000-0000-00003F0C0000}"/>
    <cellStyle name="Eingabe 3 4 12" xfId="2383" xr:uid="{00000000-0005-0000-0000-0000400C0000}"/>
    <cellStyle name="Eingabe 3 4 13" xfId="2563" xr:uid="{00000000-0005-0000-0000-0000410C0000}"/>
    <cellStyle name="Eingabe 3 4 14" xfId="2718" xr:uid="{00000000-0005-0000-0000-0000420C0000}"/>
    <cellStyle name="Eingabe 3 4 15" xfId="1513" xr:uid="{00000000-0005-0000-0000-0000430C0000}"/>
    <cellStyle name="Eingabe 3 4 16" xfId="2937" xr:uid="{00000000-0005-0000-0000-0000440C0000}"/>
    <cellStyle name="Eingabe 3 4 17" xfId="3105" xr:uid="{00000000-0005-0000-0000-0000450C0000}"/>
    <cellStyle name="Eingabe 3 4 18" xfId="3339" xr:uid="{00000000-0005-0000-0000-0000460C0000}"/>
    <cellStyle name="Eingabe 3 4 19" xfId="3488" xr:uid="{00000000-0005-0000-0000-0000470C0000}"/>
    <cellStyle name="Eingabe 3 4 2" xfId="1154" xr:uid="{00000000-0005-0000-0000-0000480C0000}"/>
    <cellStyle name="Eingabe 3 4 2 2" xfId="4123" xr:uid="{00000000-0005-0000-0000-0000490C0000}"/>
    <cellStyle name="Eingabe 3 4 2 3" xfId="3784" xr:uid="{00000000-0005-0000-0000-00004A0C0000}"/>
    <cellStyle name="Eingabe 3 4 2 4" xfId="4921" xr:uid="{00000000-0005-0000-0000-00004B0C0000}"/>
    <cellStyle name="Eingabe 3 4 2 5" xfId="5295" xr:uid="{00000000-0005-0000-0000-00004C0C0000}"/>
    <cellStyle name="Eingabe 3 4 2 6" xfId="5872" xr:uid="{00000000-0005-0000-0000-00004D0C0000}"/>
    <cellStyle name="Eingabe 3 4 20" xfId="3909" xr:uid="{00000000-0005-0000-0000-00004E0C0000}"/>
    <cellStyle name="Eingabe 3 4 21" xfId="4468" xr:uid="{00000000-0005-0000-0000-00004F0C0000}"/>
    <cellStyle name="Eingabe 3 4 22" xfId="4709" xr:uid="{00000000-0005-0000-0000-0000500C0000}"/>
    <cellStyle name="Eingabe 3 4 23" xfId="5089" xr:uid="{00000000-0005-0000-0000-0000510C0000}"/>
    <cellStyle name="Eingabe 3 4 24" xfId="5666" xr:uid="{00000000-0005-0000-0000-0000520C0000}"/>
    <cellStyle name="Eingabe 3 4 3" xfId="806" xr:uid="{00000000-0005-0000-0000-0000530C0000}"/>
    <cellStyle name="Eingabe 3 4 4" xfId="969" xr:uid="{00000000-0005-0000-0000-0000540C0000}"/>
    <cellStyle name="Eingabe 3 4 5" xfId="1553" xr:uid="{00000000-0005-0000-0000-0000550C0000}"/>
    <cellStyle name="Eingabe 3 4 6" xfId="1749" xr:uid="{00000000-0005-0000-0000-0000560C0000}"/>
    <cellStyle name="Eingabe 3 4 7" xfId="1831" xr:uid="{00000000-0005-0000-0000-0000570C0000}"/>
    <cellStyle name="Eingabe 3 4 8" xfId="2009" xr:uid="{00000000-0005-0000-0000-0000580C0000}"/>
    <cellStyle name="Eingabe 3 4 9" xfId="1768" xr:uid="{00000000-0005-0000-0000-0000590C0000}"/>
    <cellStyle name="Eingabe 3 5" xfId="1078" xr:uid="{00000000-0005-0000-0000-00005A0C0000}"/>
    <cellStyle name="Eingabe 3 5 2" xfId="4091" xr:uid="{00000000-0005-0000-0000-00005B0C0000}"/>
    <cellStyle name="Eingabe 3 5 3" xfId="4396" xr:uid="{00000000-0005-0000-0000-00005C0C0000}"/>
    <cellStyle name="Eingabe 3 5 4" xfId="4889" xr:uid="{00000000-0005-0000-0000-00005D0C0000}"/>
    <cellStyle name="Eingabe 3 5 5" xfId="5263" xr:uid="{00000000-0005-0000-0000-00005E0C0000}"/>
    <cellStyle name="Eingabe 3 5 6" xfId="5840" xr:uid="{00000000-0005-0000-0000-00005F0C0000}"/>
    <cellStyle name="Eingabe 3 6" xfId="954" xr:uid="{00000000-0005-0000-0000-0000600C0000}"/>
    <cellStyle name="Eingabe 3 7" xfId="1332" xr:uid="{00000000-0005-0000-0000-0000610C0000}"/>
    <cellStyle name="Eingabe 3 8" xfId="1474" xr:uid="{00000000-0005-0000-0000-0000620C0000}"/>
    <cellStyle name="Eingabe 3 9" xfId="1070" xr:uid="{00000000-0005-0000-0000-0000630C0000}"/>
    <cellStyle name="Eingabe 4" xfId="381" xr:uid="{00000000-0005-0000-0000-0000640C0000}"/>
    <cellStyle name="Eingabe 4 10" xfId="1292" xr:uid="{00000000-0005-0000-0000-0000650C0000}"/>
    <cellStyle name="Eingabe 4 11" xfId="1130" xr:uid="{00000000-0005-0000-0000-0000660C0000}"/>
    <cellStyle name="Eingabe 4 12" xfId="965" xr:uid="{00000000-0005-0000-0000-0000670C0000}"/>
    <cellStyle name="Eingabe 4 13" xfId="2147" xr:uid="{00000000-0005-0000-0000-0000680C0000}"/>
    <cellStyle name="Eingabe 4 14" xfId="1720" xr:uid="{00000000-0005-0000-0000-0000690C0000}"/>
    <cellStyle name="Eingabe 4 15" xfId="894" xr:uid="{00000000-0005-0000-0000-00006A0C0000}"/>
    <cellStyle name="Eingabe 4 16" xfId="2265" xr:uid="{00000000-0005-0000-0000-00006B0C0000}"/>
    <cellStyle name="Eingabe 4 17" xfId="1778" xr:uid="{00000000-0005-0000-0000-00006C0C0000}"/>
    <cellStyle name="Eingabe 4 18" xfId="2529" xr:uid="{00000000-0005-0000-0000-00006D0C0000}"/>
    <cellStyle name="Eingabe 4 19" xfId="2872" xr:uid="{00000000-0005-0000-0000-00006E0C0000}"/>
    <cellStyle name="Eingabe 4 2" xfId="719" xr:uid="{00000000-0005-0000-0000-00006F0C0000}"/>
    <cellStyle name="Eingabe 4 2 10" xfId="2225" xr:uid="{00000000-0005-0000-0000-0000700C0000}"/>
    <cellStyle name="Eingabe 4 2 11" xfId="2285" xr:uid="{00000000-0005-0000-0000-0000710C0000}"/>
    <cellStyle name="Eingabe 4 2 12" xfId="2464" xr:uid="{00000000-0005-0000-0000-0000720C0000}"/>
    <cellStyle name="Eingabe 4 2 13" xfId="2644" xr:uid="{00000000-0005-0000-0000-0000730C0000}"/>
    <cellStyle name="Eingabe 4 2 14" xfId="2753" xr:uid="{00000000-0005-0000-0000-0000740C0000}"/>
    <cellStyle name="Eingabe 4 2 15" xfId="2792" xr:uid="{00000000-0005-0000-0000-0000750C0000}"/>
    <cellStyle name="Eingabe 4 2 16" xfId="3018" xr:uid="{00000000-0005-0000-0000-0000760C0000}"/>
    <cellStyle name="Eingabe 4 2 17" xfId="3186" xr:uid="{00000000-0005-0000-0000-0000770C0000}"/>
    <cellStyle name="Eingabe 4 2 18" xfId="3420" xr:uid="{00000000-0005-0000-0000-0000780C0000}"/>
    <cellStyle name="Eingabe 4 2 19" xfId="3522" xr:uid="{00000000-0005-0000-0000-0000790C0000}"/>
    <cellStyle name="Eingabe 4 2 2" xfId="1225" xr:uid="{00000000-0005-0000-0000-00007A0C0000}"/>
    <cellStyle name="Eingabe 4 2 2 2" xfId="4204" xr:uid="{00000000-0005-0000-0000-00007B0C0000}"/>
    <cellStyle name="Eingabe 4 2 2 3" xfId="3864" xr:uid="{00000000-0005-0000-0000-00007C0C0000}"/>
    <cellStyle name="Eingabe 4 2 2 4" xfId="5002" xr:uid="{00000000-0005-0000-0000-00007D0C0000}"/>
    <cellStyle name="Eingabe 4 2 2 5" xfId="5376" xr:uid="{00000000-0005-0000-0000-00007E0C0000}"/>
    <cellStyle name="Eingabe 4 2 2 6" xfId="5953" xr:uid="{00000000-0005-0000-0000-00007F0C0000}"/>
    <cellStyle name="Eingabe 4 2 20" xfId="3990" xr:uid="{00000000-0005-0000-0000-0000800C0000}"/>
    <cellStyle name="Eingabe 4 2 21" xfId="3714" xr:uid="{00000000-0005-0000-0000-0000810C0000}"/>
    <cellStyle name="Eingabe 4 2 22" xfId="4790" xr:uid="{00000000-0005-0000-0000-0000820C0000}"/>
    <cellStyle name="Eingabe 4 2 23" xfId="5170" xr:uid="{00000000-0005-0000-0000-0000830C0000}"/>
    <cellStyle name="Eingabe 4 2 24" xfId="5747" xr:uid="{00000000-0005-0000-0000-0000840C0000}"/>
    <cellStyle name="Eingabe 4 2 3" xfId="1319" xr:uid="{00000000-0005-0000-0000-0000850C0000}"/>
    <cellStyle name="Eingabe 4 2 4" xfId="1400" xr:uid="{00000000-0005-0000-0000-0000860C0000}"/>
    <cellStyle name="Eingabe 4 2 5" xfId="1634" xr:uid="{00000000-0005-0000-0000-0000870C0000}"/>
    <cellStyle name="Eingabe 4 2 6" xfId="1814" xr:uid="{00000000-0005-0000-0000-0000880C0000}"/>
    <cellStyle name="Eingabe 4 2 7" xfId="1906" xr:uid="{00000000-0005-0000-0000-0000890C0000}"/>
    <cellStyle name="Eingabe 4 2 8" xfId="2070" xr:uid="{00000000-0005-0000-0000-00008A0C0000}"/>
    <cellStyle name="Eingabe 4 2 9" xfId="2149" xr:uid="{00000000-0005-0000-0000-00008B0C0000}"/>
    <cellStyle name="Eingabe 4 20" xfId="2897" xr:uid="{00000000-0005-0000-0000-00008C0C0000}"/>
    <cellStyle name="Eingabe 4 21" xfId="3285" xr:uid="{00000000-0005-0000-0000-00008D0C0000}"/>
    <cellStyle name="Eingabe 4 22" xfId="3305" xr:uid="{00000000-0005-0000-0000-00008E0C0000}"/>
    <cellStyle name="Eingabe 4 23" xfId="3738" xr:uid="{00000000-0005-0000-0000-00008F0C0000}"/>
    <cellStyle name="Eingabe 4 24" xfId="4427" xr:uid="{00000000-0005-0000-0000-0000900C0000}"/>
    <cellStyle name="Eingabe 4 25" xfId="4626" xr:uid="{00000000-0005-0000-0000-0000910C0000}"/>
    <cellStyle name="Eingabe 4 26" xfId="4659" xr:uid="{00000000-0005-0000-0000-0000920C0000}"/>
    <cellStyle name="Eingabe 4 27" xfId="5490" xr:uid="{00000000-0005-0000-0000-0000930C0000}"/>
    <cellStyle name="Eingabe 4 3" xfId="646" xr:uid="{00000000-0005-0000-0000-0000940C0000}"/>
    <cellStyle name="Eingabe 4 3 10" xfId="961" xr:uid="{00000000-0005-0000-0000-0000950C0000}"/>
    <cellStyle name="Eingabe 4 3 11" xfId="2140" xr:uid="{00000000-0005-0000-0000-0000960C0000}"/>
    <cellStyle name="Eingabe 4 3 12" xfId="2391" xr:uid="{00000000-0005-0000-0000-0000970C0000}"/>
    <cellStyle name="Eingabe 4 3 13" xfId="2571" xr:uid="{00000000-0005-0000-0000-0000980C0000}"/>
    <cellStyle name="Eingabe 4 3 14" xfId="2722" xr:uid="{00000000-0005-0000-0000-0000990C0000}"/>
    <cellStyle name="Eingabe 4 3 15" xfId="2056" xr:uid="{00000000-0005-0000-0000-00009A0C0000}"/>
    <cellStyle name="Eingabe 4 3 16" xfId="2945" xr:uid="{00000000-0005-0000-0000-00009B0C0000}"/>
    <cellStyle name="Eingabe 4 3 17" xfId="3113" xr:uid="{00000000-0005-0000-0000-00009C0C0000}"/>
    <cellStyle name="Eingabe 4 3 18" xfId="3347" xr:uid="{00000000-0005-0000-0000-00009D0C0000}"/>
    <cellStyle name="Eingabe 4 3 19" xfId="3492" xr:uid="{00000000-0005-0000-0000-00009E0C0000}"/>
    <cellStyle name="Eingabe 4 3 2" xfId="1162" xr:uid="{00000000-0005-0000-0000-00009F0C0000}"/>
    <cellStyle name="Eingabe 4 3 2 2" xfId="4131" xr:uid="{00000000-0005-0000-0000-0000A00C0000}"/>
    <cellStyle name="Eingabe 4 3 2 3" xfId="3764" xr:uid="{00000000-0005-0000-0000-0000A10C0000}"/>
    <cellStyle name="Eingabe 4 3 2 4" xfId="4929" xr:uid="{00000000-0005-0000-0000-0000A20C0000}"/>
    <cellStyle name="Eingabe 4 3 2 5" xfId="5303" xr:uid="{00000000-0005-0000-0000-0000A30C0000}"/>
    <cellStyle name="Eingabe 4 3 2 6" xfId="5880" xr:uid="{00000000-0005-0000-0000-0000A40C0000}"/>
    <cellStyle name="Eingabe 4 3 20" xfId="3917" xr:uid="{00000000-0005-0000-0000-0000A50C0000}"/>
    <cellStyle name="Eingabe 4 3 21" xfId="3844" xr:uid="{00000000-0005-0000-0000-0000A60C0000}"/>
    <cellStyle name="Eingabe 4 3 22" xfId="4717" xr:uid="{00000000-0005-0000-0000-0000A70C0000}"/>
    <cellStyle name="Eingabe 4 3 23" xfId="5097" xr:uid="{00000000-0005-0000-0000-0000A80C0000}"/>
    <cellStyle name="Eingabe 4 3 24" xfId="5674" xr:uid="{00000000-0005-0000-0000-0000A90C0000}"/>
    <cellStyle name="Eingabe 4 3 3" xfId="913" xr:uid="{00000000-0005-0000-0000-0000AA0C0000}"/>
    <cellStyle name="Eingabe 4 3 4" xfId="1144" xr:uid="{00000000-0005-0000-0000-0000AB0C0000}"/>
    <cellStyle name="Eingabe 4 3 5" xfId="1561" xr:uid="{00000000-0005-0000-0000-0000AC0C0000}"/>
    <cellStyle name="Eingabe 4 3 6" xfId="1756" xr:uid="{00000000-0005-0000-0000-0000AD0C0000}"/>
    <cellStyle name="Eingabe 4 3 7" xfId="824" xr:uid="{00000000-0005-0000-0000-0000AE0C0000}"/>
    <cellStyle name="Eingabe 4 3 8" xfId="2017" xr:uid="{00000000-0005-0000-0000-0000AF0C0000}"/>
    <cellStyle name="Eingabe 4 3 9" xfId="1224" xr:uid="{00000000-0005-0000-0000-0000B00C0000}"/>
    <cellStyle name="Eingabe 4 4" xfId="622" xr:uid="{00000000-0005-0000-0000-0000B10C0000}"/>
    <cellStyle name="Eingabe 4 4 10" xfId="1147" xr:uid="{00000000-0005-0000-0000-0000B20C0000}"/>
    <cellStyle name="Eingabe 4 4 11" xfId="2207" xr:uid="{00000000-0005-0000-0000-0000B30C0000}"/>
    <cellStyle name="Eingabe 4 4 12" xfId="2367" xr:uid="{00000000-0005-0000-0000-0000B40C0000}"/>
    <cellStyle name="Eingabe 4 4 13" xfId="2547" xr:uid="{00000000-0005-0000-0000-0000B50C0000}"/>
    <cellStyle name="Eingabe 4 4 14" xfId="2714" xr:uid="{00000000-0005-0000-0000-0000B60C0000}"/>
    <cellStyle name="Eingabe 4 4 15" xfId="2535" xr:uid="{00000000-0005-0000-0000-0000B70C0000}"/>
    <cellStyle name="Eingabe 4 4 16" xfId="2921" xr:uid="{00000000-0005-0000-0000-0000B80C0000}"/>
    <cellStyle name="Eingabe 4 4 17" xfId="3089" xr:uid="{00000000-0005-0000-0000-0000B90C0000}"/>
    <cellStyle name="Eingabe 4 4 18" xfId="3323" xr:uid="{00000000-0005-0000-0000-0000BA0C0000}"/>
    <cellStyle name="Eingabe 4 4 19" xfId="3484" xr:uid="{00000000-0005-0000-0000-0000BB0C0000}"/>
    <cellStyle name="Eingabe 4 4 2" xfId="1139" xr:uid="{00000000-0005-0000-0000-0000BC0C0000}"/>
    <cellStyle name="Eingabe 4 4 2 2" xfId="4107" xr:uid="{00000000-0005-0000-0000-0000BD0C0000}"/>
    <cellStyle name="Eingabe 4 4 2 3" xfId="3817" xr:uid="{00000000-0005-0000-0000-0000BE0C0000}"/>
    <cellStyle name="Eingabe 4 4 2 4" xfId="4905" xr:uid="{00000000-0005-0000-0000-0000BF0C0000}"/>
    <cellStyle name="Eingabe 4 4 2 5" xfId="5279" xr:uid="{00000000-0005-0000-0000-0000C00C0000}"/>
    <cellStyle name="Eingabe 4 4 2 6" xfId="5856" xr:uid="{00000000-0005-0000-0000-0000C10C0000}"/>
    <cellStyle name="Eingabe 4 4 20" xfId="3893" xr:uid="{00000000-0005-0000-0000-0000C20C0000}"/>
    <cellStyle name="Eingabe 4 4 21" xfId="4333" xr:uid="{00000000-0005-0000-0000-0000C30C0000}"/>
    <cellStyle name="Eingabe 4 4 22" xfId="4693" xr:uid="{00000000-0005-0000-0000-0000C40C0000}"/>
    <cellStyle name="Eingabe 4 4 23" xfId="5073" xr:uid="{00000000-0005-0000-0000-0000C50C0000}"/>
    <cellStyle name="Eingabe 4 4 24" xfId="5650" xr:uid="{00000000-0005-0000-0000-0000C60C0000}"/>
    <cellStyle name="Eingabe 4 4 3" xfId="1049" xr:uid="{00000000-0005-0000-0000-0000C70C0000}"/>
    <cellStyle name="Eingabe 4 4 4" xfId="982" xr:uid="{00000000-0005-0000-0000-0000C80C0000}"/>
    <cellStyle name="Eingabe 4 4 5" xfId="1537" xr:uid="{00000000-0005-0000-0000-0000C90C0000}"/>
    <cellStyle name="Eingabe 4 4 6" xfId="1739" xr:uid="{00000000-0005-0000-0000-0000CA0C0000}"/>
    <cellStyle name="Eingabe 4 4 7" xfId="794" xr:uid="{00000000-0005-0000-0000-0000CB0C0000}"/>
    <cellStyle name="Eingabe 4 4 8" xfId="1998" xr:uid="{00000000-0005-0000-0000-0000CC0C0000}"/>
    <cellStyle name="Eingabe 4 4 9" xfId="1491" xr:uid="{00000000-0005-0000-0000-0000CD0C0000}"/>
    <cellStyle name="Eingabe 4 5" xfId="967" xr:uid="{00000000-0005-0000-0000-0000CE0C0000}"/>
    <cellStyle name="Eingabe 4 5 2" xfId="4075" xr:uid="{00000000-0005-0000-0000-0000CF0C0000}"/>
    <cellStyle name="Eingabe 4 5 3" xfId="4274" xr:uid="{00000000-0005-0000-0000-0000D00C0000}"/>
    <cellStyle name="Eingabe 4 5 4" xfId="4874" xr:uid="{00000000-0005-0000-0000-0000D10C0000}"/>
    <cellStyle name="Eingabe 4 5 5" xfId="5248" xr:uid="{00000000-0005-0000-0000-0000D20C0000}"/>
    <cellStyle name="Eingabe 4 5 6" xfId="5825" xr:uid="{00000000-0005-0000-0000-0000D30C0000}"/>
    <cellStyle name="Eingabe 4 6" xfId="858" xr:uid="{00000000-0005-0000-0000-0000D40C0000}"/>
    <cellStyle name="Eingabe 4 7" xfId="1113" xr:uid="{00000000-0005-0000-0000-0000D50C0000}"/>
    <cellStyle name="Eingabe 4 8" xfId="1103" xr:uid="{00000000-0005-0000-0000-0000D60C0000}"/>
    <cellStyle name="Eingabe 4 9" xfId="1467" xr:uid="{00000000-0005-0000-0000-0000D70C0000}"/>
    <cellStyle name="Eingabe 5" xfId="656" xr:uid="{00000000-0005-0000-0000-0000D80C0000}"/>
    <cellStyle name="Eingabe 5 10" xfId="1996" xr:uid="{00000000-0005-0000-0000-0000D90C0000}"/>
    <cellStyle name="Eingabe 5 11" xfId="1248" xr:uid="{00000000-0005-0000-0000-0000DA0C0000}"/>
    <cellStyle name="Eingabe 5 12" xfId="2401" xr:uid="{00000000-0005-0000-0000-0000DB0C0000}"/>
    <cellStyle name="Eingabe 5 13" xfId="2581" xr:uid="{00000000-0005-0000-0000-0000DC0C0000}"/>
    <cellStyle name="Eingabe 5 14" xfId="2727" xr:uid="{00000000-0005-0000-0000-0000DD0C0000}"/>
    <cellStyle name="Eingabe 5 15" xfId="1854" xr:uid="{00000000-0005-0000-0000-0000DE0C0000}"/>
    <cellStyle name="Eingabe 5 16" xfId="2955" xr:uid="{00000000-0005-0000-0000-0000DF0C0000}"/>
    <cellStyle name="Eingabe 5 17" xfId="3123" xr:uid="{00000000-0005-0000-0000-0000E00C0000}"/>
    <cellStyle name="Eingabe 5 18" xfId="3357" xr:uid="{00000000-0005-0000-0000-0000E10C0000}"/>
    <cellStyle name="Eingabe 5 19" xfId="3497" xr:uid="{00000000-0005-0000-0000-0000E20C0000}"/>
    <cellStyle name="Eingabe 5 2" xfId="1171" xr:uid="{00000000-0005-0000-0000-0000E30C0000}"/>
    <cellStyle name="Eingabe 5 2 2" xfId="4141" xr:uid="{00000000-0005-0000-0000-0000E40C0000}"/>
    <cellStyle name="Eingabe 5 2 3" xfId="3676" xr:uid="{00000000-0005-0000-0000-0000E50C0000}"/>
    <cellStyle name="Eingabe 5 2 4" xfId="4939" xr:uid="{00000000-0005-0000-0000-0000E60C0000}"/>
    <cellStyle name="Eingabe 5 2 5" xfId="5313" xr:uid="{00000000-0005-0000-0000-0000E70C0000}"/>
    <cellStyle name="Eingabe 5 2 6" xfId="5890" xr:uid="{00000000-0005-0000-0000-0000E80C0000}"/>
    <cellStyle name="Eingabe 5 20" xfId="3927" xr:uid="{00000000-0005-0000-0000-0000E90C0000}"/>
    <cellStyle name="Eingabe 5 21" xfId="4494" xr:uid="{00000000-0005-0000-0000-0000EA0C0000}"/>
    <cellStyle name="Eingabe 5 22" xfId="4727" xr:uid="{00000000-0005-0000-0000-0000EB0C0000}"/>
    <cellStyle name="Eingabe 5 23" xfId="5107" xr:uid="{00000000-0005-0000-0000-0000EC0C0000}"/>
    <cellStyle name="Eingabe 5 24" xfId="5684" xr:uid="{00000000-0005-0000-0000-0000ED0C0000}"/>
    <cellStyle name="Eingabe 5 3" xfId="1045" xr:uid="{00000000-0005-0000-0000-0000EE0C0000}"/>
    <cellStyle name="Eingabe 5 4" xfId="1247" xr:uid="{00000000-0005-0000-0000-0000EF0C0000}"/>
    <cellStyle name="Eingabe 5 5" xfId="1571" xr:uid="{00000000-0005-0000-0000-0000F00C0000}"/>
    <cellStyle name="Eingabe 5 6" xfId="1763" xr:uid="{00000000-0005-0000-0000-0000F10C0000}"/>
    <cellStyle name="Eingabe 5 7" xfId="993" xr:uid="{00000000-0005-0000-0000-0000F20C0000}"/>
    <cellStyle name="Eingabe 5 8" xfId="2027" xr:uid="{00000000-0005-0000-0000-0000F30C0000}"/>
    <cellStyle name="Eingabe 5 9" xfId="1775" xr:uid="{00000000-0005-0000-0000-0000F40C0000}"/>
    <cellStyle name="Eingabe 6" xfId="733" xr:uid="{00000000-0005-0000-0000-0000F50C0000}"/>
    <cellStyle name="Eingabe 6 10" xfId="2233" xr:uid="{00000000-0005-0000-0000-0000F60C0000}"/>
    <cellStyle name="Eingabe 6 11" xfId="2299" xr:uid="{00000000-0005-0000-0000-0000F70C0000}"/>
    <cellStyle name="Eingabe 6 12" xfId="2478" xr:uid="{00000000-0005-0000-0000-0000F80C0000}"/>
    <cellStyle name="Eingabe 6 13" xfId="2658" xr:uid="{00000000-0005-0000-0000-0000F90C0000}"/>
    <cellStyle name="Eingabe 6 14" xfId="2760" xr:uid="{00000000-0005-0000-0000-0000FA0C0000}"/>
    <cellStyle name="Eingabe 6 15" xfId="2799" xr:uid="{00000000-0005-0000-0000-0000FB0C0000}"/>
    <cellStyle name="Eingabe 6 16" xfId="3032" xr:uid="{00000000-0005-0000-0000-0000FC0C0000}"/>
    <cellStyle name="Eingabe 6 17" xfId="3200" xr:uid="{00000000-0005-0000-0000-0000FD0C0000}"/>
    <cellStyle name="Eingabe 6 18" xfId="3434" xr:uid="{00000000-0005-0000-0000-0000FE0C0000}"/>
    <cellStyle name="Eingabe 6 19" xfId="3529" xr:uid="{00000000-0005-0000-0000-0000FF0C0000}"/>
    <cellStyle name="Eingabe 6 2" xfId="1238" xr:uid="{00000000-0005-0000-0000-0000000D0000}"/>
    <cellStyle name="Eingabe 6 2 2" xfId="4218" xr:uid="{00000000-0005-0000-0000-0000010D0000}"/>
    <cellStyle name="Eingabe 6 2 3" xfId="4325" xr:uid="{00000000-0005-0000-0000-0000020D0000}"/>
    <cellStyle name="Eingabe 6 2 4" xfId="5016" xr:uid="{00000000-0005-0000-0000-0000030D0000}"/>
    <cellStyle name="Eingabe 6 2 5" xfId="5390" xr:uid="{00000000-0005-0000-0000-0000040D0000}"/>
    <cellStyle name="Eingabe 6 2 6" xfId="5967" xr:uid="{00000000-0005-0000-0000-0000050D0000}"/>
    <cellStyle name="Eingabe 6 20" xfId="4004" xr:uid="{00000000-0005-0000-0000-0000060D0000}"/>
    <cellStyle name="Eingabe 6 21" xfId="4436" xr:uid="{00000000-0005-0000-0000-0000070D0000}"/>
    <cellStyle name="Eingabe 6 22" xfId="4804" xr:uid="{00000000-0005-0000-0000-0000080D0000}"/>
    <cellStyle name="Eingabe 6 23" xfId="5184" xr:uid="{00000000-0005-0000-0000-0000090D0000}"/>
    <cellStyle name="Eingabe 6 24" xfId="5761" xr:uid="{00000000-0005-0000-0000-00000A0D0000}"/>
    <cellStyle name="Eingabe 6 3" xfId="1330" xr:uid="{00000000-0005-0000-0000-00000B0D0000}"/>
    <cellStyle name="Eingabe 6 4" xfId="1414" xr:uid="{00000000-0005-0000-0000-00000C0D0000}"/>
    <cellStyle name="Eingabe 6 5" xfId="1648" xr:uid="{00000000-0005-0000-0000-00000D0D0000}"/>
    <cellStyle name="Eingabe 6 6" xfId="1826" xr:uid="{00000000-0005-0000-0000-00000E0D0000}"/>
    <cellStyle name="Eingabe 6 7" xfId="1920" xr:uid="{00000000-0005-0000-0000-00000F0D0000}"/>
    <cellStyle name="Eingabe 6 8" xfId="2082" xr:uid="{00000000-0005-0000-0000-0000100D0000}"/>
    <cellStyle name="Eingabe 6 9" xfId="2159" xr:uid="{00000000-0005-0000-0000-0000110D0000}"/>
    <cellStyle name="Eingabe 7" xfId="776" xr:uid="{00000000-0005-0000-0000-0000120D0000}"/>
    <cellStyle name="Eingabe 7 10" xfId="2263" xr:uid="{00000000-0005-0000-0000-0000130D0000}"/>
    <cellStyle name="Eingabe 7 11" xfId="2341" xr:uid="{00000000-0005-0000-0000-0000140D0000}"/>
    <cellStyle name="Eingabe 7 12" xfId="2520" xr:uid="{00000000-0005-0000-0000-0000150D0000}"/>
    <cellStyle name="Eingabe 7 13" xfId="2700" xr:uid="{00000000-0005-0000-0000-0000160D0000}"/>
    <cellStyle name="Eingabe 7 14" xfId="2775" xr:uid="{00000000-0005-0000-0000-0000170D0000}"/>
    <cellStyle name="Eingabe 7 15" xfId="2814" xr:uid="{00000000-0005-0000-0000-0000180D0000}"/>
    <cellStyle name="Eingabe 7 16" xfId="3074" xr:uid="{00000000-0005-0000-0000-0000190D0000}"/>
    <cellStyle name="Eingabe 7 17" xfId="3242" xr:uid="{00000000-0005-0000-0000-00001A0D0000}"/>
    <cellStyle name="Eingabe 7 18" xfId="3476" xr:uid="{00000000-0005-0000-0000-00001B0D0000}"/>
    <cellStyle name="Eingabe 7 19" xfId="3544" xr:uid="{00000000-0005-0000-0000-00001C0D0000}"/>
    <cellStyle name="Eingabe 7 2" xfId="1275" xr:uid="{00000000-0005-0000-0000-00001D0D0000}"/>
    <cellStyle name="Eingabe 7 2 2" xfId="4260" xr:uid="{00000000-0005-0000-0000-00001E0D0000}"/>
    <cellStyle name="Eingabe 7 2 3" xfId="4519" xr:uid="{00000000-0005-0000-0000-00001F0D0000}"/>
    <cellStyle name="Eingabe 7 2 4" xfId="5058" xr:uid="{00000000-0005-0000-0000-0000200D0000}"/>
    <cellStyle name="Eingabe 7 2 5" xfId="5432" xr:uid="{00000000-0005-0000-0000-0000210D0000}"/>
    <cellStyle name="Eingabe 7 2 6" xfId="6009" xr:uid="{00000000-0005-0000-0000-0000220D0000}"/>
    <cellStyle name="Eingabe 7 20" xfId="4046" xr:uid="{00000000-0005-0000-0000-0000230D0000}"/>
    <cellStyle name="Eingabe 7 21" xfId="4347" xr:uid="{00000000-0005-0000-0000-0000240D0000}"/>
    <cellStyle name="Eingabe 7 22" xfId="4846" xr:uid="{00000000-0005-0000-0000-0000250D0000}"/>
    <cellStyle name="Eingabe 7 23" xfId="5226" xr:uid="{00000000-0005-0000-0000-0000260D0000}"/>
    <cellStyle name="Eingabe 7 24" xfId="5803" xr:uid="{00000000-0005-0000-0000-0000270D0000}"/>
    <cellStyle name="Eingabe 7 3" xfId="1369" xr:uid="{00000000-0005-0000-0000-0000280D0000}"/>
    <cellStyle name="Eingabe 7 4" xfId="1456" xr:uid="{00000000-0005-0000-0000-0000290D0000}"/>
    <cellStyle name="Eingabe 7 5" xfId="1691" xr:uid="{00000000-0005-0000-0000-00002A0D0000}"/>
    <cellStyle name="Eingabe 7 6" xfId="1859" xr:uid="{00000000-0005-0000-0000-00002B0D0000}"/>
    <cellStyle name="Eingabe 7 7" xfId="1962" xr:uid="{00000000-0005-0000-0000-00002C0D0000}"/>
    <cellStyle name="Eingabe 7 8" xfId="2114" xr:uid="{00000000-0005-0000-0000-00002D0D0000}"/>
    <cellStyle name="Eingabe 7 9" xfId="2187" xr:uid="{00000000-0005-0000-0000-00002E0D0000}"/>
    <cellStyle name="Eingabe 8" xfId="854" xr:uid="{00000000-0005-0000-0000-00002F0D0000}"/>
    <cellStyle name="Eingabe 8 2" xfId="4055" xr:uid="{00000000-0005-0000-0000-0000300D0000}"/>
    <cellStyle name="Eingabe 8 3" xfId="4496" xr:uid="{00000000-0005-0000-0000-0000310D0000}"/>
    <cellStyle name="Eingabe 8 4" xfId="4855" xr:uid="{00000000-0005-0000-0000-0000320D0000}"/>
    <cellStyle name="Eingabe 8 5" xfId="5235" xr:uid="{00000000-0005-0000-0000-0000330D0000}"/>
    <cellStyle name="Eingabe 8 6" xfId="5812" xr:uid="{00000000-0005-0000-0000-0000340D0000}"/>
    <cellStyle name="Eingabe 9" xfId="1031" xr:uid="{00000000-0005-0000-0000-0000350D0000}"/>
    <cellStyle name="Empty_B_border" xfId="60" xr:uid="{00000000-0005-0000-0000-0000360D0000}"/>
    <cellStyle name="Ergebnis" xfId="232" xr:uid="{00000000-0005-0000-0000-0000370D0000}"/>
    <cellStyle name="Ergebnis 10" xfId="948" xr:uid="{00000000-0005-0000-0000-0000380D0000}"/>
    <cellStyle name="Ergebnis 11" xfId="1500" xr:uid="{00000000-0005-0000-0000-0000390D0000}"/>
    <cellStyle name="Ergebnis 12" xfId="890" xr:uid="{00000000-0005-0000-0000-00003A0D0000}"/>
    <cellStyle name="Ergebnis 13" xfId="1507" xr:uid="{00000000-0005-0000-0000-00003B0D0000}"/>
    <cellStyle name="Ergebnis 14" xfId="1980" xr:uid="{00000000-0005-0000-0000-00003C0D0000}"/>
    <cellStyle name="Ergebnis 15" xfId="1197" xr:uid="{00000000-0005-0000-0000-00003D0D0000}"/>
    <cellStyle name="Ergebnis 16" xfId="2074" xr:uid="{00000000-0005-0000-0000-00003E0D0000}"/>
    <cellStyle name="Ergebnis 17" xfId="1705" xr:uid="{00000000-0005-0000-0000-00003F0D0000}"/>
    <cellStyle name="Ergebnis 18" xfId="2347" xr:uid="{00000000-0005-0000-0000-0000400D0000}"/>
    <cellStyle name="Ergebnis 19" xfId="2531" xr:uid="{00000000-0005-0000-0000-0000410D0000}"/>
    <cellStyle name="Ergebnis 2" xfId="497" xr:uid="{00000000-0005-0000-0000-0000420D0000}"/>
    <cellStyle name="Ergebnis 2 10" xfId="1735" xr:uid="{00000000-0005-0000-0000-0000430D0000}"/>
    <cellStyle name="Ergebnis 2 11" xfId="1832" xr:uid="{00000000-0005-0000-0000-0000440D0000}"/>
    <cellStyle name="Ergebnis 2 12" xfId="821" xr:uid="{00000000-0005-0000-0000-0000450D0000}"/>
    <cellStyle name="Ergebnis 2 13" xfId="1278" xr:uid="{00000000-0005-0000-0000-0000460D0000}"/>
    <cellStyle name="Ergebnis 2 14" xfId="861" xr:uid="{00000000-0005-0000-0000-0000470D0000}"/>
    <cellStyle name="Ergebnis 2 15" xfId="1689" xr:uid="{00000000-0005-0000-0000-0000480D0000}"/>
    <cellStyle name="Ergebnis 2 16" xfId="1034" xr:uid="{00000000-0005-0000-0000-0000490D0000}"/>
    <cellStyle name="Ergebnis 2 17" xfId="2358" xr:uid="{00000000-0005-0000-0000-00004A0D0000}"/>
    <cellStyle name="Ergebnis 2 18" xfId="925" xr:uid="{00000000-0005-0000-0000-00004B0D0000}"/>
    <cellStyle name="Ergebnis 2 19" xfId="2892" xr:uid="{00000000-0005-0000-0000-00004C0D0000}"/>
    <cellStyle name="Ergebnis 2 2" xfId="753" xr:uid="{00000000-0005-0000-0000-00004D0D0000}"/>
    <cellStyle name="Ergebnis 2 2 10" xfId="2249" xr:uid="{00000000-0005-0000-0000-00004E0D0000}"/>
    <cellStyle name="Ergebnis 2 2 11" xfId="2319" xr:uid="{00000000-0005-0000-0000-00004F0D0000}"/>
    <cellStyle name="Ergebnis 2 2 12" xfId="2498" xr:uid="{00000000-0005-0000-0000-0000500D0000}"/>
    <cellStyle name="Ergebnis 2 2 13" xfId="2678" xr:uid="{00000000-0005-0000-0000-0000510D0000}"/>
    <cellStyle name="Ergebnis 2 2 14" xfId="2767" xr:uid="{00000000-0005-0000-0000-0000520D0000}"/>
    <cellStyle name="Ergebnis 2 2 15" xfId="2806" xr:uid="{00000000-0005-0000-0000-0000530D0000}"/>
    <cellStyle name="Ergebnis 2 2 16" xfId="3052" xr:uid="{00000000-0005-0000-0000-0000540D0000}"/>
    <cellStyle name="Ergebnis 2 2 17" xfId="3220" xr:uid="{00000000-0005-0000-0000-0000550D0000}"/>
    <cellStyle name="Ergebnis 2 2 18" xfId="3454" xr:uid="{00000000-0005-0000-0000-0000560D0000}"/>
    <cellStyle name="Ergebnis 2 2 19" xfId="3536" xr:uid="{00000000-0005-0000-0000-0000570D0000}"/>
    <cellStyle name="Ergebnis 2 2 2" xfId="1257" xr:uid="{00000000-0005-0000-0000-0000580D0000}"/>
    <cellStyle name="Ergebnis 2 2 2 2" xfId="4238" xr:uid="{00000000-0005-0000-0000-0000590D0000}"/>
    <cellStyle name="Ergebnis 2 2 2 3" xfId="3779" xr:uid="{00000000-0005-0000-0000-00005A0D0000}"/>
    <cellStyle name="Ergebnis 2 2 2 4" xfId="5036" xr:uid="{00000000-0005-0000-0000-00005B0D0000}"/>
    <cellStyle name="Ergebnis 2 2 2 5" xfId="5410" xr:uid="{00000000-0005-0000-0000-00005C0D0000}"/>
    <cellStyle name="Ergebnis 2 2 2 6" xfId="5987" xr:uid="{00000000-0005-0000-0000-00005D0D0000}"/>
    <cellStyle name="Ergebnis 2 2 20" xfId="4024" xr:uid="{00000000-0005-0000-0000-00005E0D0000}"/>
    <cellStyle name="Ergebnis 2 2 21" xfId="4360" xr:uid="{00000000-0005-0000-0000-00005F0D0000}"/>
    <cellStyle name="Ergebnis 2 2 22" xfId="4824" xr:uid="{00000000-0005-0000-0000-0000600D0000}"/>
    <cellStyle name="Ergebnis 2 2 23" xfId="5204" xr:uid="{00000000-0005-0000-0000-0000610D0000}"/>
    <cellStyle name="Ergebnis 2 2 24" xfId="5781" xr:uid="{00000000-0005-0000-0000-0000620D0000}"/>
    <cellStyle name="Ergebnis 2 2 3" xfId="1349" xr:uid="{00000000-0005-0000-0000-0000630D0000}"/>
    <cellStyle name="Ergebnis 2 2 4" xfId="1434" xr:uid="{00000000-0005-0000-0000-0000640D0000}"/>
    <cellStyle name="Ergebnis 2 2 5" xfId="1668" xr:uid="{00000000-0005-0000-0000-0000650D0000}"/>
    <cellStyle name="Ergebnis 2 2 6" xfId="1841" xr:uid="{00000000-0005-0000-0000-0000660D0000}"/>
    <cellStyle name="Ergebnis 2 2 7" xfId="1940" xr:uid="{00000000-0005-0000-0000-0000670D0000}"/>
    <cellStyle name="Ergebnis 2 2 8" xfId="2097" xr:uid="{00000000-0005-0000-0000-0000680D0000}"/>
    <cellStyle name="Ergebnis 2 2 9" xfId="2172" xr:uid="{00000000-0005-0000-0000-0000690D0000}"/>
    <cellStyle name="Ergebnis 2 20" xfId="2825" xr:uid="{00000000-0005-0000-0000-00006A0D0000}"/>
    <cellStyle name="Ergebnis 2 21" xfId="3303" xr:uid="{00000000-0005-0000-0000-00006B0D0000}"/>
    <cellStyle name="Ergebnis 2 22" xfId="3262" xr:uid="{00000000-0005-0000-0000-00006C0D0000}"/>
    <cellStyle name="Ergebnis 2 23" xfId="3810" xr:uid="{00000000-0005-0000-0000-00006D0D0000}"/>
    <cellStyle name="Ergebnis 2 24" xfId="4326" xr:uid="{00000000-0005-0000-0000-00006E0D0000}"/>
    <cellStyle name="Ergebnis 2 25" xfId="4655" xr:uid="{00000000-0005-0000-0000-00006F0D0000}"/>
    <cellStyle name="Ergebnis 2 26" xfId="4607" xr:uid="{00000000-0005-0000-0000-0000700D0000}"/>
    <cellStyle name="Ergebnis 2 27" xfId="5563" xr:uid="{00000000-0005-0000-0000-0000710D0000}"/>
    <cellStyle name="Ergebnis 2 3" xfId="685" xr:uid="{00000000-0005-0000-0000-0000720D0000}"/>
    <cellStyle name="Ergebnis 2 3 10" xfId="2206" xr:uid="{00000000-0005-0000-0000-0000730D0000}"/>
    <cellStyle name="Ergebnis 2 3 11" xfId="2087" xr:uid="{00000000-0005-0000-0000-0000740D0000}"/>
    <cellStyle name="Ergebnis 2 3 12" xfId="2430" xr:uid="{00000000-0005-0000-0000-0000750D0000}"/>
    <cellStyle name="Ergebnis 2 3 13" xfId="2610" xr:uid="{00000000-0005-0000-0000-0000760D0000}"/>
    <cellStyle name="Ergebnis 2 3 14" xfId="2743" xr:uid="{00000000-0005-0000-0000-0000770D0000}"/>
    <cellStyle name="Ergebnis 2 3 15" xfId="2782" xr:uid="{00000000-0005-0000-0000-0000780D0000}"/>
    <cellStyle name="Ergebnis 2 3 16" xfId="2984" xr:uid="{00000000-0005-0000-0000-0000790D0000}"/>
    <cellStyle name="Ergebnis 2 3 17" xfId="3152" xr:uid="{00000000-0005-0000-0000-00007A0D0000}"/>
    <cellStyle name="Ergebnis 2 3 18" xfId="3386" xr:uid="{00000000-0005-0000-0000-00007B0D0000}"/>
    <cellStyle name="Ergebnis 2 3 19" xfId="3512" xr:uid="{00000000-0005-0000-0000-00007C0D0000}"/>
    <cellStyle name="Ergebnis 2 3 2" xfId="1198" xr:uid="{00000000-0005-0000-0000-00007D0D0000}"/>
    <cellStyle name="Ergebnis 2 3 2 2" xfId="4170" xr:uid="{00000000-0005-0000-0000-00007E0D0000}"/>
    <cellStyle name="Ergebnis 2 3 2 3" xfId="3553" xr:uid="{00000000-0005-0000-0000-00007F0D0000}"/>
    <cellStyle name="Ergebnis 2 3 2 4" xfId="4968" xr:uid="{00000000-0005-0000-0000-0000800D0000}"/>
    <cellStyle name="Ergebnis 2 3 2 5" xfId="5342" xr:uid="{00000000-0005-0000-0000-0000810D0000}"/>
    <cellStyle name="Ergebnis 2 3 2 6" xfId="5919" xr:uid="{00000000-0005-0000-0000-0000820D0000}"/>
    <cellStyle name="Ergebnis 2 3 20" xfId="3956" xr:uid="{00000000-0005-0000-0000-0000830D0000}"/>
    <cellStyle name="Ergebnis 2 3 21" xfId="3642" xr:uid="{00000000-0005-0000-0000-0000840D0000}"/>
    <cellStyle name="Ergebnis 2 3 22" xfId="4756" xr:uid="{00000000-0005-0000-0000-0000850D0000}"/>
    <cellStyle name="Ergebnis 2 3 23" xfId="5136" xr:uid="{00000000-0005-0000-0000-0000860D0000}"/>
    <cellStyle name="Ergebnis 2 3 24" xfId="5713" xr:uid="{00000000-0005-0000-0000-0000870D0000}"/>
    <cellStyle name="Ergebnis 2 3 3" xfId="1291" xr:uid="{00000000-0005-0000-0000-0000880D0000}"/>
    <cellStyle name="Ergebnis 2 3 4" xfId="882" xr:uid="{00000000-0005-0000-0000-0000890D0000}"/>
    <cellStyle name="Ergebnis 2 3 5" xfId="1600" xr:uid="{00000000-0005-0000-0000-00008A0D0000}"/>
    <cellStyle name="Ergebnis 2 3 6" xfId="1786" xr:uid="{00000000-0005-0000-0000-00008B0D0000}"/>
    <cellStyle name="Ergebnis 2 3 7" xfId="1872" xr:uid="{00000000-0005-0000-0000-00008C0D0000}"/>
    <cellStyle name="Ergebnis 2 3 8" xfId="2047" xr:uid="{00000000-0005-0000-0000-00008D0D0000}"/>
    <cellStyle name="Ergebnis 2 3 9" xfId="2126" xr:uid="{00000000-0005-0000-0000-00008E0D0000}"/>
    <cellStyle name="Ergebnis 2 4" xfId="676" xr:uid="{00000000-0005-0000-0000-00008F0D0000}"/>
    <cellStyle name="Ergebnis 2 4 10" xfId="2203" xr:uid="{00000000-0005-0000-0000-0000900D0000}"/>
    <cellStyle name="Ergebnis 2 4 11" xfId="2109" xr:uid="{00000000-0005-0000-0000-0000910D0000}"/>
    <cellStyle name="Ergebnis 2 4 12" xfId="2421" xr:uid="{00000000-0005-0000-0000-0000920D0000}"/>
    <cellStyle name="Ergebnis 2 4 13" xfId="2601" xr:uid="{00000000-0005-0000-0000-0000930D0000}"/>
    <cellStyle name="Ergebnis 2 4 14" xfId="2740" xr:uid="{00000000-0005-0000-0000-0000940D0000}"/>
    <cellStyle name="Ergebnis 2 4 15" xfId="2780" xr:uid="{00000000-0005-0000-0000-0000950D0000}"/>
    <cellStyle name="Ergebnis 2 4 16" xfId="2975" xr:uid="{00000000-0005-0000-0000-0000960D0000}"/>
    <cellStyle name="Ergebnis 2 4 17" xfId="3143" xr:uid="{00000000-0005-0000-0000-0000970D0000}"/>
    <cellStyle name="Ergebnis 2 4 18" xfId="3377" xr:uid="{00000000-0005-0000-0000-0000980D0000}"/>
    <cellStyle name="Ergebnis 2 4 19" xfId="3510" xr:uid="{00000000-0005-0000-0000-0000990D0000}"/>
    <cellStyle name="Ergebnis 2 4 2" xfId="1190" xr:uid="{00000000-0005-0000-0000-00009A0D0000}"/>
    <cellStyle name="Ergebnis 2 4 2 2" xfId="4161" xr:uid="{00000000-0005-0000-0000-00009B0D0000}"/>
    <cellStyle name="Ergebnis 2 4 2 3" xfId="3650" xr:uid="{00000000-0005-0000-0000-00009C0D0000}"/>
    <cellStyle name="Ergebnis 2 4 2 4" xfId="4959" xr:uid="{00000000-0005-0000-0000-00009D0D0000}"/>
    <cellStyle name="Ergebnis 2 4 2 5" xfId="5333" xr:uid="{00000000-0005-0000-0000-00009E0D0000}"/>
    <cellStyle name="Ergebnis 2 4 2 6" xfId="5910" xr:uid="{00000000-0005-0000-0000-00009F0D0000}"/>
    <cellStyle name="Ergebnis 2 4 20" xfId="3947" xr:uid="{00000000-0005-0000-0000-0000A00D0000}"/>
    <cellStyle name="Ergebnis 2 4 21" xfId="4420" xr:uid="{00000000-0005-0000-0000-0000A10D0000}"/>
    <cellStyle name="Ergebnis 2 4 22" xfId="4747" xr:uid="{00000000-0005-0000-0000-0000A20D0000}"/>
    <cellStyle name="Ergebnis 2 4 23" xfId="5127" xr:uid="{00000000-0005-0000-0000-0000A30D0000}"/>
    <cellStyle name="Ergebnis 2 4 24" xfId="5704" xr:uid="{00000000-0005-0000-0000-0000A40D0000}"/>
    <cellStyle name="Ergebnis 2 4 3" xfId="1283" xr:uid="{00000000-0005-0000-0000-0000A50D0000}"/>
    <cellStyle name="Ergebnis 2 4 4" xfId="245" xr:uid="{00000000-0005-0000-0000-0000A60D0000}"/>
    <cellStyle name="Ergebnis 2 4 5" xfId="1591" xr:uid="{00000000-0005-0000-0000-0000A70D0000}"/>
    <cellStyle name="Ergebnis 2 4 6" xfId="1781" xr:uid="{00000000-0005-0000-0000-0000A80D0000}"/>
    <cellStyle name="Ergebnis 2 4 7" xfId="860" xr:uid="{00000000-0005-0000-0000-0000A90D0000}"/>
    <cellStyle name="Ergebnis 2 4 8" xfId="2042" xr:uid="{00000000-0005-0000-0000-0000AA0D0000}"/>
    <cellStyle name="Ergebnis 2 4 9" xfId="2121" xr:uid="{00000000-0005-0000-0000-0000AB0D0000}"/>
    <cellStyle name="Ergebnis 2 5" xfId="1058" xr:uid="{00000000-0005-0000-0000-0000AC0D0000}"/>
    <cellStyle name="Ergebnis 2 5 2" xfId="4081" xr:uid="{00000000-0005-0000-0000-0000AD0D0000}"/>
    <cellStyle name="Ergebnis 2 5 3" xfId="4349" xr:uid="{00000000-0005-0000-0000-0000AE0D0000}"/>
    <cellStyle name="Ergebnis 2 5 4" xfId="4879" xr:uid="{00000000-0005-0000-0000-0000AF0D0000}"/>
    <cellStyle name="Ergebnis 2 5 5" xfId="5253" xr:uid="{00000000-0005-0000-0000-0000B00D0000}"/>
    <cellStyle name="Ergebnis 2 5 6" xfId="5830" xr:uid="{00000000-0005-0000-0000-0000B10D0000}"/>
    <cellStyle name="Ergebnis 2 6" xfId="840" xr:uid="{00000000-0005-0000-0000-0000B20D0000}"/>
    <cellStyle name="Ergebnis 2 7" xfId="796" xr:uid="{00000000-0005-0000-0000-0000B30D0000}"/>
    <cellStyle name="Ergebnis 2 8" xfId="1106" xr:uid="{00000000-0005-0000-0000-0000B40D0000}"/>
    <cellStyle name="Ergebnis 2 9" xfId="153" xr:uid="{00000000-0005-0000-0000-0000B50D0000}"/>
    <cellStyle name="Ergebnis 20" xfId="2710" xr:uid="{00000000-0005-0000-0000-0000B60D0000}"/>
    <cellStyle name="Ergebnis 21" xfId="2839" xr:uid="{00000000-0005-0000-0000-0000B70D0000}"/>
    <cellStyle name="Ergebnis 22" xfId="2912" xr:uid="{00000000-0005-0000-0000-0000B80D0000}"/>
    <cellStyle name="Ergebnis 23" xfId="3253" xr:uid="{00000000-0005-0000-0000-0000B90D0000}"/>
    <cellStyle name="Ergebnis 24" xfId="3313" xr:uid="{00000000-0005-0000-0000-0000BA0D0000}"/>
    <cellStyle name="Ergebnis 25" xfId="3579" hidden="1" xr:uid="{00000000-0005-0000-0000-0000BB0D0000}"/>
    <cellStyle name="Ergebnis 25" xfId="3777" hidden="1" xr:uid="{00000000-0005-0000-0000-0000BC0D0000}"/>
    <cellStyle name="Ergebnis 25" xfId="4384" hidden="1" xr:uid="{00000000-0005-0000-0000-0000BD0D0000}"/>
    <cellStyle name="Ergebnis 25" xfId="4364" hidden="1" xr:uid="{00000000-0005-0000-0000-0000BE0D0000}"/>
    <cellStyle name="Ergebnis 25" xfId="3759" hidden="1" xr:uid="{00000000-0005-0000-0000-0000BF0D0000}"/>
    <cellStyle name="Ergebnis 25" xfId="4528" hidden="1" xr:uid="{00000000-0005-0000-0000-0000C00D0000}"/>
    <cellStyle name="Ergebnis 25" xfId="4554" hidden="1" xr:uid="{00000000-0005-0000-0000-0000C10D0000}"/>
    <cellStyle name="Ergebnis 25" xfId="4645" hidden="1" xr:uid="{00000000-0005-0000-0000-0000C20D0000}"/>
    <cellStyle name="Ergebnis 25" xfId="5443" hidden="1" xr:uid="{00000000-0005-0000-0000-0000C30D0000}"/>
    <cellStyle name="Ergebnis 3" xfId="390" xr:uid="{00000000-0005-0000-0000-0000C40D0000}"/>
    <cellStyle name="Ergebnis 3 10" xfId="158" xr:uid="{00000000-0005-0000-0000-0000C50D0000}"/>
    <cellStyle name="Ergebnis 3 11" xfId="1730" xr:uid="{00000000-0005-0000-0000-0000C60D0000}"/>
    <cellStyle name="Ergebnis 3 12" xfId="865" xr:uid="{00000000-0005-0000-0000-0000C70D0000}"/>
    <cellStyle name="Ergebnis 3 13" xfId="1861" xr:uid="{00000000-0005-0000-0000-0000C80D0000}"/>
    <cellStyle name="Ergebnis 3 14" xfId="2179" xr:uid="{00000000-0005-0000-0000-0000C90D0000}"/>
    <cellStyle name="Ergebnis 3 15" xfId="2110" xr:uid="{00000000-0005-0000-0000-0000CA0D0000}"/>
    <cellStyle name="Ergebnis 3 16" xfId="833" xr:uid="{00000000-0005-0000-0000-0000CB0D0000}"/>
    <cellStyle name="Ergebnis 3 17" xfId="2208" xr:uid="{00000000-0005-0000-0000-0000CC0D0000}"/>
    <cellStyle name="Ergebnis 3 18" xfId="2064" xr:uid="{00000000-0005-0000-0000-0000CD0D0000}"/>
    <cellStyle name="Ergebnis 3 19" xfId="2880" xr:uid="{00000000-0005-0000-0000-0000CE0D0000}"/>
    <cellStyle name="Ergebnis 3 2" xfId="727" xr:uid="{00000000-0005-0000-0000-0000CF0D0000}"/>
    <cellStyle name="Ergebnis 3 2 10" xfId="2228" xr:uid="{00000000-0005-0000-0000-0000D00D0000}"/>
    <cellStyle name="Ergebnis 3 2 11" xfId="2293" xr:uid="{00000000-0005-0000-0000-0000D10D0000}"/>
    <cellStyle name="Ergebnis 3 2 12" xfId="2472" xr:uid="{00000000-0005-0000-0000-0000D20D0000}"/>
    <cellStyle name="Ergebnis 3 2 13" xfId="2652" xr:uid="{00000000-0005-0000-0000-0000D30D0000}"/>
    <cellStyle name="Ergebnis 3 2 14" xfId="2755" xr:uid="{00000000-0005-0000-0000-0000D40D0000}"/>
    <cellStyle name="Ergebnis 3 2 15" xfId="2794" xr:uid="{00000000-0005-0000-0000-0000D50D0000}"/>
    <cellStyle name="Ergebnis 3 2 16" xfId="3026" xr:uid="{00000000-0005-0000-0000-0000D60D0000}"/>
    <cellStyle name="Ergebnis 3 2 17" xfId="3194" xr:uid="{00000000-0005-0000-0000-0000D70D0000}"/>
    <cellStyle name="Ergebnis 3 2 18" xfId="3428" xr:uid="{00000000-0005-0000-0000-0000D80D0000}"/>
    <cellStyle name="Ergebnis 3 2 19" xfId="3524" xr:uid="{00000000-0005-0000-0000-0000D90D0000}"/>
    <cellStyle name="Ergebnis 3 2 2" xfId="1232" xr:uid="{00000000-0005-0000-0000-0000DA0D0000}"/>
    <cellStyle name="Ergebnis 3 2 2 2" xfId="4212" xr:uid="{00000000-0005-0000-0000-0000DB0D0000}"/>
    <cellStyle name="Ergebnis 3 2 2 3" xfId="4380" xr:uid="{00000000-0005-0000-0000-0000DC0D0000}"/>
    <cellStyle name="Ergebnis 3 2 2 4" xfId="5010" xr:uid="{00000000-0005-0000-0000-0000DD0D0000}"/>
    <cellStyle name="Ergebnis 3 2 2 5" xfId="5384" xr:uid="{00000000-0005-0000-0000-0000DE0D0000}"/>
    <cellStyle name="Ergebnis 3 2 2 6" xfId="5961" xr:uid="{00000000-0005-0000-0000-0000DF0D0000}"/>
    <cellStyle name="Ergebnis 3 2 20" xfId="3998" xr:uid="{00000000-0005-0000-0000-0000E00D0000}"/>
    <cellStyle name="Ergebnis 3 2 21" xfId="4471" xr:uid="{00000000-0005-0000-0000-0000E10D0000}"/>
    <cellStyle name="Ergebnis 3 2 22" xfId="4798" xr:uid="{00000000-0005-0000-0000-0000E20D0000}"/>
    <cellStyle name="Ergebnis 3 2 23" xfId="5178" xr:uid="{00000000-0005-0000-0000-0000E30D0000}"/>
    <cellStyle name="Ergebnis 3 2 24" xfId="5755" xr:uid="{00000000-0005-0000-0000-0000E40D0000}"/>
    <cellStyle name="Ergebnis 3 2 3" xfId="1325" xr:uid="{00000000-0005-0000-0000-0000E50D0000}"/>
    <cellStyle name="Ergebnis 3 2 4" xfId="1408" xr:uid="{00000000-0005-0000-0000-0000E60D0000}"/>
    <cellStyle name="Ergebnis 3 2 5" xfId="1642" xr:uid="{00000000-0005-0000-0000-0000E70D0000}"/>
    <cellStyle name="Ergebnis 3 2 6" xfId="1820" xr:uid="{00000000-0005-0000-0000-0000E80D0000}"/>
    <cellStyle name="Ergebnis 3 2 7" xfId="1914" xr:uid="{00000000-0005-0000-0000-0000E90D0000}"/>
    <cellStyle name="Ergebnis 3 2 8" xfId="2076" xr:uid="{00000000-0005-0000-0000-0000EA0D0000}"/>
    <cellStyle name="Ergebnis 3 2 9" xfId="2154" xr:uid="{00000000-0005-0000-0000-0000EB0D0000}"/>
    <cellStyle name="Ergebnis 3 20" xfId="2894" xr:uid="{00000000-0005-0000-0000-0000EC0D0000}"/>
    <cellStyle name="Ergebnis 3 21" xfId="3294" xr:uid="{00000000-0005-0000-0000-0000ED0D0000}"/>
    <cellStyle name="Ergebnis 3 22" xfId="3304" xr:uid="{00000000-0005-0000-0000-0000EE0D0000}"/>
    <cellStyle name="Ergebnis 3 23" xfId="3747" xr:uid="{00000000-0005-0000-0000-0000EF0D0000}"/>
    <cellStyle name="Ergebnis 3 24" xfId="4276" xr:uid="{00000000-0005-0000-0000-0000F00D0000}"/>
    <cellStyle name="Ergebnis 3 25" xfId="4634" xr:uid="{00000000-0005-0000-0000-0000F10D0000}"/>
    <cellStyle name="Ergebnis 3 26" xfId="4542" xr:uid="{00000000-0005-0000-0000-0000F20D0000}"/>
    <cellStyle name="Ergebnis 3 27" xfId="5499" xr:uid="{00000000-0005-0000-0000-0000F30D0000}"/>
    <cellStyle name="Ergebnis 3 3" xfId="641" xr:uid="{00000000-0005-0000-0000-0000F40D0000}"/>
    <cellStyle name="Ergebnis 3 3 10" xfId="1787" xr:uid="{00000000-0005-0000-0000-0000F50D0000}"/>
    <cellStyle name="Ergebnis 3 3 11" xfId="2091" xr:uid="{00000000-0005-0000-0000-0000F60D0000}"/>
    <cellStyle name="Ergebnis 3 3 12" xfId="2386" xr:uid="{00000000-0005-0000-0000-0000F70D0000}"/>
    <cellStyle name="Ergebnis 3 3 13" xfId="2566" xr:uid="{00000000-0005-0000-0000-0000F80D0000}"/>
    <cellStyle name="Ergebnis 3 3 14" xfId="2720" xr:uid="{00000000-0005-0000-0000-0000F90D0000}"/>
    <cellStyle name="Ergebnis 3 3 15" xfId="1823" xr:uid="{00000000-0005-0000-0000-0000FA0D0000}"/>
    <cellStyle name="Ergebnis 3 3 16" xfId="2940" xr:uid="{00000000-0005-0000-0000-0000FB0D0000}"/>
    <cellStyle name="Ergebnis 3 3 17" xfId="3108" xr:uid="{00000000-0005-0000-0000-0000FC0D0000}"/>
    <cellStyle name="Ergebnis 3 3 18" xfId="3342" xr:uid="{00000000-0005-0000-0000-0000FD0D0000}"/>
    <cellStyle name="Ergebnis 3 3 19" xfId="3490" xr:uid="{00000000-0005-0000-0000-0000FE0D0000}"/>
    <cellStyle name="Ergebnis 3 3 2" xfId="1157" xr:uid="{00000000-0005-0000-0000-0000FF0D0000}"/>
    <cellStyle name="Ergebnis 3 3 2 2" xfId="4126" xr:uid="{00000000-0005-0000-0000-0000000E0000}"/>
    <cellStyle name="Ergebnis 3 3 2 3" xfId="3807" xr:uid="{00000000-0005-0000-0000-0000010E0000}"/>
    <cellStyle name="Ergebnis 3 3 2 4" xfId="4924" xr:uid="{00000000-0005-0000-0000-0000020E0000}"/>
    <cellStyle name="Ergebnis 3 3 2 5" xfId="5298" xr:uid="{00000000-0005-0000-0000-0000030E0000}"/>
    <cellStyle name="Ergebnis 3 3 2 6" xfId="5875" xr:uid="{00000000-0005-0000-0000-0000040E0000}"/>
    <cellStyle name="Ergebnis 3 3 20" xfId="3912" xr:uid="{00000000-0005-0000-0000-0000050E0000}"/>
    <cellStyle name="Ergebnis 3 3 21" xfId="3643" xr:uid="{00000000-0005-0000-0000-0000060E0000}"/>
    <cellStyle name="Ergebnis 3 3 22" xfId="4712" xr:uid="{00000000-0005-0000-0000-0000070E0000}"/>
    <cellStyle name="Ergebnis 3 3 23" xfId="5092" xr:uid="{00000000-0005-0000-0000-0000080E0000}"/>
    <cellStyle name="Ergebnis 3 3 24" xfId="5669" xr:uid="{00000000-0005-0000-0000-0000090E0000}"/>
    <cellStyle name="Ergebnis 3 3 3" xfId="805" xr:uid="{00000000-0005-0000-0000-00000A0E0000}"/>
    <cellStyle name="Ergebnis 3 3 4" xfId="1227" xr:uid="{00000000-0005-0000-0000-00000B0E0000}"/>
    <cellStyle name="Ergebnis 3 3 5" xfId="1556" xr:uid="{00000000-0005-0000-0000-00000C0E0000}"/>
    <cellStyle name="Ergebnis 3 3 6" xfId="1752" xr:uid="{00000000-0005-0000-0000-00000D0E0000}"/>
    <cellStyle name="Ergebnis 3 3 7" xfId="1745" xr:uid="{00000000-0005-0000-0000-00000E0E0000}"/>
    <cellStyle name="Ergebnis 3 3 8" xfId="2012" xr:uid="{00000000-0005-0000-0000-00000F0E0000}"/>
    <cellStyle name="Ergebnis 3 3 9" xfId="1852" xr:uid="{00000000-0005-0000-0000-0000100E0000}"/>
    <cellStyle name="Ergebnis 3 4" xfId="668" xr:uid="{00000000-0005-0000-0000-0000110E0000}"/>
    <cellStyle name="Ergebnis 3 4 10" xfId="2197" xr:uid="{00000000-0005-0000-0000-0000120E0000}"/>
    <cellStyle name="Ergebnis 3 4 11" xfId="1718" xr:uid="{00000000-0005-0000-0000-0000130E0000}"/>
    <cellStyle name="Ergebnis 3 4 12" xfId="2413" xr:uid="{00000000-0005-0000-0000-0000140E0000}"/>
    <cellStyle name="Ergebnis 3 4 13" xfId="2593" xr:uid="{00000000-0005-0000-0000-0000150E0000}"/>
    <cellStyle name="Ergebnis 3 4 14" xfId="2736" xr:uid="{00000000-0005-0000-0000-0000160E0000}"/>
    <cellStyle name="Ergebnis 3 4 15" xfId="2245" xr:uid="{00000000-0005-0000-0000-0000170E0000}"/>
    <cellStyle name="Ergebnis 3 4 16" xfId="2967" xr:uid="{00000000-0005-0000-0000-0000180E0000}"/>
    <cellStyle name="Ergebnis 3 4 17" xfId="3135" xr:uid="{00000000-0005-0000-0000-0000190E0000}"/>
    <cellStyle name="Ergebnis 3 4 18" xfId="3369" xr:uid="{00000000-0005-0000-0000-00001A0E0000}"/>
    <cellStyle name="Ergebnis 3 4 19" xfId="3506" xr:uid="{00000000-0005-0000-0000-00001B0E0000}"/>
    <cellStyle name="Ergebnis 3 4 2" xfId="1183" xr:uid="{00000000-0005-0000-0000-00001C0E0000}"/>
    <cellStyle name="Ergebnis 3 4 2 2" xfId="4153" xr:uid="{00000000-0005-0000-0000-00001D0E0000}"/>
    <cellStyle name="Ergebnis 3 4 2 3" xfId="3827" xr:uid="{00000000-0005-0000-0000-00001E0E0000}"/>
    <cellStyle name="Ergebnis 3 4 2 4" xfId="4951" xr:uid="{00000000-0005-0000-0000-00001F0E0000}"/>
    <cellStyle name="Ergebnis 3 4 2 5" xfId="5325" xr:uid="{00000000-0005-0000-0000-0000200E0000}"/>
    <cellStyle name="Ergebnis 3 4 2 6" xfId="5902" xr:uid="{00000000-0005-0000-0000-0000210E0000}"/>
    <cellStyle name="Ergebnis 3 4 20" xfId="3939" xr:uid="{00000000-0005-0000-0000-0000220E0000}"/>
    <cellStyle name="Ergebnis 3 4 21" xfId="4409" xr:uid="{00000000-0005-0000-0000-0000230E0000}"/>
    <cellStyle name="Ergebnis 3 4 22" xfId="4739" xr:uid="{00000000-0005-0000-0000-0000240E0000}"/>
    <cellStyle name="Ergebnis 3 4 23" xfId="5119" xr:uid="{00000000-0005-0000-0000-0000250E0000}"/>
    <cellStyle name="Ergebnis 3 4 24" xfId="5696" xr:uid="{00000000-0005-0000-0000-0000260E0000}"/>
    <cellStyle name="Ergebnis 3 4 3" xfId="1041" xr:uid="{00000000-0005-0000-0000-0000270E0000}"/>
    <cellStyle name="Ergebnis 3 4 4" xfId="1002" xr:uid="{00000000-0005-0000-0000-0000280E0000}"/>
    <cellStyle name="Ergebnis 3 4 5" xfId="1583" xr:uid="{00000000-0005-0000-0000-0000290E0000}"/>
    <cellStyle name="Ergebnis 3 4 6" xfId="1774" xr:uid="{00000000-0005-0000-0000-00002A0E0000}"/>
    <cellStyle name="Ergebnis 3 4 7" xfId="871" xr:uid="{00000000-0005-0000-0000-00002B0E0000}"/>
    <cellStyle name="Ergebnis 3 4 8" xfId="2037" xr:uid="{00000000-0005-0000-0000-00002C0E0000}"/>
    <cellStyle name="Ergebnis 3 4 9" xfId="1493" xr:uid="{00000000-0005-0000-0000-00002D0E0000}"/>
    <cellStyle name="Ergebnis 3 5" xfId="974" xr:uid="{00000000-0005-0000-0000-00002E0E0000}"/>
    <cellStyle name="Ergebnis 3 5 2" xfId="4077" xr:uid="{00000000-0005-0000-0000-00002F0E0000}"/>
    <cellStyle name="Ergebnis 3 5 3" xfId="4379" xr:uid="{00000000-0005-0000-0000-0000300E0000}"/>
    <cellStyle name="Ergebnis 3 5 4" xfId="4876" xr:uid="{00000000-0005-0000-0000-0000310E0000}"/>
    <cellStyle name="Ergebnis 3 5 5" xfId="5250" xr:uid="{00000000-0005-0000-0000-0000320E0000}"/>
    <cellStyle name="Ergebnis 3 5 6" xfId="5827" xr:uid="{00000000-0005-0000-0000-0000330E0000}"/>
    <cellStyle name="Ergebnis 3 6" xfId="143" xr:uid="{00000000-0005-0000-0000-0000340E0000}"/>
    <cellStyle name="Ergebnis 3 7" xfId="868" xr:uid="{00000000-0005-0000-0000-0000350E0000}"/>
    <cellStyle name="Ergebnis 3 8" xfId="1009" xr:uid="{00000000-0005-0000-0000-0000360E0000}"/>
    <cellStyle name="Ergebnis 3 9" xfId="1466" xr:uid="{00000000-0005-0000-0000-0000370E0000}"/>
    <cellStyle name="Ergebnis 4" xfId="657" xr:uid="{00000000-0005-0000-0000-0000380E0000}"/>
    <cellStyle name="Ergebnis 4 10" xfId="2094" xr:uid="{00000000-0005-0000-0000-0000390E0000}"/>
    <cellStyle name="Ergebnis 4 11" xfId="1992" xr:uid="{00000000-0005-0000-0000-00003A0E0000}"/>
    <cellStyle name="Ergebnis 4 12" xfId="2402" xr:uid="{00000000-0005-0000-0000-00003B0E0000}"/>
    <cellStyle name="Ergebnis 4 13" xfId="2582" xr:uid="{00000000-0005-0000-0000-00003C0E0000}"/>
    <cellStyle name="Ergebnis 4 14" xfId="2728" xr:uid="{00000000-0005-0000-0000-00003D0E0000}"/>
    <cellStyle name="Ergebnis 4 15" xfId="2250" xr:uid="{00000000-0005-0000-0000-00003E0E0000}"/>
    <cellStyle name="Ergebnis 4 16" xfId="2956" xr:uid="{00000000-0005-0000-0000-00003F0E0000}"/>
    <cellStyle name="Ergebnis 4 17" xfId="3124" xr:uid="{00000000-0005-0000-0000-0000400E0000}"/>
    <cellStyle name="Ergebnis 4 18" xfId="3358" xr:uid="{00000000-0005-0000-0000-0000410E0000}"/>
    <cellStyle name="Ergebnis 4 19" xfId="3498" xr:uid="{00000000-0005-0000-0000-0000420E0000}"/>
    <cellStyle name="Ergebnis 4 2" xfId="1172" xr:uid="{00000000-0005-0000-0000-0000430E0000}"/>
    <cellStyle name="Ergebnis 4 2 2" xfId="4142" xr:uid="{00000000-0005-0000-0000-0000440E0000}"/>
    <cellStyle name="Ergebnis 4 2 3" xfId="3633" xr:uid="{00000000-0005-0000-0000-0000450E0000}"/>
    <cellStyle name="Ergebnis 4 2 4" xfId="4940" xr:uid="{00000000-0005-0000-0000-0000460E0000}"/>
    <cellStyle name="Ergebnis 4 2 5" xfId="5314" xr:uid="{00000000-0005-0000-0000-0000470E0000}"/>
    <cellStyle name="Ergebnis 4 2 6" xfId="5891" xr:uid="{00000000-0005-0000-0000-0000480E0000}"/>
    <cellStyle name="Ergebnis 4 20" xfId="3928" xr:uid="{00000000-0005-0000-0000-0000490E0000}"/>
    <cellStyle name="Ergebnis 4 21" xfId="3820" xr:uid="{00000000-0005-0000-0000-00004A0E0000}"/>
    <cellStyle name="Ergebnis 4 22" xfId="4728" xr:uid="{00000000-0005-0000-0000-00004B0E0000}"/>
    <cellStyle name="Ergebnis 4 23" xfId="5108" xr:uid="{00000000-0005-0000-0000-00004C0E0000}"/>
    <cellStyle name="Ergebnis 4 24" xfId="5685" xr:uid="{00000000-0005-0000-0000-00004D0E0000}"/>
    <cellStyle name="Ergebnis 4 3" xfId="800" xr:uid="{00000000-0005-0000-0000-00004E0E0000}"/>
    <cellStyle name="Ergebnis 4 4" xfId="1199" xr:uid="{00000000-0005-0000-0000-00004F0E0000}"/>
    <cellStyle name="Ergebnis 4 5" xfId="1572" xr:uid="{00000000-0005-0000-0000-0000500E0000}"/>
    <cellStyle name="Ergebnis 4 6" xfId="1764" xr:uid="{00000000-0005-0000-0000-0000510E0000}"/>
    <cellStyle name="Ergebnis 4 7" xfId="1286" xr:uid="{00000000-0005-0000-0000-0000520E0000}"/>
    <cellStyle name="Ergebnis 4 8" xfId="2028" xr:uid="{00000000-0005-0000-0000-0000530E0000}"/>
    <cellStyle name="Ergebnis 4 9" xfId="832" xr:uid="{00000000-0005-0000-0000-0000540E0000}"/>
    <cellStyle name="Ergebnis 5" xfId="731" xr:uid="{00000000-0005-0000-0000-0000550E0000}"/>
    <cellStyle name="Ergebnis 5 10" xfId="2231" xr:uid="{00000000-0005-0000-0000-0000560E0000}"/>
    <cellStyle name="Ergebnis 5 11" xfId="2297" xr:uid="{00000000-0005-0000-0000-0000570E0000}"/>
    <cellStyle name="Ergebnis 5 12" xfId="2476" xr:uid="{00000000-0005-0000-0000-0000580E0000}"/>
    <cellStyle name="Ergebnis 5 13" xfId="2656" xr:uid="{00000000-0005-0000-0000-0000590E0000}"/>
    <cellStyle name="Ergebnis 5 14" xfId="2758" xr:uid="{00000000-0005-0000-0000-00005A0E0000}"/>
    <cellStyle name="Ergebnis 5 15" xfId="2797" xr:uid="{00000000-0005-0000-0000-00005B0E0000}"/>
    <cellStyle name="Ergebnis 5 16" xfId="3030" xr:uid="{00000000-0005-0000-0000-00005C0E0000}"/>
    <cellStyle name="Ergebnis 5 17" xfId="3198" xr:uid="{00000000-0005-0000-0000-00005D0E0000}"/>
    <cellStyle name="Ergebnis 5 18" xfId="3432" xr:uid="{00000000-0005-0000-0000-00005E0E0000}"/>
    <cellStyle name="Ergebnis 5 19" xfId="3527" xr:uid="{00000000-0005-0000-0000-00005F0E0000}"/>
    <cellStyle name="Ergebnis 5 2" xfId="1236" xr:uid="{00000000-0005-0000-0000-0000600E0000}"/>
    <cellStyle name="Ergebnis 5 2 2" xfId="4216" xr:uid="{00000000-0005-0000-0000-0000610E0000}"/>
    <cellStyle name="Ergebnis 5 2 3" xfId="3833" xr:uid="{00000000-0005-0000-0000-0000620E0000}"/>
    <cellStyle name="Ergebnis 5 2 4" xfId="5014" xr:uid="{00000000-0005-0000-0000-0000630E0000}"/>
    <cellStyle name="Ergebnis 5 2 5" xfId="5388" xr:uid="{00000000-0005-0000-0000-0000640E0000}"/>
    <cellStyle name="Ergebnis 5 2 6" xfId="5965" xr:uid="{00000000-0005-0000-0000-0000650E0000}"/>
    <cellStyle name="Ergebnis 5 20" xfId="4002" xr:uid="{00000000-0005-0000-0000-0000660E0000}"/>
    <cellStyle name="Ergebnis 5 21" xfId="3853" xr:uid="{00000000-0005-0000-0000-0000670E0000}"/>
    <cellStyle name="Ergebnis 5 22" xfId="4802" xr:uid="{00000000-0005-0000-0000-0000680E0000}"/>
    <cellStyle name="Ergebnis 5 23" xfId="5182" xr:uid="{00000000-0005-0000-0000-0000690E0000}"/>
    <cellStyle name="Ergebnis 5 24" xfId="5759" xr:uid="{00000000-0005-0000-0000-00006A0E0000}"/>
    <cellStyle name="Ergebnis 5 3" xfId="1328" xr:uid="{00000000-0005-0000-0000-00006B0E0000}"/>
    <cellStyle name="Ergebnis 5 4" xfId="1412" xr:uid="{00000000-0005-0000-0000-00006C0E0000}"/>
    <cellStyle name="Ergebnis 5 5" xfId="1646" xr:uid="{00000000-0005-0000-0000-00006D0E0000}"/>
    <cellStyle name="Ergebnis 5 6" xfId="1824" xr:uid="{00000000-0005-0000-0000-00006E0E0000}"/>
    <cellStyle name="Ergebnis 5 7" xfId="1918" xr:uid="{00000000-0005-0000-0000-00006F0E0000}"/>
    <cellStyle name="Ergebnis 5 8" xfId="2080" xr:uid="{00000000-0005-0000-0000-0000700E0000}"/>
    <cellStyle name="Ergebnis 5 9" xfId="2157" xr:uid="{00000000-0005-0000-0000-0000710E0000}"/>
    <cellStyle name="Ergebnis 6" xfId="738" xr:uid="{00000000-0005-0000-0000-0000720E0000}"/>
    <cellStyle name="Ergebnis 6 10" xfId="2235" xr:uid="{00000000-0005-0000-0000-0000730E0000}"/>
    <cellStyle name="Ergebnis 6 11" xfId="2304" xr:uid="{00000000-0005-0000-0000-0000740E0000}"/>
    <cellStyle name="Ergebnis 6 12" xfId="2483" xr:uid="{00000000-0005-0000-0000-0000750E0000}"/>
    <cellStyle name="Ergebnis 6 13" xfId="2663" xr:uid="{00000000-0005-0000-0000-0000760E0000}"/>
    <cellStyle name="Ergebnis 6 14" xfId="2762" xr:uid="{00000000-0005-0000-0000-0000770E0000}"/>
    <cellStyle name="Ergebnis 6 15" xfId="2801" xr:uid="{00000000-0005-0000-0000-0000780E0000}"/>
    <cellStyle name="Ergebnis 6 16" xfId="3037" xr:uid="{00000000-0005-0000-0000-0000790E0000}"/>
    <cellStyle name="Ergebnis 6 17" xfId="3205" xr:uid="{00000000-0005-0000-0000-00007A0E0000}"/>
    <cellStyle name="Ergebnis 6 18" xfId="3439" xr:uid="{00000000-0005-0000-0000-00007B0E0000}"/>
    <cellStyle name="Ergebnis 6 19" xfId="3531" xr:uid="{00000000-0005-0000-0000-00007C0E0000}"/>
    <cellStyle name="Ergebnis 6 2" xfId="1243" xr:uid="{00000000-0005-0000-0000-00007D0E0000}"/>
    <cellStyle name="Ergebnis 6 2 2" xfId="4223" xr:uid="{00000000-0005-0000-0000-00007E0E0000}"/>
    <cellStyle name="Ergebnis 6 2 3" xfId="3716" xr:uid="{00000000-0005-0000-0000-00007F0E0000}"/>
    <cellStyle name="Ergebnis 6 2 4" xfId="5021" xr:uid="{00000000-0005-0000-0000-0000800E0000}"/>
    <cellStyle name="Ergebnis 6 2 5" xfId="5395" xr:uid="{00000000-0005-0000-0000-0000810E0000}"/>
    <cellStyle name="Ergebnis 6 2 6" xfId="5972" xr:uid="{00000000-0005-0000-0000-0000820E0000}"/>
    <cellStyle name="Ergebnis 6 20" xfId="4009" xr:uid="{00000000-0005-0000-0000-0000830E0000}"/>
    <cellStyle name="Ergebnis 6 21" xfId="4470" xr:uid="{00000000-0005-0000-0000-0000840E0000}"/>
    <cellStyle name="Ergebnis 6 22" xfId="4809" xr:uid="{00000000-0005-0000-0000-0000850E0000}"/>
    <cellStyle name="Ergebnis 6 23" xfId="5189" xr:uid="{00000000-0005-0000-0000-0000860E0000}"/>
    <cellStyle name="Ergebnis 6 24" xfId="5766" xr:uid="{00000000-0005-0000-0000-0000870E0000}"/>
    <cellStyle name="Ergebnis 6 3" xfId="1334" xr:uid="{00000000-0005-0000-0000-0000880E0000}"/>
    <cellStyle name="Ergebnis 6 4" xfId="1419" xr:uid="{00000000-0005-0000-0000-0000890E0000}"/>
    <cellStyle name="Ergebnis 6 5" xfId="1653" xr:uid="{00000000-0005-0000-0000-00008A0E0000}"/>
    <cellStyle name="Ergebnis 6 6" xfId="1828" xr:uid="{00000000-0005-0000-0000-00008B0E0000}"/>
    <cellStyle name="Ergebnis 6 7" xfId="1925" xr:uid="{00000000-0005-0000-0000-00008C0E0000}"/>
    <cellStyle name="Ergebnis 6 8" xfId="2085" xr:uid="{00000000-0005-0000-0000-00008D0E0000}"/>
    <cellStyle name="Ergebnis 6 9" xfId="2162" xr:uid="{00000000-0005-0000-0000-00008E0E0000}"/>
    <cellStyle name="Ergebnis 7" xfId="855" xr:uid="{00000000-0005-0000-0000-00008F0E0000}"/>
    <cellStyle name="Ergebnis 7 2" xfId="4056" xr:uid="{00000000-0005-0000-0000-0000900E0000}"/>
    <cellStyle name="Ergebnis 7 3" xfId="4480" xr:uid="{00000000-0005-0000-0000-0000910E0000}"/>
    <cellStyle name="Ergebnis 7 4" xfId="4856" xr:uid="{00000000-0005-0000-0000-0000920E0000}"/>
    <cellStyle name="Ergebnis 7 5" xfId="5236" xr:uid="{00000000-0005-0000-0000-0000930E0000}"/>
    <cellStyle name="Ergebnis 7 6" xfId="5813" xr:uid="{00000000-0005-0000-0000-0000940E0000}"/>
    <cellStyle name="Ergebnis 8" xfId="1115" xr:uid="{00000000-0005-0000-0000-0000950E0000}"/>
    <cellStyle name="Ergebnis 9" xfId="949" xr:uid="{00000000-0005-0000-0000-0000960E0000}"/>
    <cellStyle name="Erklärender Text" xfId="233" xr:uid="{00000000-0005-0000-0000-0000970E0000}"/>
    <cellStyle name="Erklärender Text 2" xfId="498" xr:uid="{00000000-0005-0000-0000-0000980E0000}"/>
    <cellStyle name="Erklärender Text 3" xfId="380" xr:uid="{00000000-0005-0000-0000-0000990E0000}"/>
    <cellStyle name="Erklärender Text 4" xfId="3578" hidden="1" xr:uid="{00000000-0005-0000-0000-00009A0E0000}"/>
    <cellStyle name="Erklärender Text 4" xfId="3878" hidden="1" xr:uid="{00000000-0005-0000-0000-00009B0E0000}"/>
    <cellStyle name="Erklärender Text 4" xfId="4477" hidden="1" xr:uid="{00000000-0005-0000-0000-00009C0E0000}"/>
    <cellStyle name="Erklärender Text 4" xfId="3772" hidden="1" xr:uid="{00000000-0005-0000-0000-00009D0E0000}"/>
    <cellStyle name="Erklärender Text 4" xfId="4329" hidden="1" xr:uid="{00000000-0005-0000-0000-00009E0E0000}"/>
    <cellStyle name="Erklärender Text 4" xfId="4538" hidden="1" xr:uid="{00000000-0005-0000-0000-00009F0E0000}"/>
    <cellStyle name="Erklärender Text 4" xfId="4553" hidden="1" xr:uid="{00000000-0005-0000-0000-0000A00E0000}"/>
    <cellStyle name="Erklärender Text 4" xfId="4684" hidden="1" xr:uid="{00000000-0005-0000-0000-0000A10E0000}"/>
    <cellStyle name="Erklärender Text 4" xfId="5442" hidden="1" xr:uid="{00000000-0005-0000-0000-0000A20E0000}"/>
    <cellStyle name="Explanatory Text" xfId="61" xr:uid="{00000000-0005-0000-0000-0000A30E0000}"/>
    <cellStyle name="Explanatory Text 2" xfId="234" xr:uid="{00000000-0005-0000-0000-0000A40E0000}"/>
    <cellStyle name="Explanatory Text 3" xfId="329" xr:uid="{00000000-0005-0000-0000-0000A50E0000}"/>
    <cellStyle name="Good" xfId="62" xr:uid="{00000000-0005-0000-0000-0000A60E0000}"/>
    <cellStyle name="Good 2" xfId="235" xr:uid="{00000000-0005-0000-0000-0000A70E0000}"/>
    <cellStyle name="Good 3" xfId="330" xr:uid="{00000000-0005-0000-0000-0000A80E0000}"/>
    <cellStyle name="Good 4" xfId="460" xr:uid="{00000000-0005-0000-0000-0000A90E0000}"/>
    <cellStyle name="Gut" xfId="236" xr:uid="{00000000-0005-0000-0000-0000AA0E0000}"/>
    <cellStyle name="Heading 1" xfId="63" xr:uid="{00000000-0005-0000-0000-0000AB0E0000}"/>
    <cellStyle name="Heading 1 2" xfId="237" xr:uid="{00000000-0005-0000-0000-0000AC0E0000}"/>
    <cellStyle name="Heading 1 3" xfId="331" xr:uid="{00000000-0005-0000-0000-0000AD0E0000}"/>
    <cellStyle name="Heading 1 4" xfId="468" xr:uid="{00000000-0005-0000-0000-0000AE0E0000}"/>
    <cellStyle name="Heading 2" xfId="64" xr:uid="{00000000-0005-0000-0000-0000AF0E0000}"/>
    <cellStyle name="Heading 2 2" xfId="238" xr:uid="{00000000-0005-0000-0000-0000B00E0000}"/>
    <cellStyle name="Heading 2 3" xfId="332" xr:uid="{00000000-0005-0000-0000-0000B10E0000}"/>
    <cellStyle name="Heading 2 4" xfId="469" xr:uid="{00000000-0005-0000-0000-0000B20E0000}"/>
    <cellStyle name="Heading 3" xfId="65" xr:uid="{00000000-0005-0000-0000-0000B30E0000}"/>
    <cellStyle name="Heading 3 2" xfId="239" xr:uid="{00000000-0005-0000-0000-0000B40E0000}"/>
    <cellStyle name="Heading 3 3" xfId="333" xr:uid="{00000000-0005-0000-0000-0000B50E0000}"/>
    <cellStyle name="Heading 3 4" xfId="470" xr:uid="{00000000-0005-0000-0000-0000B60E0000}"/>
    <cellStyle name="Heading 4" xfId="66" xr:uid="{00000000-0005-0000-0000-0000B70E0000}"/>
    <cellStyle name="Heading 4 2" xfId="240" xr:uid="{00000000-0005-0000-0000-0000B80E0000}"/>
    <cellStyle name="Heading 4 3" xfId="334" xr:uid="{00000000-0005-0000-0000-0000B90E0000}"/>
    <cellStyle name="Heading 4 4" xfId="471" xr:uid="{00000000-0005-0000-0000-0000BA0E0000}"/>
    <cellStyle name="Headline" xfId="67" xr:uid="{00000000-0005-0000-0000-0000BB0E0000}"/>
    <cellStyle name="Hyperlink 2" xfId="3568" xr:uid="{00000000-0005-0000-0000-0000BC0E0000}"/>
    <cellStyle name="Hyperlink 3" xfId="6021" xr:uid="{F6D7D89B-CE8F-4006-9551-1BC05A49A147}"/>
    <cellStyle name="Input" xfId="68" xr:uid="{00000000-0005-0000-0000-0000BD0E0000}"/>
    <cellStyle name="Input 2" xfId="241" xr:uid="{00000000-0005-0000-0000-0000BE0E0000}"/>
    <cellStyle name="Input 2 10" xfId="1036" xr:uid="{00000000-0005-0000-0000-0000BF0E0000}"/>
    <cellStyle name="Input 2 11" xfId="1506" xr:uid="{00000000-0005-0000-0000-0000C00E0000}"/>
    <cellStyle name="Input 2 12" xfId="1978" xr:uid="{00000000-0005-0000-0000-0000C10E0000}"/>
    <cellStyle name="Input 2 13" xfId="1142" xr:uid="{00000000-0005-0000-0000-0000C20E0000}"/>
    <cellStyle name="Input 2 14" xfId="2163" xr:uid="{00000000-0005-0000-0000-0000C30E0000}"/>
    <cellStyle name="Input 2 15" xfId="1702" xr:uid="{00000000-0005-0000-0000-0000C40E0000}"/>
    <cellStyle name="Input 2 16" xfId="2348" xr:uid="{00000000-0005-0000-0000-0000C50E0000}"/>
    <cellStyle name="Input 2 17" xfId="2528" xr:uid="{00000000-0005-0000-0000-0000C60E0000}"/>
    <cellStyle name="Input 2 18" xfId="2709" xr:uid="{00000000-0005-0000-0000-0000C70E0000}"/>
    <cellStyle name="Input 2 19" xfId="2841" xr:uid="{00000000-0005-0000-0000-0000C80E0000}"/>
    <cellStyle name="Input 2 2" xfId="660" xr:uid="{00000000-0005-0000-0000-0000C90E0000}"/>
    <cellStyle name="Input 2 2 10" xfId="1008" xr:uid="{00000000-0005-0000-0000-0000CA0E0000}"/>
    <cellStyle name="Input 2 2 11" xfId="1838" xr:uid="{00000000-0005-0000-0000-0000CB0E0000}"/>
    <cellStyle name="Input 2 2 12" xfId="2405" xr:uid="{00000000-0005-0000-0000-0000CC0E0000}"/>
    <cellStyle name="Input 2 2 13" xfId="2585" xr:uid="{00000000-0005-0000-0000-0000CD0E0000}"/>
    <cellStyle name="Input 2 2 14" xfId="2731" xr:uid="{00000000-0005-0000-0000-0000CE0E0000}"/>
    <cellStyle name="Input 2 2 15" xfId="2148" xr:uid="{00000000-0005-0000-0000-0000CF0E0000}"/>
    <cellStyle name="Input 2 2 16" xfId="2959" xr:uid="{00000000-0005-0000-0000-0000D00E0000}"/>
    <cellStyle name="Input 2 2 17" xfId="3127" xr:uid="{00000000-0005-0000-0000-0000D10E0000}"/>
    <cellStyle name="Input 2 2 18" xfId="3361" xr:uid="{00000000-0005-0000-0000-0000D20E0000}"/>
    <cellStyle name="Input 2 2 19" xfId="3501" xr:uid="{00000000-0005-0000-0000-0000D30E0000}"/>
    <cellStyle name="Input 2 2 2" xfId="1175" xr:uid="{00000000-0005-0000-0000-0000D40E0000}"/>
    <cellStyle name="Input 2 2 2 2" xfId="4145" xr:uid="{00000000-0005-0000-0000-0000D50E0000}"/>
    <cellStyle name="Input 2 2 2 3" xfId="3675" xr:uid="{00000000-0005-0000-0000-0000D60E0000}"/>
    <cellStyle name="Input 2 2 2 4" xfId="4943" xr:uid="{00000000-0005-0000-0000-0000D70E0000}"/>
    <cellStyle name="Input 2 2 2 5" xfId="5317" xr:uid="{00000000-0005-0000-0000-0000D80E0000}"/>
    <cellStyle name="Input 2 2 2 6" xfId="5894" xr:uid="{00000000-0005-0000-0000-0000D90E0000}"/>
    <cellStyle name="Input 2 2 20" xfId="3931" xr:uid="{00000000-0005-0000-0000-0000DA0E0000}"/>
    <cellStyle name="Input 2 2 21" xfId="4269" xr:uid="{00000000-0005-0000-0000-0000DB0E0000}"/>
    <cellStyle name="Input 2 2 22" xfId="4731" xr:uid="{00000000-0005-0000-0000-0000DC0E0000}"/>
    <cellStyle name="Input 2 2 23" xfId="5111" xr:uid="{00000000-0005-0000-0000-0000DD0E0000}"/>
    <cellStyle name="Input 2 2 24" xfId="5688" xr:uid="{00000000-0005-0000-0000-0000DE0E0000}"/>
    <cellStyle name="Input 2 2 3" xfId="799" xr:uid="{00000000-0005-0000-0000-0000DF0E0000}"/>
    <cellStyle name="Input 2 2 4" xfId="1000" xr:uid="{00000000-0005-0000-0000-0000E00E0000}"/>
    <cellStyle name="Input 2 2 5" xfId="1575" xr:uid="{00000000-0005-0000-0000-0000E10E0000}"/>
    <cellStyle name="Input 2 2 6" xfId="1767" xr:uid="{00000000-0005-0000-0000-0000E20E0000}"/>
    <cellStyle name="Input 2 2 7" xfId="818" xr:uid="{00000000-0005-0000-0000-0000E30E0000}"/>
    <cellStyle name="Input 2 2 8" xfId="2031" xr:uid="{00000000-0005-0000-0000-0000E40E0000}"/>
    <cellStyle name="Input 2 2 9" xfId="1217" xr:uid="{00000000-0005-0000-0000-0000E50E0000}"/>
    <cellStyle name="Input 2 20" xfId="2843" xr:uid="{00000000-0005-0000-0000-0000E60E0000}"/>
    <cellStyle name="Input 2 21" xfId="3256" xr:uid="{00000000-0005-0000-0000-0000E70E0000}"/>
    <cellStyle name="Input 2 22" xfId="3288" xr:uid="{00000000-0005-0000-0000-0000E80E0000}"/>
    <cellStyle name="Input 2 23" xfId="3654" xr:uid="{00000000-0005-0000-0000-0000E90E0000}"/>
    <cellStyle name="Input 2 24" xfId="4328" xr:uid="{00000000-0005-0000-0000-0000EA0E0000}"/>
    <cellStyle name="Input 2 25" xfId="4593" xr:uid="{00000000-0005-0000-0000-0000EB0E0000}"/>
    <cellStyle name="Input 2 26" xfId="4670" xr:uid="{00000000-0005-0000-0000-0000EC0E0000}"/>
    <cellStyle name="Input 2 27" xfId="5463" xr:uid="{00000000-0005-0000-0000-0000ED0E0000}"/>
    <cellStyle name="Input 2 3" xfId="764" xr:uid="{00000000-0005-0000-0000-0000EE0E0000}"/>
    <cellStyle name="Input 2 3 10" xfId="2256" xr:uid="{00000000-0005-0000-0000-0000EF0E0000}"/>
    <cellStyle name="Input 2 3 11" xfId="2330" xr:uid="{00000000-0005-0000-0000-0000F00E0000}"/>
    <cellStyle name="Input 2 3 12" xfId="2509" xr:uid="{00000000-0005-0000-0000-0000F10E0000}"/>
    <cellStyle name="Input 2 3 13" xfId="2689" xr:uid="{00000000-0005-0000-0000-0000F20E0000}"/>
    <cellStyle name="Input 2 3 14" xfId="2771" xr:uid="{00000000-0005-0000-0000-0000F30E0000}"/>
    <cellStyle name="Input 2 3 15" xfId="2810" xr:uid="{00000000-0005-0000-0000-0000F40E0000}"/>
    <cellStyle name="Input 2 3 16" xfId="3063" xr:uid="{00000000-0005-0000-0000-0000F50E0000}"/>
    <cellStyle name="Input 2 3 17" xfId="3231" xr:uid="{00000000-0005-0000-0000-0000F60E0000}"/>
    <cellStyle name="Input 2 3 18" xfId="3465" xr:uid="{00000000-0005-0000-0000-0000F70E0000}"/>
    <cellStyle name="Input 2 3 19" xfId="3540" xr:uid="{00000000-0005-0000-0000-0000F80E0000}"/>
    <cellStyle name="Input 2 3 2" xfId="1264" xr:uid="{00000000-0005-0000-0000-0000F90E0000}"/>
    <cellStyle name="Input 2 3 2 2" xfId="4249" xr:uid="{00000000-0005-0000-0000-0000FA0E0000}"/>
    <cellStyle name="Input 2 3 2 3" xfId="4508" xr:uid="{00000000-0005-0000-0000-0000FB0E0000}"/>
    <cellStyle name="Input 2 3 2 4" xfId="5047" xr:uid="{00000000-0005-0000-0000-0000FC0E0000}"/>
    <cellStyle name="Input 2 3 2 5" xfId="5421" xr:uid="{00000000-0005-0000-0000-0000FD0E0000}"/>
    <cellStyle name="Input 2 3 2 6" xfId="5998" xr:uid="{00000000-0005-0000-0000-0000FE0E0000}"/>
    <cellStyle name="Input 2 3 20" xfId="4035" xr:uid="{00000000-0005-0000-0000-0000FF0E0000}"/>
    <cellStyle name="Input 2 3 21" xfId="3639" xr:uid="{00000000-0005-0000-0000-0000000F0000}"/>
    <cellStyle name="Input 2 3 22" xfId="4835" xr:uid="{00000000-0005-0000-0000-0000010F0000}"/>
    <cellStyle name="Input 2 3 23" xfId="5215" xr:uid="{00000000-0005-0000-0000-0000020F0000}"/>
    <cellStyle name="Input 2 3 24" xfId="5792" xr:uid="{00000000-0005-0000-0000-0000030F0000}"/>
    <cellStyle name="Input 2 3 3" xfId="1360" xr:uid="{00000000-0005-0000-0000-0000040F0000}"/>
    <cellStyle name="Input 2 3 4" xfId="1445" xr:uid="{00000000-0005-0000-0000-0000050F0000}"/>
    <cellStyle name="Input 2 3 5" xfId="1679" xr:uid="{00000000-0005-0000-0000-0000060F0000}"/>
    <cellStyle name="Input 2 3 6" xfId="1849" xr:uid="{00000000-0005-0000-0000-0000070F0000}"/>
    <cellStyle name="Input 2 3 7" xfId="1951" xr:uid="{00000000-0005-0000-0000-0000080F0000}"/>
    <cellStyle name="Input 2 3 8" xfId="2102" xr:uid="{00000000-0005-0000-0000-0000090F0000}"/>
    <cellStyle name="Input 2 3 9" xfId="2181" xr:uid="{00000000-0005-0000-0000-00000A0F0000}"/>
    <cellStyle name="Input 2 4" xfId="775" xr:uid="{00000000-0005-0000-0000-00000B0F0000}"/>
    <cellStyle name="Input 2 4 10" xfId="2262" xr:uid="{00000000-0005-0000-0000-00000C0F0000}"/>
    <cellStyle name="Input 2 4 11" xfId="2340" xr:uid="{00000000-0005-0000-0000-00000D0F0000}"/>
    <cellStyle name="Input 2 4 12" xfId="2519" xr:uid="{00000000-0005-0000-0000-00000E0F0000}"/>
    <cellStyle name="Input 2 4 13" xfId="2699" xr:uid="{00000000-0005-0000-0000-00000F0F0000}"/>
    <cellStyle name="Input 2 4 14" xfId="2774" xr:uid="{00000000-0005-0000-0000-0000100F0000}"/>
    <cellStyle name="Input 2 4 15" xfId="2813" xr:uid="{00000000-0005-0000-0000-0000110F0000}"/>
    <cellStyle name="Input 2 4 16" xfId="3073" xr:uid="{00000000-0005-0000-0000-0000120F0000}"/>
    <cellStyle name="Input 2 4 17" xfId="3241" xr:uid="{00000000-0005-0000-0000-0000130F0000}"/>
    <cellStyle name="Input 2 4 18" xfId="3475" xr:uid="{00000000-0005-0000-0000-0000140F0000}"/>
    <cellStyle name="Input 2 4 19" xfId="3543" xr:uid="{00000000-0005-0000-0000-0000150F0000}"/>
    <cellStyle name="Input 2 4 2" xfId="1274" xr:uid="{00000000-0005-0000-0000-0000160F0000}"/>
    <cellStyle name="Input 2 4 2 2" xfId="4259" xr:uid="{00000000-0005-0000-0000-0000170F0000}"/>
    <cellStyle name="Input 2 4 2 3" xfId="4518" xr:uid="{00000000-0005-0000-0000-0000180F0000}"/>
    <cellStyle name="Input 2 4 2 4" xfId="5057" xr:uid="{00000000-0005-0000-0000-0000190F0000}"/>
    <cellStyle name="Input 2 4 2 5" xfId="5431" xr:uid="{00000000-0005-0000-0000-00001A0F0000}"/>
    <cellStyle name="Input 2 4 2 6" xfId="6008" xr:uid="{00000000-0005-0000-0000-00001B0F0000}"/>
    <cellStyle name="Input 2 4 20" xfId="4045" xr:uid="{00000000-0005-0000-0000-00001C0F0000}"/>
    <cellStyle name="Input 2 4 21" xfId="3611" xr:uid="{00000000-0005-0000-0000-00001D0F0000}"/>
    <cellStyle name="Input 2 4 22" xfId="4845" xr:uid="{00000000-0005-0000-0000-00001E0F0000}"/>
    <cellStyle name="Input 2 4 23" xfId="5225" xr:uid="{00000000-0005-0000-0000-00001F0F0000}"/>
    <cellStyle name="Input 2 4 24" xfId="5802" xr:uid="{00000000-0005-0000-0000-0000200F0000}"/>
    <cellStyle name="Input 2 4 3" xfId="1368" xr:uid="{00000000-0005-0000-0000-0000210F0000}"/>
    <cellStyle name="Input 2 4 4" xfId="1455" xr:uid="{00000000-0005-0000-0000-0000220F0000}"/>
    <cellStyle name="Input 2 4 5" xfId="1690" xr:uid="{00000000-0005-0000-0000-0000230F0000}"/>
    <cellStyle name="Input 2 4 6" xfId="1858" xr:uid="{00000000-0005-0000-0000-0000240F0000}"/>
    <cellStyle name="Input 2 4 7" xfId="1961" xr:uid="{00000000-0005-0000-0000-0000250F0000}"/>
    <cellStyle name="Input 2 4 8" xfId="2113" xr:uid="{00000000-0005-0000-0000-0000260F0000}"/>
    <cellStyle name="Input 2 4 9" xfId="2186" xr:uid="{00000000-0005-0000-0000-0000270F0000}"/>
    <cellStyle name="Input 2 5" xfId="862" xr:uid="{00000000-0005-0000-0000-0000280F0000}"/>
    <cellStyle name="Input 2 5 2" xfId="4057" xr:uid="{00000000-0005-0000-0000-0000290F0000}"/>
    <cellStyle name="Input 2 5 3" xfId="3554" xr:uid="{00000000-0005-0000-0000-00002A0F0000}"/>
    <cellStyle name="Input 2 5 4" xfId="4857" xr:uid="{00000000-0005-0000-0000-00002B0F0000}"/>
    <cellStyle name="Input 2 5 5" xfId="5237" xr:uid="{00000000-0005-0000-0000-00002C0F0000}"/>
    <cellStyle name="Input 2 5 6" xfId="5814" xr:uid="{00000000-0005-0000-0000-00002D0F0000}"/>
    <cellStyle name="Input 2 6" xfId="1111" xr:uid="{00000000-0005-0000-0000-00002E0F0000}"/>
    <cellStyle name="Input 2 7" xfId="1053" xr:uid="{00000000-0005-0000-0000-00002F0F0000}"/>
    <cellStyle name="Input 2 8" xfId="909" xr:uid="{00000000-0005-0000-0000-0000300F0000}"/>
    <cellStyle name="Input 2 9" xfId="980" xr:uid="{00000000-0005-0000-0000-0000310F0000}"/>
    <cellStyle name="Input 3" xfId="335" xr:uid="{00000000-0005-0000-0000-0000320F0000}"/>
    <cellStyle name="Input 3 10" xfId="1700" xr:uid="{00000000-0005-0000-0000-0000330F0000}"/>
    <cellStyle name="Input 3 11" xfId="1734" xr:uid="{00000000-0005-0000-0000-0000340F0000}"/>
    <cellStyle name="Input 3 12" xfId="825" xr:uid="{00000000-0005-0000-0000-0000350F0000}"/>
    <cellStyle name="Input 3 13" xfId="2136" xr:uid="{00000000-0005-0000-0000-0000360F0000}"/>
    <cellStyle name="Input 3 14" xfId="2261" xr:uid="{00000000-0005-0000-0000-0000370F0000}"/>
    <cellStyle name="Input 3 15" xfId="2117" xr:uid="{00000000-0005-0000-0000-0000380F0000}"/>
    <cellStyle name="Input 3 16" xfId="2253" xr:uid="{00000000-0005-0000-0000-0000390F0000}"/>
    <cellStyle name="Input 3 17" xfId="2349" xr:uid="{00000000-0005-0000-0000-00003A0F0000}"/>
    <cellStyle name="Input 3 18" xfId="2359" xr:uid="{00000000-0005-0000-0000-00003B0F0000}"/>
    <cellStyle name="Input 3 19" xfId="2851" xr:uid="{00000000-0005-0000-0000-00003C0F0000}"/>
    <cellStyle name="Input 3 2" xfId="692" xr:uid="{00000000-0005-0000-0000-00003D0F0000}"/>
    <cellStyle name="Input 3 2 10" xfId="2211" xr:uid="{00000000-0005-0000-0000-00003E0F0000}"/>
    <cellStyle name="Input 3 2 11" xfId="1830" xr:uid="{00000000-0005-0000-0000-00003F0F0000}"/>
    <cellStyle name="Input 3 2 12" xfId="2437" xr:uid="{00000000-0005-0000-0000-0000400F0000}"/>
    <cellStyle name="Input 3 2 13" xfId="2617" xr:uid="{00000000-0005-0000-0000-0000410F0000}"/>
    <cellStyle name="Input 3 2 14" xfId="2746" xr:uid="{00000000-0005-0000-0000-0000420F0000}"/>
    <cellStyle name="Input 3 2 15" xfId="2785" xr:uid="{00000000-0005-0000-0000-0000430F0000}"/>
    <cellStyle name="Input 3 2 16" xfId="2991" xr:uid="{00000000-0005-0000-0000-0000440F0000}"/>
    <cellStyle name="Input 3 2 17" xfId="3159" xr:uid="{00000000-0005-0000-0000-0000450F0000}"/>
    <cellStyle name="Input 3 2 18" xfId="3393" xr:uid="{00000000-0005-0000-0000-0000460F0000}"/>
    <cellStyle name="Input 3 2 19" xfId="3515" xr:uid="{00000000-0005-0000-0000-0000470F0000}"/>
    <cellStyle name="Input 3 2 2" xfId="1204" xr:uid="{00000000-0005-0000-0000-0000480F0000}"/>
    <cellStyle name="Input 3 2 2 2" xfId="4177" xr:uid="{00000000-0005-0000-0000-0000490F0000}"/>
    <cellStyle name="Input 3 2 2 3" xfId="3704" xr:uid="{00000000-0005-0000-0000-00004A0F0000}"/>
    <cellStyle name="Input 3 2 2 4" xfId="4975" xr:uid="{00000000-0005-0000-0000-00004B0F0000}"/>
    <cellStyle name="Input 3 2 2 5" xfId="5349" xr:uid="{00000000-0005-0000-0000-00004C0F0000}"/>
    <cellStyle name="Input 3 2 2 6" xfId="5926" xr:uid="{00000000-0005-0000-0000-00004D0F0000}"/>
    <cellStyle name="Input 3 2 20" xfId="3963" xr:uid="{00000000-0005-0000-0000-00004E0F0000}"/>
    <cellStyle name="Input 3 2 21" xfId="4462" xr:uid="{00000000-0005-0000-0000-00004F0F0000}"/>
    <cellStyle name="Input 3 2 22" xfId="4763" xr:uid="{00000000-0005-0000-0000-0000500F0000}"/>
    <cellStyle name="Input 3 2 23" xfId="5143" xr:uid="{00000000-0005-0000-0000-0000510F0000}"/>
    <cellStyle name="Input 3 2 24" xfId="5720" xr:uid="{00000000-0005-0000-0000-0000520F0000}"/>
    <cellStyle name="Input 3 2 3" xfId="1298" xr:uid="{00000000-0005-0000-0000-0000530F0000}"/>
    <cellStyle name="Input 3 2 4" xfId="1373" xr:uid="{00000000-0005-0000-0000-0000540F0000}"/>
    <cellStyle name="Input 3 2 5" xfId="1607" xr:uid="{00000000-0005-0000-0000-0000550F0000}"/>
    <cellStyle name="Input 3 2 6" xfId="1793" xr:uid="{00000000-0005-0000-0000-0000560F0000}"/>
    <cellStyle name="Input 3 2 7" xfId="1879" xr:uid="{00000000-0005-0000-0000-0000570F0000}"/>
    <cellStyle name="Input 3 2 8" xfId="2052" xr:uid="{00000000-0005-0000-0000-0000580F0000}"/>
    <cellStyle name="Input 3 2 9" xfId="2130" xr:uid="{00000000-0005-0000-0000-0000590F0000}"/>
    <cellStyle name="Input 3 20" xfId="2893" xr:uid="{00000000-0005-0000-0000-00005A0F0000}"/>
    <cellStyle name="Input 3 21" xfId="3264" xr:uid="{00000000-0005-0000-0000-00005B0F0000}"/>
    <cellStyle name="Input 3 22" xfId="3254" xr:uid="{00000000-0005-0000-0000-00005C0F0000}"/>
    <cellStyle name="Input 3 23" xfId="3702" xr:uid="{00000000-0005-0000-0000-00005D0F0000}"/>
    <cellStyle name="Input 3 24" xfId="4341" xr:uid="{00000000-0005-0000-0000-00005E0F0000}"/>
    <cellStyle name="Input 3 25" xfId="4603" xr:uid="{00000000-0005-0000-0000-00005F0F0000}"/>
    <cellStyle name="Input 3 26" xfId="4685" xr:uid="{00000000-0005-0000-0000-0000600F0000}"/>
    <cellStyle name="Input 3 27" xfId="5470" xr:uid="{00000000-0005-0000-0000-0000610F0000}"/>
    <cellStyle name="Input 3 3" xfId="691" xr:uid="{00000000-0005-0000-0000-0000620F0000}"/>
    <cellStyle name="Input 3 3 10" xfId="2210" xr:uid="{00000000-0005-0000-0000-0000630F0000}"/>
    <cellStyle name="Input 3 3 11" xfId="2142" xr:uid="{00000000-0005-0000-0000-0000640F0000}"/>
    <cellStyle name="Input 3 3 12" xfId="2436" xr:uid="{00000000-0005-0000-0000-0000650F0000}"/>
    <cellStyle name="Input 3 3 13" xfId="2616" xr:uid="{00000000-0005-0000-0000-0000660F0000}"/>
    <cellStyle name="Input 3 3 14" xfId="2745" xr:uid="{00000000-0005-0000-0000-0000670F0000}"/>
    <cellStyle name="Input 3 3 15" xfId="2784" xr:uid="{00000000-0005-0000-0000-0000680F0000}"/>
    <cellStyle name="Input 3 3 16" xfId="2990" xr:uid="{00000000-0005-0000-0000-0000690F0000}"/>
    <cellStyle name="Input 3 3 17" xfId="3158" xr:uid="{00000000-0005-0000-0000-00006A0F0000}"/>
    <cellStyle name="Input 3 3 18" xfId="3392" xr:uid="{00000000-0005-0000-0000-00006B0F0000}"/>
    <cellStyle name="Input 3 3 19" xfId="3514" xr:uid="{00000000-0005-0000-0000-00006C0F0000}"/>
    <cellStyle name="Input 3 3 2" xfId="1203" xr:uid="{00000000-0005-0000-0000-00006D0F0000}"/>
    <cellStyle name="Input 3 3 2 2" xfId="4176" xr:uid="{00000000-0005-0000-0000-00006E0F0000}"/>
    <cellStyle name="Input 3 3 2 3" xfId="3882" xr:uid="{00000000-0005-0000-0000-00006F0F0000}"/>
    <cellStyle name="Input 3 3 2 4" xfId="4974" xr:uid="{00000000-0005-0000-0000-0000700F0000}"/>
    <cellStyle name="Input 3 3 2 5" xfId="5348" xr:uid="{00000000-0005-0000-0000-0000710F0000}"/>
    <cellStyle name="Input 3 3 2 6" xfId="5925" xr:uid="{00000000-0005-0000-0000-0000720F0000}"/>
    <cellStyle name="Input 3 3 20" xfId="3962" xr:uid="{00000000-0005-0000-0000-0000730F0000}"/>
    <cellStyle name="Input 3 3 21" xfId="4448" xr:uid="{00000000-0005-0000-0000-0000740F0000}"/>
    <cellStyle name="Input 3 3 22" xfId="4762" xr:uid="{00000000-0005-0000-0000-0000750F0000}"/>
    <cellStyle name="Input 3 3 23" xfId="5142" xr:uid="{00000000-0005-0000-0000-0000760F0000}"/>
    <cellStyle name="Input 3 3 24" xfId="5719" xr:uid="{00000000-0005-0000-0000-0000770F0000}"/>
    <cellStyle name="Input 3 3 3" xfId="1297" xr:uid="{00000000-0005-0000-0000-0000780F0000}"/>
    <cellStyle name="Input 3 3 4" xfId="1372" xr:uid="{00000000-0005-0000-0000-0000790F0000}"/>
    <cellStyle name="Input 3 3 5" xfId="1606" xr:uid="{00000000-0005-0000-0000-00007A0F0000}"/>
    <cellStyle name="Input 3 3 6" xfId="1792" xr:uid="{00000000-0005-0000-0000-00007B0F0000}"/>
    <cellStyle name="Input 3 3 7" xfId="1878" xr:uid="{00000000-0005-0000-0000-00007C0F0000}"/>
    <cellStyle name="Input 3 3 8" xfId="2051" xr:uid="{00000000-0005-0000-0000-00007D0F0000}"/>
    <cellStyle name="Input 3 3 9" xfId="2129" xr:uid="{00000000-0005-0000-0000-00007E0F0000}"/>
    <cellStyle name="Input 3 4" xfId="635" xr:uid="{00000000-0005-0000-0000-00007F0F0000}"/>
    <cellStyle name="Input 3 4 10" xfId="1194" xr:uid="{00000000-0005-0000-0000-0000800F0000}"/>
    <cellStyle name="Input 3 4 11" xfId="2048" xr:uid="{00000000-0005-0000-0000-0000810F0000}"/>
    <cellStyle name="Input 3 4 12" xfId="2380" xr:uid="{00000000-0005-0000-0000-0000820F0000}"/>
    <cellStyle name="Input 3 4 13" xfId="2560" xr:uid="{00000000-0005-0000-0000-0000830F0000}"/>
    <cellStyle name="Input 3 4 14" xfId="2716" xr:uid="{00000000-0005-0000-0000-0000840F0000}"/>
    <cellStyle name="Input 3 4 15" xfId="2536" xr:uid="{00000000-0005-0000-0000-0000850F0000}"/>
    <cellStyle name="Input 3 4 16" xfId="2934" xr:uid="{00000000-0005-0000-0000-0000860F0000}"/>
    <cellStyle name="Input 3 4 17" xfId="3102" xr:uid="{00000000-0005-0000-0000-0000870F0000}"/>
    <cellStyle name="Input 3 4 18" xfId="3336" xr:uid="{00000000-0005-0000-0000-0000880F0000}"/>
    <cellStyle name="Input 3 4 19" xfId="3486" xr:uid="{00000000-0005-0000-0000-0000890F0000}"/>
    <cellStyle name="Input 3 4 2" xfId="1151" xr:uid="{00000000-0005-0000-0000-00008A0F0000}"/>
    <cellStyle name="Input 3 4 2 2" xfId="4120" xr:uid="{00000000-0005-0000-0000-00008B0F0000}"/>
    <cellStyle name="Input 3 4 2 3" xfId="3686" xr:uid="{00000000-0005-0000-0000-00008C0F0000}"/>
    <cellStyle name="Input 3 4 2 4" xfId="4918" xr:uid="{00000000-0005-0000-0000-00008D0F0000}"/>
    <cellStyle name="Input 3 4 2 5" xfId="5292" xr:uid="{00000000-0005-0000-0000-00008E0F0000}"/>
    <cellStyle name="Input 3 4 2 6" xfId="5869" xr:uid="{00000000-0005-0000-0000-00008F0F0000}"/>
    <cellStyle name="Input 3 4 20" xfId="3906" xr:uid="{00000000-0005-0000-0000-0000900F0000}"/>
    <cellStyle name="Input 3 4 21" xfId="4320" xr:uid="{00000000-0005-0000-0000-0000910F0000}"/>
    <cellStyle name="Input 3 4 22" xfId="4706" xr:uid="{00000000-0005-0000-0000-0000920F0000}"/>
    <cellStyle name="Input 3 4 23" xfId="5086" xr:uid="{00000000-0005-0000-0000-0000930F0000}"/>
    <cellStyle name="Input 3 4 24" xfId="5663" xr:uid="{00000000-0005-0000-0000-0000940F0000}"/>
    <cellStyle name="Input 3 4 3" xfId="1064" xr:uid="{00000000-0005-0000-0000-0000950F0000}"/>
    <cellStyle name="Input 3 4 4" xfId="1210" xr:uid="{00000000-0005-0000-0000-0000960F0000}"/>
    <cellStyle name="Input 3 4 5" xfId="1550" xr:uid="{00000000-0005-0000-0000-0000970F0000}"/>
    <cellStyle name="Input 3 4 6" xfId="1746" xr:uid="{00000000-0005-0000-0000-0000980F0000}"/>
    <cellStyle name="Input 3 4 7" xfId="975" xr:uid="{00000000-0005-0000-0000-0000990F0000}"/>
    <cellStyle name="Input 3 4 8" xfId="2006" xr:uid="{00000000-0005-0000-0000-00009A0F0000}"/>
    <cellStyle name="Input 3 4 9" xfId="1035" xr:uid="{00000000-0005-0000-0000-00009B0F0000}"/>
    <cellStyle name="Input 3 5" xfId="930" xr:uid="{00000000-0005-0000-0000-00009C0F0000}"/>
    <cellStyle name="Input 3 5 2" xfId="4063" xr:uid="{00000000-0005-0000-0000-00009D0F0000}"/>
    <cellStyle name="Input 3 5 3" xfId="3560" xr:uid="{00000000-0005-0000-0000-00009E0F0000}"/>
    <cellStyle name="Input 3 5 4" xfId="4863" xr:uid="{00000000-0005-0000-0000-00009F0F0000}"/>
    <cellStyle name="Input 3 5 5" xfId="5243" xr:uid="{00000000-0005-0000-0000-0000A00F0000}"/>
    <cellStyle name="Input 3 5 6" xfId="5820" xr:uid="{00000000-0005-0000-0000-0000A10F0000}"/>
    <cellStyle name="Input 3 6" xfId="1063" xr:uid="{00000000-0005-0000-0000-0000A20F0000}"/>
    <cellStyle name="Input 3 7" xfId="1149" xr:uid="{00000000-0005-0000-0000-0000A30F0000}"/>
    <cellStyle name="Input 3 8" xfId="1258" xr:uid="{00000000-0005-0000-0000-0000A40F0000}"/>
    <cellStyle name="Input 3 9" xfId="1365" xr:uid="{00000000-0005-0000-0000-0000A50F0000}"/>
    <cellStyle name="Input 4" xfId="447" xr:uid="{00000000-0005-0000-0000-0000A60F0000}"/>
    <cellStyle name="InputCells" xfId="69" xr:uid="{00000000-0005-0000-0000-0000A70F0000}"/>
    <cellStyle name="InputCells 2" xfId="242" xr:uid="{00000000-0005-0000-0000-0000A80F0000}"/>
    <cellStyle name="InputCells 3" xfId="294" xr:uid="{00000000-0005-0000-0000-0000A90F0000}"/>
    <cellStyle name="InputCells 4" xfId="450" xr:uid="{00000000-0005-0000-0000-0000AA0F0000}"/>
    <cellStyle name="InputCells 5" xfId="148" xr:uid="{00000000-0005-0000-0000-0000AB0F0000}"/>
    <cellStyle name="InputCells_Bborder_1" xfId="243" xr:uid="{00000000-0005-0000-0000-0000AC0F0000}"/>
    <cellStyle name="InputCells12" xfId="70" xr:uid="{00000000-0005-0000-0000-0000AD0F0000}"/>
    <cellStyle name="InputCells12 2" xfId="71" xr:uid="{00000000-0005-0000-0000-0000AE0F0000}"/>
    <cellStyle name="InputCells12 2 2" xfId="524" xr:uid="{00000000-0005-0000-0000-0000AF0F0000}"/>
    <cellStyle name="InputCells12 2 2 2" xfId="698" xr:uid="{00000000-0005-0000-0000-0000B00F0000}"/>
    <cellStyle name="InputCells12 2 2 2 10" xfId="3399" xr:uid="{00000000-0005-0000-0000-0000B10F0000}"/>
    <cellStyle name="InputCells12 2 2 2 11" xfId="3969" xr:uid="{00000000-0005-0000-0000-0000B20F0000}"/>
    <cellStyle name="InputCells12 2 2 2 12" xfId="4272" xr:uid="{00000000-0005-0000-0000-0000B30F0000}"/>
    <cellStyle name="InputCells12 2 2 2 13" xfId="4769" xr:uid="{00000000-0005-0000-0000-0000B40F0000}"/>
    <cellStyle name="InputCells12 2 2 2 14" xfId="5149" xr:uid="{00000000-0005-0000-0000-0000B50F0000}"/>
    <cellStyle name="InputCells12 2 2 2 15" xfId="5726" xr:uid="{00000000-0005-0000-0000-0000B60F0000}"/>
    <cellStyle name="InputCells12 2 2 2 2" xfId="1379" xr:uid="{00000000-0005-0000-0000-0000B70F0000}"/>
    <cellStyle name="InputCells12 2 2 2 2 2" xfId="4183" xr:uid="{00000000-0005-0000-0000-0000B80F0000}"/>
    <cellStyle name="InputCells12 2 2 2 2 3" xfId="3835" xr:uid="{00000000-0005-0000-0000-0000B90F0000}"/>
    <cellStyle name="InputCells12 2 2 2 2 4" xfId="4981" xr:uid="{00000000-0005-0000-0000-0000BA0F0000}"/>
    <cellStyle name="InputCells12 2 2 2 2 5" xfId="5355" xr:uid="{00000000-0005-0000-0000-0000BB0F0000}"/>
    <cellStyle name="InputCells12 2 2 2 2 6" xfId="5932" xr:uid="{00000000-0005-0000-0000-0000BC0F0000}"/>
    <cellStyle name="InputCells12 2 2 2 3" xfId="1613" xr:uid="{00000000-0005-0000-0000-0000BD0F0000}"/>
    <cellStyle name="InputCells12 2 2 2 4" xfId="1885" xr:uid="{00000000-0005-0000-0000-0000BE0F0000}"/>
    <cellStyle name="InputCells12 2 2 2 5" xfId="1970" xr:uid="{00000000-0005-0000-0000-0000BF0F0000}"/>
    <cellStyle name="InputCells12 2 2 2 6" xfId="2443" xr:uid="{00000000-0005-0000-0000-0000C00F0000}"/>
    <cellStyle name="InputCells12 2 2 2 7" xfId="2623" xr:uid="{00000000-0005-0000-0000-0000C10F0000}"/>
    <cellStyle name="InputCells12 2 2 2 8" xfId="2997" xr:uid="{00000000-0005-0000-0000-0000C20F0000}"/>
    <cellStyle name="InputCells12 2 2 2 9" xfId="3165" xr:uid="{00000000-0005-0000-0000-0000C30F0000}"/>
    <cellStyle name="InputCells12 2 2 3" xfId="1309" xr:uid="{00000000-0005-0000-0000-0000C40F0000}"/>
    <cellStyle name="InputCells12 2 2 3 2" xfId="4093" xr:uid="{00000000-0005-0000-0000-0000C50F0000}"/>
    <cellStyle name="InputCells12 2 2 3 3" xfId="4497" xr:uid="{00000000-0005-0000-0000-0000C60F0000}"/>
    <cellStyle name="InputCells12 2 2 3 4" xfId="4891" xr:uid="{00000000-0005-0000-0000-0000C70F0000}"/>
    <cellStyle name="InputCells12 2 2 3 5" xfId="5265" xr:uid="{00000000-0005-0000-0000-0000C80F0000}"/>
    <cellStyle name="InputCells12 2 2 3 6" xfId="5842" xr:uid="{00000000-0005-0000-0000-0000C90F0000}"/>
    <cellStyle name="InputCells12 2 3" xfId="383" xr:uid="{00000000-0005-0000-0000-0000CA0F0000}"/>
    <cellStyle name="InputCells12 2 3 10" xfId="917" xr:uid="{00000000-0005-0000-0000-0000CB0F0000}"/>
    <cellStyle name="InputCells12 2 3 11" xfId="2874" xr:uid="{00000000-0005-0000-0000-0000CC0F0000}"/>
    <cellStyle name="InputCells12 2 3 12" xfId="2828" xr:uid="{00000000-0005-0000-0000-0000CD0F0000}"/>
    <cellStyle name="InputCells12 2 3 13" xfId="3287" xr:uid="{00000000-0005-0000-0000-0000CE0F0000}"/>
    <cellStyle name="InputCells12 2 3 14" xfId="3740" xr:uid="{00000000-0005-0000-0000-0000CF0F0000}"/>
    <cellStyle name="InputCells12 2 3 15" xfId="3665" xr:uid="{00000000-0005-0000-0000-0000D00F0000}"/>
    <cellStyle name="InputCells12 2 3 16" xfId="4628" xr:uid="{00000000-0005-0000-0000-0000D10F0000}"/>
    <cellStyle name="InputCells12 2 3 17" xfId="4585" xr:uid="{00000000-0005-0000-0000-0000D20F0000}"/>
    <cellStyle name="InputCells12 2 3 18" xfId="5492" xr:uid="{00000000-0005-0000-0000-0000D30F0000}"/>
    <cellStyle name="InputCells12 2 3 2" xfId="721" xr:uid="{00000000-0005-0000-0000-0000D40F0000}"/>
    <cellStyle name="InputCells12 2 3 2 10" xfId="3422" xr:uid="{00000000-0005-0000-0000-0000D50F0000}"/>
    <cellStyle name="InputCells12 2 3 2 11" xfId="3992" xr:uid="{00000000-0005-0000-0000-0000D60F0000}"/>
    <cellStyle name="InputCells12 2 3 2 12" xfId="4368" xr:uid="{00000000-0005-0000-0000-0000D70F0000}"/>
    <cellStyle name="InputCells12 2 3 2 13" xfId="4792" xr:uid="{00000000-0005-0000-0000-0000D80F0000}"/>
    <cellStyle name="InputCells12 2 3 2 14" xfId="5172" xr:uid="{00000000-0005-0000-0000-0000D90F0000}"/>
    <cellStyle name="InputCells12 2 3 2 15" xfId="5749" xr:uid="{00000000-0005-0000-0000-0000DA0F0000}"/>
    <cellStyle name="InputCells12 2 3 2 2" xfId="1402" xr:uid="{00000000-0005-0000-0000-0000DB0F0000}"/>
    <cellStyle name="InputCells12 2 3 2 2 2" xfId="4206" xr:uid="{00000000-0005-0000-0000-0000DC0F0000}"/>
    <cellStyle name="InputCells12 2 3 2 2 3" xfId="3865" xr:uid="{00000000-0005-0000-0000-0000DD0F0000}"/>
    <cellStyle name="InputCells12 2 3 2 2 4" xfId="5004" xr:uid="{00000000-0005-0000-0000-0000DE0F0000}"/>
    <cellStyle name="InputCells12 2 3 2 2 5" xfId="5378" xr:uid="{00000000-0005-0000-0000-0000DF0F0000}"/>
    <cellStyle name="InputCells12 2 3 2 2 6" xfId="5955" xr:uid="{00000000-0005-0000-0000-0000E00F0000}"/>
    <cellStyle name="InputCells12 2 3 2 3" xfId="1636" xr:uid="{00000000-0005-0000-0000-0000E10F0000}"/>
    <cellStyle name="InputCells12 2 3 2 4" xfId="1908" xr:uid="{00000000-0005-0000-0000-0000E20F0000}"/>
    <cellStyle name="InputCells12 2 3 2 5" xfId="2287" xr:uid="{00000000-0005-0000-0000-0000E30F0000}"/>
    <cellStyle name="InputCells12 2 3 2 6" xfId="2466" xr:uid="{00000000-0005-0000-0000-0000E40F0000}"/>
    <cellStyle name="InputCells12 2 3 2 7" xfId="2646" xr:uid="{00000000-0005-0000-0000-0000E50F0000}"/>
    <cellStyle name="InputCells12 2 3 2 8" xfId="3020" xr:uid="{00000000-0005-0000-0000-0000E60F0000}"/>
    <cellStyle name="InputCells12 2 3 2 9" xfId="3188" xr:uid="{00000000-0005-0000-0000-0000E70F0000}"/>
    <cellStyle name="InputCells12 2 3 3" xfId="644" xr:uid="{00000000-0005-0000-0000-0000E80F0000}"/>
    <cellStyle name="InputCells12 2 3 3 10" xfId="3345" xr:uid="{00000000-0005-0000-0000-0000E90F0000}"/>
    <cellStyle name="InputCells12 2 3 3 11" xfId="3915" xr:uid="{00000000-0005-0000-0000-0000EA0F0000}"/>
    <cellStyle name="InputCells12 2 3 3 12" xfId="3707" xr:uid="{00000000-0005-0000-0000-0000EB0F0000}"/>
    <cellStyle name="InputCells12 2 3 3 13" xfId="4715" xr:uid="{00000000-0005-0000-0000-0000EC0F0000}"/>
    <cellStyle name="InputCells12 2 3 3 14" xfId="5095" xr:uid="{00000000-0005-0000-0000-0000ED0F0000}"/>
    <cellStyle name="InputCells12 2 3 3 15" xfId="5672" xr:uid="{00000000-0005-0000-0000-0000EE0F0000}"/>
    <cellStyle name="InputCells12 2 3 3 2" xfId="1160" xr:uid="{00000000-0005-0000-0000-0000EF0F0000}"/>
    <cellStyle name="InputCells12 2 3 3 2 2" xfId="4129" xr:uid="{00000000-0005-0000-0000-0000F00F0000}"/>
    <cellStyle name="InputCells12 2 3 3 2 3" xfId="4304" xr:uid="{00000000-0005-0000-0000-0000F10F0000}"/>
    <cellStyle name="InputCells12 2 3 3 2 4" xfId="4927" xr:uid="{00000000-0005-0000-0000-0000F20F0000}"/>
    <cellStyle name="InputCells12 2 3 3 2 5" xfId="5301" xr:uid="{00000000-0005-0000-0000-0000F30F0000}"/>
    <cellStyle name="InputCells12 2 3 3 2 6" xfId="5878" xr:uid="{00000000-0005-0000-0000-0000F40F0000}"/>
    <cellStyle name="InputCells12 2 3 3 3" xfId="1559" xr:uid="{00000000-0005-0000-0000-0000F50F0000}"/>
    <cellStyle name="InputCells12 2 3 3 4" xfId="1090" xr:uid="{00000000-0005-0000-0000-0000F60F0000}"/>
    <cellStyle name="InputCells12 2 3 3 5" xfId="1808" xr:uid="{00000000-0005-0000-0000-0000F70F0000}"/>
    <cellStyle name="InputCells12 2 3 3 6" xfId="2389" xr:uid="{00000000-0005-0000-0000-0000F80F0000}"/>
    <cellStyle name="InputCells12 2 3 3 7" xfId="2569" xr:uid="{00000000-0005-0000-0000-0000F90F0000}"/>
    <cellStyle name="InputCells12 2 3 3 8" xfId="2943" xr:uid="{00000000-0005-0000-0000-0000FA0F0000}"/>
    <cellStyle name="InputCells12 2 3 3 9" xfId="3111" xr:uid="{00000000-0005-0000-0000-0000FB0F0000}"/>
    <cellStyle name="InputCells12 2 3 4" xfId="760" xr:uid="{00000000-0005-0000-0000-0000FC0F0000}"/>
    <cellStyle name="InputCells12 2 3 4 10" xfId="3461" xr:uid="{00000000-0005-0000-0000-0000FD0F0000}"/>
    <cellStyle name="InputCells12 2 3 4 11" xfId="4031" xr:uid="{00000000-0005-0000-0000-0000FE0F0000}"/>
    <cellStyle name="InputCells12 2 3 4 12" xfId="3798" xr:uid="{00000000-0005-0000-0000-0000FF0F0000}"/>
    <cellStyle name="InputCells12 2 3 4 13" xfId="4831" xr:uid="{00000000-0005-0000-0000-000000100000}"/>
    <cellStyle name="InputCells12 2 3 4 14" xfId="5211" xr:uid="{00000000-0005-0000-0000-000001100000}"/>
    <cellStyle name="InputCells12 2 3 4 15" xfId="5788" xr:uid="{00000000-0005-0000-0000-000002100000}"/>
    <cellStyle name="InputCells12 2 3 4 2" xfId="1441" xr:uid="{00000000-0005-0000-0000-000003100000}"/>
    <cellStyle name="InputCells12 2 3 4 2 2" xfId="4245" xr:uid="{00000000-0005-0000-0000-000004100000}"/>
    <cellStyle name="InputCells12 2 3 4 2 3" xfId="4504" xr:uid="{00000000-0005-0000-0000-000005100000}"/>
    <cellStyle name="InputCells12 2 3 4 2 4" xfId="5043" xr:uid="{00000000-0005-0000-0000-000006100000}"/>
    <cellStyle name="InputCells12 2 3 4 2 5" xfId="5417" xr:uid="{00000000-0005-0000-0000-000007100000}"/>
    <cellStyle name="InputCells12 2 3 4 2 6" xfId="5994" xr:uid="{00000000-0005-0000-0000-000008100000}"/>
    <cellStyle name="InputCells12 2 3 4 3" xfId="1675" xr:uid="{00000000-0005-0000-0000-000009100000}"/>
    <cellStyle name="InputCells12 2 3 4 4" xfId="1947" xr:uid="{00000000-0005-0000-0000-00000A100000}"/>
    <cellStyle name="InputCells12 2 3 4 5" xfId="2326" xr:uid="{00000000-0005-0000-0000-00000B100000}"/>
    <cellStyle name="InputCells12 2 3 4 6" xfId="2505" xr:uid="{00000000-0005-0000-0000-00000C100000}"/>
    <cellStyle name="InputCells12 2 3 4 7" xfId="2685" xr:uid="{00000000-0005-0000-0000-00000D100000}"/>
    <cellStyle name="InputCells12 2 3 4 8" xfId="3059" xr:uid="{00000000-0005-0000-0000-00000E100000}"/>
    <cellStyle name="InputCells12 2 3 4 9" xfId="3227" xr:uid="{00000000-0005-0000-0000-00000F100000}"/>
    <cellStyle name="InputCells12 2 3 5" xfId="1273" xr:uid="{00000000-0005-0000-0000-000010100000}"/>
    <cellStyle name="InputCells12 2 3 6" xfId="1140" xr:uid="{00000000-0005-0000-0000-000011100000}"/>
    <cellStyle name="InputCells12 2 3 7" xfId="1498" xr:uid="{00000000-0005-0000-0000-000012100000}"/>
    <cellStyle name="InputCells12 2 3 8" xfId="1504" xr:uid="{00000000-0005-0000-0000-000013100000}"/>
    <cellStyle name="InputCells12 2 3 9" xfId="2123" xr:uid="{00000000-0005-0000-0000-000014100000}"/>
    <cellStyle name="InputCells12 2 4" xfId="1165" xr:uid="{00000000-0005-0000-0000-000015100000}"/>
    <cellStyle name="InputCells12 3" xfId="523" xr:uid="{00000000-0005-0000-0000-000016100000}"/>
    <cellStyle name="InputCells12 3 2" xfId="628" xr:uid="{00000000-0005-0000-0000-000017100000}"/>
    <cellStyle name="InputCells12 3 2 10" xfId="3329" xr:uid="{00000000-0005-0000-0000-000018100000}"/>
    <cellStyle name="InputCells12 3 2 11" xfId="3899" xr:uid="{00000000-0005-0000-0000-000019100000}"/>
    <cellStyle name="InputCells12 3 2 12" xfId="4339" xr:uid="{00000000-0005-0000-0000-00001A100000}"/>
    <cellStyle name="InputCells12 3 2 13" xfId="4699" xr:uid="{00000000-0005-0000-0000-00001B100000}"/>
    <cellStyle name="InputCells12 3 2 14" xfId="5079" xr:uid="{00000000-0005-0000-0000-00001C100000}"/>
    <cellStyle name="InputCells12 3 2 15" xfId="5656" xr:uid="{00000000-0005-0000-0000-00001D100000}"/>
    <cellStyle name="InputCells12 3 2 2" xfId="1096" xr:uid="{00000000-0005-0000-0000-00001E100000}"/>
    <cellStyle name="InputCells12 3 2 2 2" xfId="4113" xr:uid="{00000000-0005-0000-0000-00001F100000}"/>
    <cellStyle name="InputCells12 3 2 2 3" xfId="3571" xr:uid="{00000000-0005-0000-0000-000020100000}"/>
    <cellStyle name="InputCells12 3 2 2 4" xfId="4911" xr:uid="{00000000-0005-0000-0000-000021100000}"/>
    <cellStyle name="InputCells12 3 2 2 5" xfId="5285" xr:uid="{00000000-0005-0000-0000-000022100000}"/>
    <cellStyle name="InputCells12 3 2 2 6" xfId="5862" xr:uid="{00000000-0005-0000-0000-000023100000}"/>
    <cellStyle name="InputCells12 3 2 3" xfId="1543" xr:uid="{00000000-0005-0000-0000-000024100000}"/>
    <cellStyle name="InputCells12 3 2 4" xfId="1341" xr:uid="{00000000-0005-0000-0000-000025100000}"/>
    <cellStyle name="InputCells12 3 2 5" xfId="1713" xr:uid="{00000000-0005-0000-0000-000026100000}"/>
    <cellStyle name="InputCells12 3 2 6" xfId="2373" xr:uid="{00000000-0005-0000-0000-000027100000}"/>
    <cellStyle name="InputCells12 3 2 7" xfId="2553" xr:uid="{00000000-0005-0000-0000-000028100000}"/>
    <cellStyle name="InputCells12 3 2 8" xfId="2927" xr:uid="{00000000-0005-0000-0000-000029100000}"/>
    <cellStyle name="InputCells12 3 2 9" xfId="3095" xr:uid="{00000000-0005-0000-0000-00002A100000}"/>
    <cellStyle name="InputCells12 3 3" xfId="943" xr:uid="{00000000-0005-0000-0000-00002B100000}"/>
    <cellStyle name="InputCells12 3 3 2" xfId="4092" xr:uid="{00000000-0005-0000-0000-00002C100000}"/>
    <cellStyle name="InputCells12 3 3 3" xfId="4337" xr:uid="{00000000-0005-0000-0000-00002D100000}"/>
    <cellStyle name="InputCells12 3 3 4" xfId="4890" xr:uid="{00000000-0005-0000-0000-00002E100000}"/>
    <cellStyle name="InputCells12 3 3 5" xfId="5264" xr:uid="{00000000-0005-0000-0000-00002F100000}"/>
    <cellStyle name="InputCells12 3 3 6" xfId="5841" xr:uid="{00000000-0005-0000-0000-000030100000}"/>
    <cellStyle name="InputCells12 4" xfId="382" xr:uid="{00000000-0005-0000-0000-000031100000}"/>
    <cellStyle name="InputCells12 4 10" xfId="2175" xr:uid="{00000000-0005-0000-0000-000032100000}"/>
    <cellStyle name="InputCells12 4 11" xfId="2873" xr:uid="{00000000-0005-0000-0000-000033100000}"/>
    <cellStyle name="InputCells12 4 12" xfId="2898" xr:uid="{00000000-0005-0000-0000-000034100000}"/>
    <cellStyle name="InputCells12 4 13" xfId="3286" xr:uid="{00000000-0005-0000-0000-000035100000}"/>
    <cellStyle name="InputCells12 4 14" xfId="3739" xr:uid="{00000000-0005-0000-0000-000036100000}"/>
    <cellStyle name="InputCells12 4 15" xfId="3615" xr:uid="{00000000-0005-0000-0000-000037100000}"/>
    <cellStyle name="InputCells12 4 16" xfId="4627" xr:uid="{00000000-0005-0000-0000-000038100000}"/>
    <cellStyle name="InputCells12 4 17" xfId="4660" xr:uid="{00000000-0005-0000-0000-000039100000}"/>
    <cellStyle name="InputCells12 4 18" xfId="5491" xr:uid="{00000000-0005-0000-0000-00003A100000}"/>
    <cellStyle name="InputCells12 4 2" xfId="720" xr:uid="{00000000-0005-0000-0000-00003B100000}"/>
    <cellStyle name="InputCells12 4 2 10" xfId="3421" xr:uid="{00000000-0005-0000-0000-00003C100000}"/>
    <cellStyle name="InputCells12 4 2 11" xfId="3991" xr:uid="{00000000-0005-0000-0000-00003D100000}"/>
    <cellStyle name="InputCells12 4 2 12" xfId="3612" xr:uid="{00000000-0005-0000-0000-00003E100000}"/>
    <cellStyle name="InputCells12 4 2 13" xfId="4791" xr:uid="{00000000-0005-0000-0000-00003F100000}"/>
    <cellStyle name="InputCells12 4 2 14" xfId="5171" xr:uid="{00000000-0005-0000-0000-000040100000}"/>
    <cellStyle name="InputCells12 4 2 15" xfId="5748" xr:uid="{00000000-0005-0000-0000-000041100000}"/>
    <cellStyle name="InputCells12 4 2 2" xfId="1401" xr:uid="{00000000-0005-0000-0000-000042100000}"/>
    <cellStyle name="InputCells12 4 2 2 2" xfId="4205" xr:uid="{00000000-0005-0000-0000-000043100000}"/>
    <cellStyle name="InputCells12 4 2 2 3" xfId="4482" xr:uid="{00000000-0005-0000-0000-000044100000}"/>
    <cellStyle name="InputCells12 4 2 2 4" xfId="5003" xr:uid="{00000000-0005-0000-0000-000045100000}"/>
    <cellStyle name="InputCells12 4 2 2 5" xfId="5377" xr:uid="{00000000-0005-0000-0000-000046100000}"/>
    <cellStyle name="InputCells12 4 2 2 6" xfId="5954" xr:uid="{00000000-0005-0000-0000-000047100000}"/>
    <cellStyle name="InputCells12 4 2 3" xfId="1635" xr:uid="{00000000-0005-0000-0000-000048100000}"/>
    <cellStyle name="InputCells12 4 2 4" xfId="1907" xr:uid="{00000000-0005-0000-0000-000049100000}"/>
    <cellStyle name="InputCells12 4 2 5" xfId="2286" xr:uid="{00000000-0005-0000-0000-00004A100000}"/>
    <cellStyle name="InputCells12 4 2 6" xfId="2465" xr:uid="{00000000-0005-0000-0000-00004B100000}"/>
    <cellStyle name="InputCells12 4 2 7" xfId="2645" xr:uid="{00000000-0005-0000-0000-00004C100000}"/>
    <cellStyle name="InputCells12 4 2 8" xfId="3019" xr:uid="{00000000-0005-0000-0000-00004D100000}"/>
    <cellStyle name="InputCells12 4 2 9" xfId="3187" xr:uid="{00000000-0005-0000-0000-00004E100000}"/>
    <cellStyle name="InputCells12 4 3" xfId="645" xr:uid="{00000000-0005-0000-0000-00004F100000}"/>
    <cellStyle name="InputCells12 4 3 10" xfId="3346" xr:uid="{00000000-0005-0000-0000-000050100000}"/>
    <cellStyle name="InputCells12 4 3 11" xfId="3916" xr:uid="{00000000-0005-0000-0000-000051100000}"/>
    <cellStyle name="InputCells12 4 3 12" xfId="3638" xr:uid="{00000000-0005-0000-0000-000052100000}"/>
    <cellStyle name="InputCells12 4 3 13" xfId="4716" xr:uid="{00000000-0005-0000-0000-000053100000}"/>
    <cellStyle name="InputCells12 4 3 14" xfId="5096" xr:uid="{00000000-0005-0000-0000-000054100000}"/>
    <cellStyle name="InputCells12 4 3 15" xfId="5673" xr:uid="{00000000-0005-0000-0000-000055100000}"/>
    <cellStyle name="InputCells12 4 3 2" xfId="783" xr:uid="{00000000-0005-0000-0000-000056100000}"/>
    <cellStyle name="InputCells12 4 3 2 2" xfId="4130" xr:uid="{00000000-0005-0000-0000-000057100000}"/>
    <cellStyle name="InputCells12 4 3 2 3" xfId="3660" xr:uid="{00000000-0005-0000-0000-000058100000}"/>
    <cellStyle name="InputCells12 4 3 2 4" xfId="4928" xr:uid="{00000000-0005-0000-0000-000059100000}"/>
    <cellStyle name="InputCells12 4 3 2 5" xfId="5302" xr:uid="{00000000-0005-0000-0000-00005A100000}"/>
    <cellStyle name="InputCells12 4 3 2 6" xfId="5879" xr:uid="{00000000-0005-0000-0000-00005B100000}"/>
    <cellStyle name="InputCells12 4 3 3" xfId="1560" xr:uid="{00000000-0005-0000-0000-00005C100000}"/>
    <cellStyle name="InputCells12 4 3 4" xfId="1521" xr:uid="{00000000-0005-0000-0000-00005D100000}"/>
    <cellStyle name="InputCells12 4 3 5" xfId="1977" xr:uid="{00000000-0005-0000-0000-00005E100000}"/>
    <cellStyle name="InputCells12 4 3 6" xfId="2390" xr:uid="{00000000-0005-0000-0000-00005F100000}"/>
    <cellStyle name="InputCells12 4 3 7" xfId="2570" xr:uid="{00000000-0005-0000-0000-000060100000}"/>
    <cellStyle name="InputCells12 4 3 8" xfId="2944" xr:uid="{00000000-0005-0000-0000-000061100000}"/>
    <cellStyle name="InputCells12 4 3 9" xfId="3112" xr:uid="{00000000-0005-0000-0000-000062100000}"/>
    <cellStyle name="InputCells12 4 4" xfId="619" xr:uid="{00000000-0005-0000-0000-000063100000}"/>
    <cellStyle name="InputCells12 4 4 10" xfId="3320" xr:uid="{00000000-0005-0000-0000-000064100000}"/>
    <cellStyle name="InputCells12 4 4 11" xfId="3890" xr:uid="{00000000-0005-0000-0000-000065100000}"/>
    <cellStyle name="InputCells12 4 4 12" xfId="4302" xr:uid="{00000000-0005-0000-0000-000066100000}"/>
    <cellStyle name="InputCells12 4 4 13" xfId="4690" xr:uid="{00000000-0005-0000-0000-000067100000}"/>
    <cellStyle name="InputCells12 4 4 14" xfId="5070" xr:uid="{00000000-0005-0000-0000-000068100000}"/>
    <cellStyle name="InputCells12 4 4 15" xfId="5647" xr:uid="{00000000-0005-0000-0000-000069100000}"/>
    <cellStyle name="InputCells12 4 4 2" xfId="1061" xr:uid="{00000000-0005-0000-0000-00006A100000}"/>
    <cellStyle name="InputCells12 4 4 2 2" xfId="4104" xr:uid="{00000000-0005-0000-0000-00006B100000}"/>
    <cellStyle name="InputCells12 4 4 2 3" xfId="4473" xr:uid="{00000000-0005-0000-0000-00006C100000}"/>
    <cellStyle name="InputCells12 4 4 2 4" xfId="4902" xr:uid="{00000000-0005-0000-0000-00006D100000}"/>
    <cellStyle name="InputCells12 4 4 2 5" xfId="5276" xr:uid="{00000000-0005-0000-0000-00006E100000}"/>
    <cellStyle name="InputCells12 4 4 2 6" xfId="5853" xr:uid="{00000000-0005-0000-0000-00006F100000}"/>
    <cellStyle name="InputCells12 4 4 3" xfId="1534" xr:uid="{00000000-0005-0000-0000-000070100000}"/>
    <cellStyle name="InputCells12 4 4 4" xfId="1268" xr:uid="{00000000-0005-0000-0000-000071100000}"/>
    <cellStyle name="InputCells12 4 4 5" xfId="1743" xr:uid="{00000000-0005-0000-0000-000072100000}"/>
    <cellStyle name="InputCells12 4 4 6" xfId="2364" xr:uid="{00000000-0005-0000-0000-000073100000}"/>
    <cellStyle name="InputCells12 4 4 7" xfId="2544" xr:uid="{00000000-0005-0000-0000-000074100000}"/>
    <cellStyle name="InputCells12 4 4 8" xfId="2918" xr:uid="{00000000-0005-0000-0000-000075100000}"/>
    <cellStyle name="InputCells12 4 4 9" xfId="3086" xr:uid="{00000000-0005-0000-0000-000076100000}"/>
    <cellStyle name="InputCells12 4 5" xfId="1218" xr:uid="{00000000-0005-0000-0000-000077100000}"/>
    <cellStyle name="InputCells12 4 6" xfId="1193" xr:uid="{00000000-0005-0000-0000-000078100000}"/>
    <cellStyle name="InputCells12 4 7" xfId="1356" xr:uid="{00000000-0005-0000-0000-000079100000}"/>
    <cellStyle name="InputCells12 4 8" xfId="1843" xr:uid="{00000000-0005-0000-0000-00007A100000}"/>
    <cellStyle name="InputCells12 4 9" xfId="1527" xr:uid="{00000000-0005-0000-0000-00007B100000}"/>
    <cellStyle name="InputCells12 5" xfId="866" xr:uid="{00000000-0005-0000-0000-00007C100000}"/>
    <cellStyle name="InputCells12 5 2" xfId="3606" xr:uid="{00000000-0005-0000-0000-00007D100000}"/>
    <cellStyle name="InputCells12 5 3" xfId="4578" xr:uid="{00000000-0005-0000-0000-00007E100000}"/>
    <cellStyle name="InputCells12_BBorder" xfId="72" xr:uid="{00000000-0005-0000-0000-00007F100000}"/>
    <cellStyle name="IntCells" xfId="73" xr:uid="{00000000-0005-0000-0000-000080100000}"/>
    <cellStyle name="KP_thin_border_dark_grey" xfId="74" xr:uid="{00000000-0005-0000-0000-000081100000}"/>
    <cellStyle name="Linked Cell" xfId="75" xr:uid="{00000000-0005-0000-0000-000082100000}"/>
    <cellStyle name="Linked Cell 2" xfId="247" xr:uid="{00000000-0005-0000-0000-000083100000}"/>
    <cellStyle name="Linked Cell 3" xfId="336" xr:uid="{00000000-0005-0000-0000-000084100000}"/>
    <cellStyle name="Linked Cell 4" xfId="472" xr:uid="{00000000-0005-0000-0000-000085100000}"/>
    <cellStyle name="Neutral" xfId="76" xr:uid="{00000000-0005-0000-0000-000086100000}"/>
    <cellStyle name="Neutral 2" xfId="248" xr:uid="{00000000-0005-0000-0000-000087100000}"/>
    <cellStyle name="Neutral 3" xfId="337" xr:uid="{00000000-0005-0000-0000-000088100000}"/>
    <cellStyle name="Normaali 2" xfId="249" xr:uid="{00000000-0005-0000-0000-000089100000}"/>
    <cellStyle name="Normaali 2 2" xfId="250" xr:uid="{00000000-0005-0000-0000-00008A100000}"/>
    <cellStyle name="Normal 10" xfId="475" xr:uid="{00000000-0005-0000-0000-00008B100000}"/>
    <cellStyle name="Normal 10 2" xfId="544" xr:uid="{00000000-0005-0000-0000-00008C100000}"/>
    <cellStyle name="Normal 10 2 2" xfId="5575" xr:uid="{00000000-0005-0000-0000-00008D100000}"/>
    <cellStyle name="Normal 10 2 2 2" xfId="6029" xr:uid="{224952D2-2176-4504-9922-C064F461A47A}"/>
    <cellStyle name="Normal 10 2 3" xfId="6028" xr:uid="{73FC4FDF-25B4-4D1D-8840-031528E0B9B3}"/>
    <cellStyle name="Normal 10 3" xfId="5560" xr:uid="{00000000-0005-0000-0000-00008E100000}"/>
    <cellStyle name="Normal 10 4" xfId="6027" xr:uid="{6ECA4C14-8684-4C12-A90B-2E900B0BA482}"/>
    <cellStyle name="Normal 11" xfId="503" xr:uid="{00000000-0005-0000-0000-00008F100000}"/>
    <cellStyle name="Normal 11 2" xfId="545" xr:uid="{00000000-0005-0000-0000-000090100000}"/>
    <cellStyle name="Normal 11 2 2" xfId="5576" xr:uid="{00000000-0005-0000-0000-000091100000}"/>
    <cellStyle name="Normal 11 3" xfId="5567" xr:uid="{00000000-0005-0000-0000-000092100000}"/>
    <cellStyle name="Normal 12" xfId="614" xr:uid="{00000000-0005-0000-0000-000093100000}"/>
    <cellStyle name="Normal 12 2" xfId="774" xr:uid="{00000000-0005-0000-0000-000094100000}"/>
    <cellStyle name="Normal 2" xfId="77" xr:uid="{00000000-0005-0000-0000-000095100000}"/>
    <cellStyle name="Normál 2" xfId="78" xr:uid="{00000000-0005-0000-0000-000096100000}"/>
    <cellStyle name="Normal 2 2" xfId="79" xr:uid="{00000000-0005-0000-0000-000097100000}"/>
    <cellStyle name="Normal 2 2 2" xfId="252" xr:uid="{00000000-0005-0000-0000-000098100000}"/>
    <cellStyle name="Normal 2 2 3" xfId="251" xr:uid="{00000000-0005-0000-0000-000099100000}"/>
    <cellStyle name="Normal 2 3" xfId="253" xr:uid="{00000000-0005-0000-0000-00009A100000}"/>
    <cellStyle name="Normal 2 3 2" xfId="525" xr:uid="{00000000-0005-0000-0000-00009B100000}"/>
    <cellStyle name="Normal 2 4" xfId="299" xr:uid="{00000000-0005-0000-0000-00009C100000}"/>
    <cellStyle name="Normal 3" xfId="80" xr:uid="{00000000-0005-0000-0000-00009D100000}"/>
    <cellStyle name="Normál 3" xfId="81" xr:uid="{00000000-0005-0000-0000-00009E100000}"/>
    <cellStyle name="Normal 3 2" xfId="82" xr:uid="{00000000-0005-0000-0000-00009F100000}"/>
    <cellStyle name="Normal 3 2 2" xfId="300" xr:uid="{00000000-0005-0000-0000-0000A0100000}"/>
    <cellStyle name="Normal 3 2 3" xfId="254" xr:uid="{00000000-0005-0000-0000-0000A1100000}"/>
    <cellStyle name="Normal 3 3" xfId="295" xr:uid="{00000000-0005-0000-0000-0000A2100000}"/>
    <cellStyle name="Normal 3 3 2" xfId="6023" xr:uid="{F2213718-1974-4AC5-88C2-FCDB4C3881B8}"/>
    <cellStyle name="Normal 3 4" xfId="461" xr:uid="{00000000-0005-0000-0000-0000A3100000}"/>
    <cellStyle name="Normal 3 5" xfId="6016" xr:uid="{FFE47994-F8A5-4111-A27F-DC8730B8806E}"/>
    <cellStyle name="Normal 3 6" xfId="6030" xr:uid="{BBF2086B-B346-4DCA-8323-45D3D9973FAC}"/>
    <cellStyle name="Normal 4" xfId="255" xr:uid="{00000000-0005-0000-0000-0000A4100000}"/>
    <cellStyle name="Normal 4 2" xfId="256" xr:uid="{00000000-0005-0000-0000-0000A5100000}"/>
    <cellStyle name="Normal 4 2 2" xfId="257" xr:uid="{00000000-0005-0000-0000-0000A6100000}"/>
    <cellStyle name="Normal 4 2 2 2" xfId="6025" xr:uid="{3EEDB2C0-84D4-4D92-BCE5-24CAE7599E71}"/>
    <cellStyle name="Normal 4 2 3" xfId="526" xr:uid="{00000000-0005-0000-0000-0000A7100000}"/>
    <cellStyle name="Normal 4 2 4" xfId="6019" xr:uid="{7706CD68-7195-4B9E-899E-3A8F0C2819F9}"/>
    <cellStyle name="Normal 4 3" xfId="296" xr:uid="{00000000-0005-0000-0000-0000A8100000}"/>
    <cellStyle name="Normal 4 3 2" xfId="527" xr:uid="{00000000-0005-0000-0000-0000A9100000}"/>
    <cellStyle name="Normal 4 3 3" xfId="6024" xr:uid="{C7FC2EEB-9864-49B8-987D-7F3BFF267A15}"/>
    <cellStyle name="Normal 4 4" xfId="6018" xr:uid="{606307E6-CB8F-4733-AE8B-493FFF59A50E}"/>
    <cellStyle name="Normal 5" xfId="258" xr:uid="{00000000-0005-0000-0000-0000AA100000}"/>
    <cellStyle name="Normal 5 2" xfId="393" xr:uid="{00000000-0005-0000-0000-0000AB100000}"/>
    <cellStyle name="Normal 5 2 2" xfId="400" xr:uid="{00000000-0005-0000-0000-0000AC100000}"/>
    <cellStyle name="Normal 5 2 2 2" xfId="406" xr:uid="{00000000-0005-0000-0000-0000AD100000}"/>
    <cellStyle name="Normal 5 2 2 2 2" xfId="421" xr:uid="{00000000-0005-0000-0000-0000AE100000}"/>
    <cellStyle name="Normal 5 2 2 2 2 2" xfId="550" xr:uid="{00000000-0005-0000-0000-0000AF100000}"/>
    <cellStyle name="Normal 5 2 2 2 2 2 2" xfId="5581" xr:uid="{00000000-0005-0000-0000-0000B0100000}"/>
    <cellStyle name="Normal 5 2 2 2 2 3" xfId="5529" xr:uid="{00000000-0005-0000-0000-0000B1100000}"/>
    <cellStyle name="Normal 5 2 2 2 3" xfId="549" xr:uid="{00000000-0005-0000-0000-0000B2100000}"/>
    <cellStyle name="Normal 5 2 2 2 3 2" xfId="5580" xr:uid="{00000000-0005-0000-0000-0000B3100000}"/>
    <cellStyle name="Normal 5 2 2 2 4" xfId="5514" xr:uid="{00000000-0005-0000-0000-0000B4100000}"/>
    <cellStyle name="Normal 5 2 2 3" xfId="420" xr:uid="{00000000-0005-0000-0000-0000B5100000}"/>
    <cellStyle name="Normal 5 2 2 3 2" xfId="551" xr:uid="{00000000-0005-0000-0000-0000B6100000}"/>
    <cellStyle name="Normal 5 2 2 3 2 2" xfId="5582" xr:uid="{00000000-0005-0000-0000-0000B7100000}"/>
    <cellStyle name="Normal 5 2 2 3 3" xfId="5528" xr:uid="{00000000-0005-0000-0000-0000B8100000}"/>
    <cellStyle name="Normal 5 2 2 4" xfId="548" xr:uid="{00000000-0005-0000-0000-0000B9100000}"/>
    <cellStyle name="Normal 5 2 2 4 2" xfId="5579" xr:uid="{00000000-0005-0000-0000-0000BA100000}"/>
    <cellStyle name="Normal 5 2 2 5" xfId="5508" xr:uid="{00000000-0005-0000-0000-0000BB100000}"/>
    <cellStyle name="Normal 5 2 3" xfId="405" xr:uid="{00000000-0005-0000-0000-0000BC100000}"/>
    <cellStyle name="Normal 5 2 3 2" xfId="422" xr:uid="{00000000-0005-0000-0000-0000BD100000}"/>
    <cellStyle name="Normal 5 2 3 2 2" xfId="553" xr:uid="{00000000-0005-0000-0000-0000BE100000}"/>
    <cellStyle name="Normal 5 2 3 2 2 2" xfId="5584" xr:uid="{00000000-0005-0000-0000-0000BF100000}"/>
    <cellStyle name="Normal 5 2 3 2 3" xfId="5530" xr:uid="{00000000-0005-0000-0000-0000C0100000}"/>
    <cellStyle name="Normal 5 2 3 3" xfId="552" xr:uid="{00000000-0005-0000-0000-0000C1100000}"/>
    <cellStyle name="Normal 5 2 3 3 2" xfId="5583" xr:uid="{00000000-0005-0000-0000-0000C2100000}"/>
    <cellStyle name="Normal 5 2 3 4" xfId="5513" xr:uid="{00000000-0005-0000-0000-0000C3100000}"/>
    <cellStyle name="Normal 5 2 4" xfId="419" xr:uid="{00000000-0005-0000-0000-0000C4100000}"/>
    <cellStyle name="Normal 5 2 4 2" xfId="554" xr:uid="{00000000-0005-0000-0000-0000C5100000}"/>
    <cellStyle name="Normal 5 2 4 2 2" xfId="5585" xr:uid="{00000000-0005-0000-0000-0000C6100000}"/>
    <cellStyle name="Normal 5 2 4 3" xfId="5527" xr:uid="{00000000-0005-0000-0000-0000C7100000}"/>
    <cellStyle name="Normal 5 2 5" xfId="528" xr:uid="{00000000-0005-0000-0000-0000C8100000}"/>
    <cellStyle name="Normal 5 2 5 2" xfId="555" xr:uid="{00000000-0005-0000-0000-0000C9100000}"/>
    <cellStyle name="Normal 5 2 5 2 2" xfId="5586" xr:uid="{00000000-0005-0000-0000-0000CA100000}"/>
    <cellStyle name="Normal 5 2 5 3" xfId="5569" xr:uid="{00000000-0005-0000-0000-0000CB100000}"/>
    <cellStyle name="Normal 5 2 6" xfId="547" xr:uid="{00000000-0005-0000-0000-0000CC100000}"/>
    <cellStyle name="Normal 5 2 6 2" xfId="5578" xr:uid="{00000000-0005-0000-0000-0000CD100000}"/>
    <cellStyle name="Normal 5 2 7" xfId="5501" xr:uid="{00000000-0005-0000-0000-0000CE100000}"/>
    <cellStyle name="Normal 5 3" xfId="397" xr:uid="{00000000-0005-0000-0000-0000CF100000}"/>
    <cellStyle name="Normal 5 3 2" xfId="407" xr:uid="{00000000-0005-0000-0000-0000D0100000}"/>
    <cellStyle name="Normal 5 3 2 2" xfId="424" xr:uid="{00000000-0005-0000-0000-0000D1100000}"/>
    <cellStyle name="Normal 5 3 2 2 2" xfId="558" xr:uid="{00000000-0005-0000-0000-0000D2100000}"/>
    <cellStyle name="Normal 5 3 2 2 2 2" xfId="5589" xr:uid="{00000000-0005-0000-0000-0000D3100000}"/>
    <cellStyle name="Normal 5 3 2 2 3" xfId="5532" xr:uid="{00000000-0005-0000-0000-0000D4100000}"/>
    <cellStyle name="Normal 5 3 2 3" xfId="557" xr:uid="{00000000-0005-0000-0000-0000D5100000}"/>
    <cellStyle name="Normal 5 3 2 3 2" xfId="5588" xr:uid="{00000000-0005-0000-0000-0000D6100000}"/>
    <cellStyle name="Normal 5 3 2 4" xfId="5515" xr:uid="{00000000-0005-0000-0000-0000D7100000}"/>
    <cellStyle name="Normal 5 3 3" xfId="423" xr:uid="{00000000-0005-0000-0000-0000D8100000}"/>
    <cellStyle name="Normal 5 3 3 2" xfId="559" xr:uid="{00000000-0005-0000-0000-0000D9100000}"/>
    <cellStyle name="Normal 5 3 3 2 2" xfId="5590" xr:uid="{00000000-0005-0000-0000-0000DA100000}"/>
    <cellStyle name="Normal 5 3 3 3" xfId="5531" xr:uid="{00000000-0005-0000-0000-0000DB100000}"/>
    <cellStyle name="Normal 5 3 4" xfId="556" xr:uid="{00000000-0005-0000-0000-0000DC100000}"/>
    <cellStyle name="Normal 5 3 4 2" xfId="5587" xr:uid="{00000000-0005-0000-0000-0000DD100000}"/>
    <cellStyle name="Normal 5 3 5" xfId="5505" xr:uid="{00000000-0005-0000-0000-0000DE100000}"/>
    <cellStyle name="Normal 5 4" xfId="404" xr:uid="{00000000-0005-0000-0000-0000DF100000}"/>
    <cellStyle name="Normal 5 4 2" xfId="425" xr:uid="{00000000-0005-0000-0000-0000E0100000}"/>
    <cellStyle name="Normal 5 4 2 2" xfId="561" xr:uid="{00000000-0005-0000-0000-0000E1100000}"/>
    <cellStyle name="Normal 5 4 2 2 2" xfId="5592" xr:uid="{00000000-0005-0000-0000-0000E2100000}"/>
    <cellStyle name="Normal 5 4 2 3" xfId="5533" xr:uid="{00000000-0005-0000-0000-0000E3100000}"/>
    <cellStyle name="Normal 5 4 3" xfId="560" xr:uid="{00000000-0005-0000-0000-0000E4100000}"/>
    <cellStyle name="Normal 5 4 3 2" xfId="5591" xr:uid="{00000000-0005-0000-0000-0000E5100000}"/>
    <cellStyle name="Normal 5 4 4" xfId="5512" xr:uid="{00000000-0005-0000-0000-0000E6100000}"/>
    <cellStyle name="Normal 5 5" xfId="418" xr:uid="{00000000-0005-0000-0000-0000E7100000}"/>
    <cellStyle name="Normal 5 5 2" xfId="562" xr:uid="{00000000-0005-0000-0000-0000E8100000}"/>
    <cellStyle name="Normal 5 5 2 2" xfId="5593" xr:uid="{00000000-0005-0000-0000-0000E9100000}"/>
    <cellStyle name="Normal 5 5 3" xfId="5526" xr:uid="{00000000-0005-0000-0000-0000EA100000}"/>
    <cellStyle name="Normal 5 6" xfId="462" xr:uid="{00000000-0005-0000-0000-0000EB100000}"/>
    <cellStyle name="Normal 5 7" xfId="546" xr:uid="{00000000-0005-0000-0000-0000EC100000}"/>
    <cellStyle name="Normal 5 7 2" xfId="5577" xr:uid="{00000000-0005-0000-0000-0000ED100000}"/>
    <cellStyle name="Normal 5 8" xfId="384" xr:uid="{00000000-0005-0000-0000-0000EE100000}"/>
    <cellStyle name="Normal 5 8 2" xfId="5493" xr:uid="{00000000-0005-0000-0000-0000EF100000}"/>
    <cellStyle name="Normal 6" xfId="259" xr:uid="{00000000-0005-0000-0000-0000F0100000}"/>
    <cellStyle name="Normal 6 10" xfId="529" xr:uid="{00000000-0005-0000-0000-0000F1100000}"/>
    <cellStyle name="Normal 6 10 2" xfId="564" xr:uid="{00000000-0005-0000-0000-0000F2100000}"/>
    <cellStyle name="Normal 6 10 2 2" xfId="5595" xr:uid="{00000000-0005-0000-0000-0000F3100000}"/>
    <cellStyle name="Normal 6 10 3" xfId="5570" xr:uid="{00000000-0005-0000-0000-0000F4100000}"/>
    <cellStyle name="Normal 6 11" xfId="563" xr:uid="{00000000-0005-0000-0000-0000F5100000}"/>
    <cellStyle name="Normal 6 11 2" xfId="5594" xr:uid="{00000000-0005-0000-0000-0000F6100000}"/>
    <cellStyle name="Normal 6 12" xfId="5464" xr:uid="{00000000-0005-0000-0000-0000F7100000}"/>
    <cellStyle name="Normal 6 2" xfId="394" xr:uid="{00000000-0005-0000-0000-0000F8100000}"/>
    <cellStyle name="Normal 6 2 2" xfId="401" xr:uid="{00000000-0005-0000-0000-0000F9100000}"/>
    <cellStyle name="Normal 6 2 2 2" xfId="410" xr:uid="{00000000-0005-0000-0000-0000FA100000}"/>
    <cellStyle name="Normal 6 2 2 2 2" xfId="429" xr:uid="{00000000-0005-0000-0000-0000FB100000}"/>
    <cellStyle name="Normal 6 2 2 2 2 2" xfId="568" xr:uid="{00000000-0005-0000-0000-0000FC100000}"/>
    <cellStyle name="Normal 6 2 2 2 2 2 2" xfId="5599" xr:uid="{00000000-0005-0000-0000-0000FD100000}"/>
    <cellStyle name="Normal 6 2 2 2 2 3" xfId="5537" xr:uid="{00000000-0005-0000-0000-0000FE100000}"/>
    <cellStyle name="Normal 6 2 2 2 3" xfId="567" xr:uid="{00000000-0005-0000-0000-0000FF100000}"/>
    <cellStyle name="Normal 6 2 2 2 3 2" xfId="5598" xr:uid="{00000000-0005-0000-0000-000000110000}"/>
    <cellStyle name="Normal 6 2 2 2 4" xfId="5518" xr:uid="{00000000-0005-0000-0000-000001110000}"/>
    <cellStyle name="Normal 6 2 2 3" xfId="428" xr:uid="{00000000-0005-0000-0000-000002110000}"/>
    <cellStyle name="Normal 6 2 2 3 2" xfId="569" xr:uid="{00000000-0005-0000-0000-000003110000}"/>
    <cellStyle name="Normal 6 2 2 3 2 2" xfId="5600" xr:uid="{00000000-0005-0000-0000-000004110000}"/>
    <cellStyle name="Normal 6 2 2 3 3" xfId="5536" xr:uid="{00000000-0005-0000-0000-000005110000}"/>
    <cellStyle name="Normal 6 2 2 4" xfId="566" xr:uid="{00000000-0005-0000-0000-000006110000}"/>
    <cellStyle name="Normal 6 2 2 4 2" xfId="5597" xr:uid="{00000000-0005-0000-0000-000007110000}"/>
    <cellStyle name="Normal 6 2 2 5" xfId="5509" xr:uid="{00000000-0005-0000-0000-000008110000}"/>
    <cellStyle name="Normal 6 2 3" xfId="409" xr:uid="{00000000-0005-0000-0000-000009110000}"/>
    <cellStyle name="Normal 6 2 3 2" xfId="430" xr:uid="{00000000-0005-0000-0000-00000A110000}"/>
    <cellStyle name="Normal 6 2 3 2 2" xfId="571" xr:uid="{00000000-0005-0000-0000-00000B110000}"/>
    <cellStyle name="Normal 6 2 3 2 2 2" xfId="5602" xr:uid="{00000000-0005-0000-0000-00000C110000}"/>
    <cellStyle name="Normal 6 2 3 2 3" xfId="5538" xr:uid="{00000000-0005-0000-0000-00000D110000}"/>
    <cellStyle name="Normal 6 2 3 3" xfId="570" xr:uid="{00000000-0005-0000-0000-00000E110000}"/>
    <cellStyle name="Normal 6 2 3 3 2" xfId="5601" xr:uid="{00000000-0005-0000-0000-00000F110000}"/>
    <cellStyle name="Normal 6 2 3 4" xfId="5517" xr:uid="{00000000-0005-0000-0000-000010110000}"/>
    <cellStyle name="Normal 6 2 4" xfId="427" xr:uid="{00000000-0005-0000-0000-000011110000}"/>
    <cellStyle name="Normal 6 2 4 2" xfId="572" xr:uid="{00000000-0005-0000-0000-000012110000}"/>
    <cellStyle name="Normal 6 2 4 2 2" xfId="5603" xr:uid="{00000000-0005-0000-0000-000013110000}"/>
    <cellStyle name="Normal 6 2 4 3" xfId="5535" xr:uid="{00000000-0005-0000-0000-000014110000}"/>
    <cellStyle name="Normal 6 2 5" xfId="530" xr:uid="{00000000-0005-0000-0000-000015110000}"/>
    <cellStyle name="Normal 6 2 5 2" xfId="573" xr:uid="{00000000-0005-0000-0000-000016110000}"/>
    <cellStyle name="Normal 6 2 5 2 2" xfId="5604" xr:uid="{00000000-0005-0000-0000-000017110000}"/>
    <cellStyle name="Normal 6 2 5 3" xfId="5571" xr:uid="{00000000-0005-0000-0000-000018110000}"/>
    <cellStyle name="Normal 6 2 6" xfId="565" xr:uid="{00000000-0005-0000-0000-000019110000}"/>
    <cellStyle name="Normal 6 2 6 2" xfId="5596" xr:uid="{00000000-0005-0000-0000-00001A110000}"/>
    <cellStyle name="Normal 6 2 7" xfId="5502" xr:uid="{00000000-0005-0000-0000-00001B110000}"/>
    <cellStyle name="Normal 6 3" xfId="396" xr:uid="{00000000-0005-0000-0000-00001C110000}"/>
    <cellStyle name="Normal 6 3 2" xfId="403" xr:uid="{00000000-0005-0000-0000-00001D110000}"/>
    <cellStyle name="Normal 6 3 2 2" xfId="412" xr:uid="{00000000-0005-0000-0000-00001E110000}"/>
    <cellStyle name="Normal 6 3 2 2 2" xfId="433" xr:uid="{00000000-0005-0000-0000-00001F110000}"/>
    <cellStyle name="Normal 6 3 2 2 2 2" xfId="577" xr:uid="{00000000-0005-0000-0000-000020110000}"/>
    <cellStyle name="Normal 6 3 2 2 2 2 2" xfId="5608" xr:uid="{00000000-0005-0000-0000-000021110000}"/>
    <cellStyle name="Normal 6 3 2 2 2 3" xfId="5541" xr:uid="{00000000-0005-0000-0000-000022110000}"/>
    <cellStyle name="Normal 6 3 2 2 3" xfId="576" xr:uid="{00000000-0005-0000-0000-000023110000}"/>
    <cellStyle name="Normal 6 3 2 2 3 2" xfId="5607" xr:uid="{00000000-0005-0000-0000-000024110000}"/>
    <cellStyle name="Normal 6 3 2 2 4" xfId="5520" xr:uid="{00000000-0005-0000-0000-000025110000}"/>
    <cellStyle name="Normal 6 3 2 3" xfId="432" xr:uid="{00000000-0005-0000-0000-000026110000}"/>
    <cellStyle name="Normal 6 3 2 3 2" xfId="578" xr:uid="{00000000-0005-0000-0000-000027110000}"/>
    <cellStyle name="Normal 6 3 2 3 2 2" xfId="5609" xr:uid="{00000000-0005-0000-0000-000028110000}"/>
    <cellStyle name="Normal 6 3 2 3 3" xfId="5540" xr:uid="{00000000-0005-0000-0000-000029110000}"/>
    <cellStyle name="Normal 6 3 2 4" xfId="575" xr:uid="{00000000-0005-0000-0000-00002A110000}"/>
    <cellStyle name="Normal 6 3 2 4 2" xfId="5606" xr:uid="{00000000-0005-0000-0000-00002B110000}"/>
    <cellStyle name="Normal 6 3 2 5" xfId="5511" xr:uid="{00000000-0005-0000-0000-00002C110000}"/>
    <cellStyle name="Normal 6 3 3" xfId="411" xr:uid="{00000000-0005-0000-0000-00002D110000}"/>
    <cellStyle name="Normal 6 3 3 2" xfId="434" xr:uid="{00000000-0005-0000-0000-00002E110000}"/>
    <cellStyle name="Normal 6 3 3 2 2" xfId="580" xr:uid="{00000000-0005-0000-0000-00002F110000}"/>
    <cellStyle name="Normal 6 3 3 2 2 2" xfId="5611" xr:uid="{00000000-0005-0000-0000-000030110000}"/>
    <cellStyle name="Normal 6 3 3 2 3" xfId="5542" xr:uid="{00000000-0005-0000-0000-000031110000}"/>
    <cellStyle name="Normal 6 3 3 3" xfId="579" xr:uid="{00000000-0005-0000-0000-000032110000}"/>
    <cellStyle name="Normal 6 3 3 3 2" xfId="5610" xr:uid="{00000000-0005-0000-0000-000033110000}"/>
    <cellStyle name="Normal 6 3 3 4" xfId="5519" xr:uid="{00000000-0005-0000-0000-000034110000}"/>
    <cellStyle name="Normal 6 3 4" xfId="431" xr:uid="{00000000-0005-0000-0000-000035110000}"/>
    <cellStyle name="Normal 6 3 4 2" xfId="581" xr:uid="{00000000-0005-0000-0000-000036110000}"/>
    <cellStyle name="Normal 6 3 4 2 2" xfId="5612" xr:uid="{00000000-0005-0000-0000-000037110000}"/>
    <cellStyle name="Normal 6 3 4 3" xfId="5539" xr:uid="{00000000-0005-0000-0000-000038110000}"/>
    <cellStyle name="Normal 6 3 5" xfId="574" xr:uid="{00000000-0005-0000-0000-000039110000}"/>
    <cellStyle name="Normal 6 3 5 2" xfId="5605" xr:uid="{00000000-0005-0000-0000-00003A110000}"/>
    <cellStyle name="Normal 6 3 6" xfId="5504" xr:uid="{00000000-0005-0000-0000-00003B110000}"/>
    <cellStyle name="Normal 6 4" xfId="398" xr:uid="{00000000-0005-0000-0000-00003C110000}"/>
    <cellStyle name="Normal 6 4 2" xfId="413" xr:uid="{00000000-0005-0000-0000-00003D110000}"/>
    <cellStyle name="Normal 6 4 2 2" xfId="436" xr:uid="{00000000-0005-0000-0000-00003E110000}"/>
    <cellStyle name="Normal 6 4 2 2 2" xfId="584" xr:uid="{00000000-0005-0000-0000-00003F110000}"/>
    <cellStyle name="Normal 6 4 2 2 2 2" xfId="5615" xr:uid="{00000000-0005-0000-0000-000040110000}"/>
    <cellStyle name="Normal 6 4 2 2 3" xfId="5544" xr:uid="{00000000-0005-0000-0000-000041110000}"/>
    <cellStyle name="Normal 6 4 2 3" xfId="583" xr:uid="{00000000-0005-0000-0000-000042110000}"/>
    <cellStyle name="Normal 6 4 2 3 2" xfId="5614" xr:uid="{00000000-0005-0000-0000-000043110000}"/>
    <cellStyle name="Normal 6 4 2 4" xfId="5521" xr:uid="{00000000-0005-0000-0000-000044110000}"/>
    <cellStyle name="Normal 6 4 3" xfId="435" xr:uid="{00000000-0005-0000-0000-000045110000}"/>
    <cellStyle name="Normal 6 4 3 2" xfId="585" xr:uid="{00000000-0005-0000-0000-000046110000}"/>
    <cellStyle name="Normal 6 4 3 2 2" xfId="5616" xr:uid="{00000000-0005-0000-0000-000047110000}"/>
    <cellStyle name="Normal 6 4 3 3" xfId="5543" xr:uid="{00000000-0005-0000-0000-000048110000}"/>
    <cellStyle name="Normal 6 4 4" xfId="582" xr:uid="{00000000-0005-0000-0000-000049110000}"/>
    <cellStyle name="Normal 6 4 4 2" xfId="5613" xr:uid="{00000000-0005-0000-0000-00004A110000}"/>
    <cellStyle name="Normal 6 4 5" xfId="5506" xr:uid="{00000000-0005-0000-0000-00004B110000}"/>
    <cellStyle name="Normal 6 5" xfId="408" xr:uid="{00000000-0005-0000-0000-00004C110000}"/>
    <cellStyle name="Normal 6 5 2" xfId="437" xr:uid="{00000000-0005-0000-0000-00004D110000}"/>
    <cellStyle name="Normal 6 5 2 2" xfId="587" xr:uid="{00000000-0005-0000-0000-00004E110000}"/>
    <cellStyle name="Normal 6 5 2 2 2" xfId="5618" xr:uid="{00000000-0005-0000-0000-00004F110000}"/>
    <cellStyle name="Normal 6 5 2 3" xfId="5545" xr:uid="{00000000-0005-0000-0000-000050110000}"/>
    <cellStyle name="Normal 6 5 3" xfId="586" xr:uid="{00000000-0005-0000-0000-000051110000}"/>
    <cellStyle name="Normal 6 5 3 2" xfId="5617" xr:uid="{00000000-0005-0000-0000-000052110000}"/>
    <cellStyle name="Normal 6 5 4" xfId="5516" xr:uid="{00000000-0005-0000-0000-000053110000}"/>
    <cellStyle name="Normal 6 6" xfId="426" xr:uid="{00000000-0005-0000-0000-000054110000}"/>
    <cellStyle name="Normal 6 6 2" xfId="588" xr:uid="{00000000-0005-0000-0000-000055110000}"/>
    <cellStyle name="Normal 6 6 2 2" xfId="5619" xr:uid="{00000000-0005-0000-0000-000056110000}"/>
    <cellStyle name="Normal 6 6 3" xfId="5534" xr:uid="{00000000-0005-0000-0000-000057110000}"/>
    <cellStyle name="Normal 6 7" xfId="463" xr:uid="{00000000-0005-0000-0000-000058110000}"/>
    <cellStyle name="Normal 6 7 2" xfId="589" xr:uid="{00000000-0005-0000-0000-000059110000}"/>
    <cellStyle name="Normal 6 7 2 2" xfId="5620" xr:uid="{00000000-0005-0000-0000-00005A110000}"/>
    <cellStyle name="Normal 6 7 3" xfId="5557" xr:uid="{00000000-0005-0000-0000-00005B110000}"/>
    <cellStyle name="Normal 6 8" xfId="499" xr:uid="{00000000-0005-0000-0000-00005C110000}"/>
    <cellStyle name="Normal 6 8 2" xfId="590" xr:uid="{00000000-0005-0000-0000-00005D110000}"/>
    <cellStyle name="Normal 6 8 2 2" xfId="5621" xr:uid="{00000000-0005-0000-0000-00005E110000}"/>
    <cellStyle name="Normal 6 8 3" xfId="5564" xr:uid="{00000000-0005-0000-0000-00005F110000}"/>
    <cellStyle name="Normal 6 9" xfId="502" xr:uid="{00000000-0005-0000-0000-000060110000}"/>
    <cellStyle name="Normal 6 9 2" xfId="591" xr:uid="{00000000-0005-0000-0000-000061110000}"/>
    <cellStyle name="Normal 6 9 2 2" xfId="5622" xr:uid="{00000000-0005-0000-0000-000062110000}"/>
    <cellStyle name="Normal 6 9 3" xfId="5566" xr:uid="{00000000-0005-0000-0000-000063110000}"/>
    <cellStyle name="Normal 7" xfId="162" xr:uid="{00000000-0005-0000-0000-000064110000}"/>
    <cellStyle name="Normal 7 2" xfId="395" xr:uid="{00000000-0005-0000-0000-000065110000}"/>
    <cellStyle name="Normal 7 2 2" xfId="402" xr:uid="{00000000-0005-0000-0000-000066110000}"/>
    <cellStyle name="Normal 7 2 2 2" xfId="416" xr:uid="{00000000-0005-0000-0000-000067110000}"/>
    <cellStyle name="Normal 7 2 2 2 2" xfId="441" xr:uid="{00000000-0005-0000-0000-000068110000}"/>
    <cellStyle name="Normal 7 2 2 2 2 2" xfId="596" xr:uid="{00000000-0005-0000-0000-000069110000}"/>
    <cellStyle name="Normal 7 2 2 2 2 2 2" xfId="5627" xr:uid="{00000000-0005-0000-0000-00006A110000}"/>
    <cellStyle name="Normal 7 2 2 2 2 3" xfId="5549" xr:uid="{00000000-0005-0000-0000-00006B110000}"/>
    <cellStyle name="Normal 7 2 2 2 3" xfId="595" xr:uid="{00000000-0005-0000-0000-00006C110000}"/>
    <cellStyle name="Normal 7 2 2 2 3 2" xfId="5626" xr:uid="{00000000-0005-0000-0000-00006D110000}"/>
    <cellStyle name="Normal 7 2 2 2 4" xfId="5524" xr:uid="{00000000-0005-0000-0000-00006E110000}"/>
    <cellStyle name="Normal 7 2 2 3" xfId="440" xr:uid="{00000000-0005-0000-0000-00006F110000}"/>
    <cellStyle name="Normal 7 2 2 3 2" xfId="597" xr:uid="{00000000-0005-0000-0000-000070110000}"/>
    <cellStyle name="Normal 7 2 2 3 2 2" xfId="5628" xr:uid="{00000000-0005-0000-0000-000071110000}"/>
    <cellStyle name="Normal 7 2 2 3 3" xfId="5548" xr:uid="{00000000-0005-0000-0000-000072110000}"/>
    <cellStyle name="Normal 7 2 2 4" xfId="594" xr:uid="{00000000-0005-0000-0000-000073110000}"/>
    <cellStyle name="Normal 7 2 2 4 2" xfId="5625" xr:uid="{00000000-0005-0000-0000-000074110000}"/>
    <cellStyle name="Normal 7 2 2 5" xfId="5510" xr:uid="{00000000-0005-0000-0000-000075110000}"/>
    <cellStyle name="Normal 7 2 3" xfId="415" xr:uid="{00000000-0005-0000-0000-000076110000}"/>
    <cellStyle name="Normal 7 2 3 2" xfId="442" xr:uid="{00000000-0005-0000-0000-000077110000}"/>
    <cellStyle name="Normal 7 2 3 2 2" xfId="599" xr:uid="{00000000-0005-0000-0000-000078110000}"/>
    <cellStyle name="Normal 7 2 3 2 2 2" xfId="5630" xr:uid="{00000000-0005-0000-0000-000079110000}"/>
    <cellStyle name="Normal 7 2 3 2 3" xfId="5550" xr:uid="{00000000-0005-0000-0000-00007A110000}"/>
    <cellStyle name="Normal 7 2 3 3" xfId="598" xr:uid="{00000000-0005-0000-0000-00007B110000}"/>
    <cellStyle name="Normal 7 2 3 3 2" xfId="5629" xr:uid="{00000000-0005-0000-0000-00007C110000}"/>
    <cellStyle name="Normal 7 2 3 4" xfId="5523" xr:uid="{00000000-0005-0000-0000-00007D110000}"/>
    <cellStyle name="Normal 7 2 4" xfId="439" xr:uid="{00000000-0005-0000-0000-00007E110000}"/>
    <cellStyle name="Normal 7 2 4 2" xfId="600" xr:uid="{00000000-0005-0000-0000-00007F110000}"/>
    <cellStyle name="Normal 7 2 4 2 2" xfId="5631" xr:uid="{00000000-0005-0000-0000-000080110000}"/>
    <cellStyle name="Normal 7 2 4 3" xfId="5547" xr:uid="{00000000-0005-0000-0000-000081110000}"/>
    <cellStyle name="Normal 7 2 5" xfId="531" xr:uid="{00000000-0005-0000-0000-000082110000}"/>
    <cellStyle name="Normal 7 2 5 2" xfId="601" xr:uid="{00000000-0005-0000-0000-000083110000}"/>
    <cellStyle name="Normal 7 2 5 2 2" xfId="5632" xr:uid="{00000000-0005-0000-0000-000084110000}"/>
    <cellStyle name="Normal 7 2 5 3" xfId="5572" xr:uid="{00000000-0005-0000-0000-000085110000}"/>
    <cellStyle name="Normal 7 2 6" xfId="593" xr:uid="{00000000-0005-0000-0000-000086110000}"/>
    <cellStyle name="Normal 7 2 6 2" xfId="5624" xr:uid="{00000000-0005-0000-0000-000087110000}"/>
    <cellStyle name="Normal 7 2 7" xfId="5503" xr:uid="{00000000-0005-0000-0000-000088110000}"/>
    <cellStyle name="Normal 7 3" xfId="399" xr:uid="{00000000-0005-0000-0000-000089110000}"/>
    <cellStyle name="Normal 7 3 2" xfId="417" xr:uid="{00000000-0005-0000-0000-00008A110000}"/>
    <cellStyle name="Normal 7 3 2 2" xfId="444" xr:uid="{00000000-0005-0000-0000-00008B110000}"/>
    <cellStyle name="Normal 7 3 2 2 2" xfId="604" xr:uid="{00000000-0005-0000-0000-00008C110000}"/>
    <cellStyle name="Normal 7 3 2 2 2 2" xfId="5635" xr:uid="{00000000-0005-0000-0000-00008D110000}"/>
    <cellStyle name="Normal 7 3 2 2 3" xfId="5552" xr:uid="{00000000-0005-0000-0000-00008E110000}"/>
    <cellStyle name="Normal 7 3 2 3" xfId="603" xr:uid="{00000000-0005-0000-0000-00008F110000}"/>
    <cellStyle name="Normal 7 3 2 3 2" xfId="5634" xr:uid="{00000000-0005-0000-0000-000090110000}"/>
    <cellStyle name="Normal 7 3 2 4" xfId="5525" xr:uid="{00000000-0005-0000-0000-000091110000}"/>
    <cellStyle name="Normal 7 3 3" xfId="443" xr:uid="{00000000-0005-0000-0000-000092110000}"/>
    <cellStyle name="Normal 7 3 3 2" xfId="605" xr:uid="{00000000-0005-0000-0000-000093110000}"/>
    <cellStyle name="Normal 7 3 3 2 2" xfId="5636" xr:uid="{00000000-0005-0000-0000-000094110000}"/>
    <cellStyle name="Normal 7 3 3 3" xfId="5551" xr:uid="{00000000-0005-0000-0000-000095110000}"/>
    <cellStyle name="Normal 7 3 4" xfId="602" xr:uid="{00000000-0005-0000-0000-000096110000}"/>
    <cellStyle name="Normal 7 3 4 2" xfId="5633" xr:uid="{00000000-0005-0000-0000-000097110000}"/>
    <cellStyle name="Normal 7 3 5" xfId="5507" xr:uid="{00000000-0005-0000-0000-000098110000}"/>
    <cellStyle name="Normal 7 4" xfId="414" xr:uid="{00000000-0005-0000-0000-000099110000}"/>
    <cellStyle name="Normal 7 4 2" xfId="445" xr:uid="{00000000-0005-0000-0000-00009A110000}"/>
    <cellStyle name="Normal 7 4 2 2" xfId="607" xr:uid="{00000000-0005-0000-0000-00009B110000}"/>
    <cellStyle name="Normal 7 4 2 2 2" xfId="5638" xr:uid="{00000000-0005-0000-0000-00009C110000}"/>
    <cellStyle name="Normal 7 4 2 3" xfId="5553" xr:uid="{00000000-0005-0000-0000-00009D110000}"/>
    <cellStyle name="Normal 7 4 3" xfId="606" xr:uid="{00000000-0005-0000-0000-00009E110000}"/>
    <cellStyle name="Normal 7 4 3 2" xfId="5637" xr:uid="{00000000-0005-0000-0000-00009F110000}"/>
    <cellStyle name="Normal 7 4 4" xfId="5522" xr:uid="{00000000-0005-0000-0000-0000A0110000}"/>
    <cellStyle name="Normal 7 5" xfId="438" xr:uid="{00000000-0005-0000-0000-0000A1110000}"/>
    <cellStyle name="Normal 7 5 2" xfId="608" xr:uid="{00000000-0005-0000-0000-0000A2110000}"/>
    <cellStyle name="Normal 7 5 2 2" xfId="5639" xr:uid="{00000000-0005-0000-0000-0000A3110000}"/>
    <cellStyle name="Normal 7 5 3" xfId="5546" xr:uid="{00000000-0005-0000-0000-0000A4110000}"/>
    <cellStyle name="Normal 7 6" xfId="451" xr:uid="{00000000-0005-0000-0000-0000A5110000}"/>
    <cellStyle name="Normal 7 7" xfId="592" xr:uid="{00000000-0005-0000-0000-0000A6110000}"/>
    <cellStyle name="Normal 7 7 2" xfId="5623" xr:uid="{00000000-0005-0000-0000-0000A7110000}"/>
    <cellStyle name="Normal 7 8" xfId="392" xr:uid="{00000000-0005-0000-0000-0000A8110000}"/>
    <cellStyle name="Normal 7 8 2" xfId="5500" xr:uid="{00000000-0005-0000-0000-0000A9110000}"/>
    <cellStyle name="Normal 8" xfId="338" xr:uid="{00000000-0005-0000-0000-0000AA110000}"/>
    <cellStyle name="Normal 8 2" xfId="533" xr:uid="{00000000-0005-0000-0000-0000AB110000}"/>
    <cellStyle name="Normal 8 2 2" xfId="6026" xr:uid="{F9074BF6-FC3D-4711-93F9-F7AF2098FAEC}"/>
    <cellStyle name="Normal 8 3" xfId="532" xr:uid="{00000000-0005-0000-0000-0000AC110000}"/>
    <cellStyle name="Normal 8 4" xfId="6020" xr:uid="{FF16A42A-3D8C-4620-A472-A34FCE5BC3D5}"/>
    <cellStyle name="Normal 9" xfId="446" xr:uid="{00000000-0005-0000-0000-0000AD110000}"/>
    <cellStyle name="Normal 9 2" xfId="609" xr:uid="{00000000-0005-0000-0000-0000AE110000}"/>
    <cellStyle name="Normal 9 2 2" xfId="5640" xr:uid="{00000000-0005-0000-0000-0000AF110000}"/>
    <cellStyle name="Normal 9 3" xfId="5554" xr:uid="{00000000-0005-0000-0000-0000B0110000}"/>
    <cellStyle name="Normal GHG Numbers (0.00)" xfId="83" xr:uid="{00000000-0005-0000-0000-0000B1110000}"/>
    <cellStyle name="Normal GHG Numbers (0.00) 2" xfId="84" xr:uid="{00000000-0005-0000-0000-0000B2110000}"/>
    <cellStyle name="Normal GHG Numbers (0.00) 2 2" xfId="261" xr:uid="{00000000-0005-0000-0000-0000B3110000}"/>
    <cellStyle name="Normal GHG Numbers (0.00) 2 3" xfId="6017" xr:uid="{2FC8A718-64DA-4433-827D-6A35569A4025}"/>
    <cellStyle name="Normal GHG Numbers (0.00) 3" xfId="262" xr:uid="{00000000-0005-0000-0000-0000B4110000}"/>
    <cellStyle name="Normal GHG Numbers (0.00) 3 2" xfId="534" xr:uid="{00000000-0005-0000-0000-0000B5110000}"/>
    <cellStyle name="Normal GHG Numbers (0.00) 3 2 2" xfId="683" xr:uid="{00000000-0005-0000-0000-0000B6110000}"/>
    <cellStyle name="Normal GHG Numbers (0.00) 3 2 2 10" xfId="3384" xr:uid="{00000000-0005-0000-0000-0000B7110000}"/>
    <cellStyle name="Normal GHG Numbers (0.00) 3 2 2 11" xfId="3954" xr:uid="{00000000-0005-0000-0000-0000B8110000}"/>
    <cellStyle name="Normal GHG Numbers (0.00) 3 2 2 12" xfId="3644" xr:uid="{00000000-0005-0000-0000-0000B9110000}"/>
    <cellStyle name="Normal GHG Numbers (0.00) 3 2 2 13" xfId="4754" xr:uid="{00000000-0005-0000-0000-0000BA110000}"/>
    <cellStyle name="Normal GHG Numbers (0.00) 3 2 2 14" xfId="5134" xr:uid="{00000000-0005-0000-0000-0000BB110000}"/>
    <cellStyle name="Normal GHG Numbers (0.00) 3 2 2 15" xfId="5711" xr:uid="{00000000-0005-0000-0000-0000BC110000}"/>
    <cellStyle name="Normal GHG Numbers (0.00) 3 2 2 2" xfId="1161" xr:uid="{00000000-0005-0000-0000-0000BD110000}"/>
    <cellStyle name="Normal GHG Numbers (0.00) 3 2 2 2 2" xfId="4168" xr:uid="{00000000-0005-0000-0000-0000BE110000}"/>
    <cellStyle name="Normal GHG Numbers (0.00) 3 2 2 2 3" xfId="3694" xr:uid="{00000000-0005-0000-0000-0000BF110000}"/>
    <cellStyle name="Normal GHG Numbers (0.00) 3 2 2 2 4" xfId="4966" xr:uid="{00000000-0005-0000-0000-0000C0110000}"/>
    <cellStyle name="Normal GHG Numbers (0.00) 3 2 2 2 5" xfId="5340" xr:uid="{00000000-0005-0000-0000-0000C1110000}"/>
    <cellStyle name="Normal GHG Numbers (0.00) 3 2 2 2 6" xfId="5917" xr:uid="{00000000-0005-0000-0000-0000C2110000}"/>
    <cellStyle name="Normal GHG Numbers (0.00) 3 2 2 3" xfId="1598" xr:uid="{00000000-0005-0000-0000-0000C3110000}"/>
    <cellStyle name="Normal GHG Numbers (0.00) 3 2 2 4" xfId="1870" xr:uid="{00000000-0005-0000-0000-0000C4110000}"/>
    <cellStyle name="Normal GHG Numbers (0.00) 3 2 2 5" xfId="157" xr:uid="{00000000-0005-0000-0000-0000C5110000}"/>
    <cellStyle name="Normal GHG Numbers (0.00) 3 2 2 6" xfId="2428" xr:uid="{00000000-0005-0000-0000-0000C6110000}"/>
    <cellStyle name="Normal GHG Numbers (0.00) 3 2 2 7" xfId="2608" xr:uid="{00000000-0005-0000-0000-0000C7110000}"/>
    <cellStyle name="Normal GHG Numbers (0.00) 3 2 2 8" xfId="2982" xr:uid="{00000000-0005-0000-0000-0000C8110000}"/>
    <cellStyle name="Normal GHG Numbers (0.00) 3 2 2 9" xfId="3150" xr:uid="{00000000-0005-0000-0000-0000C9110000}"/>
    <cellStyle name="Normal GHG Numbers (0.00) 3 2 3" xfId="902" xr:uid="{00000000-0005-0000-0000-0000CA110000}"/>
    <cellStyle name="Normal GHG Numbers (0.00) 3 2 3 2" xfId="4094" xr:uid="{00000000-0005-0000-0000-0000CB110000}"/>
    <cellStyle name="Normal GHG Numbers (0.00) 3 2 3 3" xfId="4390" xr:uid="{00000000-0005-0000-0000-0000CC110000}"/>
    <cellStyle name="Normal GHG Numbers (0.00) 3 2 3 4" xfId="4892" xr:uid="{00000000-0005-0000-0000-0000CD110000}"/>
    <cellStyle name="Normal GHG Numbers (0.00) 3 2 3 5" xfId="5266" xr:uid="{00000000-0005-0000-0000-0000CE110000}"/>
    <cellStyle name="Normal GHG Numbers (0.00) 3 2 3 6" xfId="5843" xr:uid="{00000000-0005-0000-0000-0000CF110000}"/>
    <cellStyle name="Normal GHG Numbers (0.00) 3 3" xfId="464" xr:uid="{00000000-0005-0000-0000-0000D0110000}"/>
    <cellStyle name="Normal GHG Numbers (0.00) 3 3 10" xfId="964" xr:uid="{00000000-0005-0000-0000-0000D1110000}"/>
    <cellStyle name="Normal GHG Numbers (0.00) 3 3 11" xfId="2887" xr:uid="{00000000-0005-0000-0000-0000D2110000}"/>
    <cellStyle name="Normal GHG Numbers (0.00) 3 3 12" xfId="2826" xr:uid="{00000000-0005-0000-0000-0000D3110000}"/>
    <cellStyle name="Normal GHG Numbers (0.00) 3 3 13" xfId="3299" xr:uid="{00000000-0005-0000-0000-0000D4110000}"/>
    <cellStyle name="Normal GHG Numbers (0.00) 3 3 14" xfId="3789" xr:uid="{00000000-0005-0000-0000-0000D5110000}"/>
    <cellStyle name="Normal GHG Numbers (0.00) 3 3 15" xfId="4332" xr:uid="{00000000-0005-0000-0000-0000D6110000}"/>
    <cellStyle name="Normal GHG Numbers (0.00) 3 3 16" xfId="4649" xr:uid="{00000000-0005-0000-0000-0000D7110000}"/>
    <cellStyle name="Normal GHG Numbers (0.00) 3 3 17" xfId="4609" xr:uid="{00000000-0005-0000-0000-0000D8110000}"/>
    <cellStyle name="Normal GHG Numbers (0.00) 3 3 18" xfId="5558" xr:uid="{00000000-0005-0000-0000-0000D9110000}"/>
    <cellStyle name="Normal GHG Numbers (0.00) 3 3 2" xfId="742" xr:uid="{00000000-0005-0000-0000-0000DA110000}"/>
    <cellStyle name="Normal GHG Numbers (0.00) 3 3 2 10" xfId="3443" xr:uid="{00000000-0005-0000-0000-0000DB110000}"/>
    <cellStyle name="Normal GHG Numbers (0.00) 3 3 2 11" xfId="4013" xr:uid="{00000000-0005-0000-0000-0000DC110000}"/>
    <cellStyle name="Normal GHG Numbers (0.00) 3 3 2 12" xfId="3610" xr:uid="{00000000-0005-0000-0000-0000DD110000}"/>
    <cellStyle name="Normal GHG Numbers (0.00) 3 3 2 13" xfId="4813" xr:uid="{00000000-0005-0000-0000-0000DE110000}"/>
    <cellStyle name="Normal GHG Numbers (0.00) 3 3 2 14" xfId="5193" xr:uid="{00000000-0005-0000-0000-0000DF110000}"/>
    <cellStyle name="Normal GHG Numbers (0.00) 3 3 2 15" xfId="5770" xr:uid="{00000000-0005-0000-0000-0000E0110000}"/>
    <cellStyle name="Normal GHG Numbers (0.00) 3 3 2 2" xfId="1423" xr:uid="{00000000-0005-0000-0000-0000E1110000}"/>
    <cellStyle name="Normal GHG Numbers (0.00) 3 3 2 2 2" xfId="4227" xr:uid="{00000000-0005-0000-0000-0000E2110000}"/>
    <cellStyle name="Normal GHG Numbers (0.00) 3 3 2 2 3" xfId="3797" xr:uid="{00000000-0005-0000-0000-0000E3110000}"/>
    <cellStyle name="Normal GHG Numbers (0.00) 3 3 2 2 4" xfId="5025" xr:uid="{00000000-0005-0000-0000-0000E4110000}"/>
    <cellStyle name="Normal GHG Numbers (0.00) 3 3 2 2 5" xfId="5399" xr:uid="{00000000-0005-0000-0000-0000E5110000}"/>
    <cellStyle name="Normal GHG Numbers (0.00) 3 3 2 2 6" xfId="5976" xr:uid="{00000000-0005-0000-0000-0000E6110000}"/>
    <cellStyle name="Normal GHG Numbers (0.00) 3 3 2 3" xfId="1657" xr:uid="{00000000-0005-0000-0000-0000E7110000}"/>
    <cellStyle name="Normal GHG Numbers (0.00) 3 3 2 4" xfId="1929" xr:uid="{00000000-0005-0000-0000-0000E8110000}"/>
    <cellStyle name="Normal GHG Numbers (0.00) 3 3 2 5" xfId="2308" xr:uid="{00000000-0005-0000-0000-0000E9110000}"/>
    <cellStyle name="Normal GHG Numbers (0.00) 3 3 2 6" xfId="2487" xr:uid="{00000000-0005-0000-0000-0000EA110000}"/>
    <cellStyle name="Normal GHG Numbers (0.00) 3 3 2 7" xfId="2667" xr:uid="{00000000-0005-0000-0000-0000EB110000}"/>
    <cellStyle name="Normal GHG Numbers (0.00) 3 3 2 8" xfId="3041" xr:uid="{00000000-0005-0000-0000-0000EC110000}"/>
    <cellStyle name="Normal GHG Numbers (0.00) 3 3 2 9" xfId="3209" xr:uid="{00000000-0005-0000-0000-0000ED110000}"/>
    <cellStyle name="Normal GHG Numbers (0.00) 3 3 3" xfId="639" xr:uid="{00000000-0005-0000-0000-0000EE110000}"/>
    <cellStyle name="Normal GHG Numbers (0.00) 3 3 3 10" xfId="3340" xr:uid="{00000000-0005-0000-0000-0000EF110000}"/>
    <cellStyle name="Normal GHG Numbers (0.00) 3 3 3 11" xfId="3910" xr:uid="{00000000-0005-0000-0000-0000F0110000}"/>
    <cellStyle name="Normal GHG Numbers (0.00) 3 3 3 12" xfId="3857" xr:uid="{00000000-0005-0000-0000-0000F1110000}"/>
    <cellStyle name="Normal GHG Numbers (0.00) 3 3 3 13" xfId="4710" xr:uid="{00000000-0005-0000-0000-0000F2110000}"/>
    <cellStyle name="Normal GHG Numbers (0.00) 3 3 3 14" xfId="5090" xr:uid="{00000000-0005-0000-0000-0000F3110000}"/>
    <cellStyle name="Normal GHG Numbers (0.00) 3 3 3 15" xfId="5667" xr:uid="{00000000-0005-0000-0000-0000F4110000}"/>
    <cellStyle name="Normal GHG Numbers (0.00) 3 3 3 2" xfId="1208" xr:uid="{00000000-0005-0000-0000-0000F5110000}"/>
    <cellStyle name="Normal GHG Numbers (0.00) 3 3 3 2 2" xfId="4124" xr:uid="{00000000-0005-0000-0000-0000F6110000}"/>
    <cellStyle name="Normal GHG Numbers (0.00) 3 3 3 2 3" xfId="3780" xr:uid="{00000000-0005-0000-0000-0000F7110000}"/>
    <cellStyle name="Normal GHG Numbers (0.00) 3 3 3 2 4" xfId="4922" xr:uid="{00000000-0005-0000-0000-0000F8110000}"/>
    <cellStyle name="Normal GHG Numbers (0.00) 3 3 3 2 5" xfId="5296" xr:uid="{00000000-0005-0000-0000-0000F9110000}"/>
    <cellStyle name="Normal GHG Numbers (0.00) 3 3 3 2 6" xfId="5873" xr:uid="{00000000-0005-0000-0000-0000FA110000}"/>
    <cellStyle name="Normal GHG Numbers (0.00) 3 3 3 3" xfId="1554" xr:uid="{00000000-0005-0000-0000-0000FB110000}"/>
    <cellStyle name="Normal GHG Numbers (0.00) 3 3 3 4" xfId="1829" xr:uid="{00000000-0005-0000-0000-0000FC110000}"/>
    <cellStyle name="Normal GHG Numbers (0.00) 3 3 3 5" xfId="2045" xr:uid="{00000000-0005-0000-0000-0000FD110000}"/>
    <cellStyle name="Normal GHG Numbers (0.00) 3 3 3 6" xfId="2384" xr:uid="{00000000-0005-0000-0000-0000FE110000}"/>
    <cellStyle name="Normal GHG Numbers (0.00) 3 3 3 7" xfId="2564" xr:uid="{00000000-0005-0000-0000-0000FF110000}"/>
    <cellStyle name="Normal GHG Numbers (0.00) 3 3 3 8" xfId="2938" xr:uid="{00000000-0005-0000-0000-000000120000}"/>
    <cellStyle name="Normal GHG Numbers (0.00) 3 3 3 9" xfId="3106" xr:uid="{00000000-0005-0000-0000-000001120000}"/>
    <cellStyle name="Normal GHG Numbers (0.00) 3 3 4" xfId="772" xr:uid="{00000000-0005-0000-0000-000002120000}"/>
    <cellStyle name="Normal GHG Numbers (0.00) 3 3 4 10" xfId="3473" xr:uid="{00000000-0005-0000-0000-000003120000}"/>
    <cellStyle name="Normal GHG Numbers (0.00) 3 3 4 11" xfId="4043" xr:uid="{00000000-0005-0000-0000-000004120000}"/>
    <cellStyle name="Normal GHG Numbers (0.00) 3 3 4 12" xfId="4491" xr:uid="{00000000-0005-0000-0000-000005120000}"/>
    <cellStyle name="Normal GHG Numbers (0.00) 3 3 4 13" xfId="4843" xr:uid="{00000000-0005-0000-0000-000006120000}"/>
    <cellStyle name="Normal GHG Numbers (0.00) 3 3 4 14" xfId="5223" xr:uid="{00000000-0005-0000-0000-000007120000}"/>
    <cellStyle name="Normal GHG Numbers (0.00) 3 3 4 15" xfId="5800" xr:uid="{00000000-0005-0000-0000-000008120000}"/>
    <cellStyle name="Normal GHG Numbers (0.00) 3 3 4 2" xfId="1453" xr:uid="{00000000-0005-0000-0000-000009120000}"/>
    <cellStyle name="Normal GHG Numbers (0.00) 3 3 4 2 2" xfId="4257" xr:uid="{00000000-0005-0000-0000-00000A120000}"/>
    <cellStyle name="Normal GHG Numbers (0.00) 3 3 4 2 3" xfId="4516" xr:uid="{00000000-0005-0000-0000-00000B120000}"/>
    <cellStyle name="Normal GHG Numbers (0.00) 3 3 4 2 4" xfId="5055" xr:uid="{00000000-0005-0000-0000-00000C120000}"/>
    <cellStyle name="Normal GHG Numbers (0.00) 3 3 4 2 5" xfId="5429" xr:uid="{00000000-0005-0000-0000-00000D120000}"/>
    <cellStyle name="Normal GHG Numbers (0.00) 3 3 4 2 6" xfId="6006" xr:uid="{00000000-0005-0000-0000-00000E120000}"/>
    <cellStyle name="Normal GHG Numbers (0.00) 3 3 4 3" xfId="1687" xr:uid="{00000000-0005-0000-0000-00000F120000}"/>
    <cellStyle name="Normal GHG Numbers (0.00) 3 3 4 4" xfId="1959" xr:uid="{00000000-0005-0000-0000-000010120000}"/>
    <cellStyle name="Normal GHG Numbers (0.00) 3 3 4 5" xfId="2338" xr:uid="{00000000-0005-0000-0000-000011120000}"/>
    <cellStyle name="Normal GHG Numbers (0.00) 3 3 4 6" xfId="2517" xr:uid="{00000000-0005-0000-0000-000012120000}"/>
    <cellStyle name="Normal GHG Numbers (0.00) 3 3 4 7" xfId="2697" xr:uid="{00000000-0005-0000-0000-000013120000}"/>
    <cellStyle name="Normal GHG Numbers (0.00) 3 3 4 8" xfId="3071" xr:uid="{00000000-0005-0000-0000-000014120000}"/>
    <cellStyle name="Normal GHG Numbers (0.00) 3 3 4 9" xfId="3239" xr:uid="{00000000-0005-0000-0000-000015120000}"/>
    <cellStyle name="Normal GHG Numbers (0.00) 3 3 5" xfId="1122" xr:uid="{00000000-0005-0000-0000-000016120000}"/>
    <cellStyle name="Normal GHG Numbers (0.00) 3 3 6" xfId="944" xr:uid="{00000000-0005-0000-0000-000017120000}"/>
    <cellStyle name="Normal GHG Numbers (0.00) 3 3 7" xfId="1761" xr:uid="{00000000-0005-0000-0000-000018120000}"/>
    <cellStyle name="Normal GHG Numbers (0.00) 3 3 8" xfId="1060" xr:uid="{00000000-0005-0000-0000-000019120000}"/>
    <cellStyle name="Normal GHG Numbers (0.00) 3 3 9" xfId="2146" xr:uid="{00000000-0005-0000-0000-00001A120000}"/>
    <cellStyle name="Normal GHG Numbers (0.00) 3 4" xfId="952" xr:uid="{00000000-0005-0000-0000-00001B120000}"/>
    <cellStyle name="Normal GHG Numbers (0.00) 3 4 2" xfId="3664" xr:uid="{00000000-0005-0000-0000-00001C120000}"/>
    <cellStyle name="Normal GHG Numbers (0.00) 3 4 3" xfId="4596" xr:uid="{00000000-0005-0000-0000-00001D120000}"/>
    <cellStyle name="Normal GHG Textfiels Bold" xfId="85" xr:uid="{00000000-0005-0000-0000-00001E120000}"/>
    <cellStyle name="Normal GHG Textfiels Bold 2" xfId="86" xr:uid="{00000000-0005-0000-0000-00001F120000}"/>
    <cellStyle name="Normal GHG Textfiels Bold 2 2" xfId="263" xr:uid="{00000000-0005-0000-0000-000020120000}"/>
    <cellStyle name="Normal GHG Textfiels Bold 3" xfId="264" xr:uid="{00000000-0005-0000-0000-000021120000}"/>
    <cellStyle name="Normal GHG Textfiels Bold 3 2" xfId="535" xr:uid="{00000000-0005-0000-0000-000022120000}"/>
    <cellStyle name="Normal GHG Textfiels Bold 3 2 2" xfId="627" xr:uid="{00000000-0005-0000-0000-000023120000}"/>
    <cellStyle name="Normal GHG Textfiels Bold 3 2 2 10" xfId="3328" xr:uid="{00000000-0005-0000-0000-000024120000}"/>
    <cellStyle name="Normal GHG Textfiels Bold 3 2 2 11" xfId="3898" xr:uid="{00000000-0005-0000-0000-000025120000}"/>
    <cellStyle name="Normal GHG Textfiels Bold 3 2 2 12" xfId="4452" xr:uid="{00000000-0005-0000-0000-000026120000}"/>
    <cellStyle name="Normal GHG Textfiels Bold 3 2 2 13" xfId="4698" xr:uid="{00000000-0005-0000-0000-000027120000}"/>
    <cellStyle name="Normal GHG Textfiels Bold 3 2 2 14" xfId="5078" xr:uid="{00000000-0005-0000-0000-000028120000}"/>
    <cellStyle name="Normal GHG Textfiels Bold 3 2 2 15" xfId="5655" xr:uid="{00000000-0005-0000-0000-000029120000}"/>
    <cellStyle name="Normal GHG Textfiels Bold 3 2 2 2" xfId="1246" xr:uid="{00000000-0005-0000-0000-00002A120000}"/>
    <cellStyle name="Normal GHG Textfiels Bold 3 2 2 2 2" xfId="4112" xr:uid="{00000000-0005-0000-0000-00002B120000}"/>
    <cellStyle name="Normal GHG Textfiels Bold 3 2 2 2 3" xfId="3627" xr:uid="{00000000-0005-0000-0000-00002C120000}"/>
    <cellStyle name="Normal GHG Textfiels Bold 3 2 2 2 4" xfId="4910" xr:uid="{00000000-0005-0000-0000-00002D120000}"/>
    <cellStyle name="Normal GHG Textfiels Bold 3 2 2 2 5" xfId="5284" xr:uid="{00000000-0005-0000-0000-00002E120000}"/>
    <cellStyle name="Normal GHG Textfiels Bold 3 2 2 2 6" xfId="5861" xr:uid="{00000000-0005-0000-0000-00002F120000}"/>
    <cellStyle name="Normal GHG Textfiels Bold 3 2 2 3" xfId="1542" xr:uid="{00000000-0005-0000-0000-000030120000}"/>
    <cellStyle name="Normal GHG Textfiels Bold 3 2 2 4" xfId="1476" xr:uid="{00000000-0005-0000-0000-000031120000}"/>
    <cellStyle name="Normal GHG Textfiels Bold 3 2 2 5" xfId="1494" xr:uid="{00000000-0005-0000-0000-000032120000}"/>
    <cellStyle name="Normal GHG Textfiels Bold 3 2 2 6" xfId="2372" xr:uid="{00000000-0005-0000-0000-000033120000}"/>
    <cellStyle name="Normal GHG Textfiels Bold 3 2 2 7" xfId="2552" xr:uid="{00000000-0005-0000-0000-000034120000}"/>
    <cellStyle name="Normal GHG Textfiels Bold 3 2 2 8" xfId="2926" xr:uid="{00000000-0005-0000-0000-000035120000}"/>
    <cellStyle name="Normal GHG Textfiels Bold 3 2 2 9" xfId="3094" xr:uid="{00000000-0005-0000-0000-000036120000}"/>
    <cellStyle name="Normal GHG Textfiels Bold 3 2 3" xfId="1021" xr:uid="{00000000-0005-0000-0000-000037120000}"/>
    <cellStyle name="Normal GHG Textfiels Bold 3 2 3 2" xfId="4095" xr:uid="{00000000-0005-0000-0000-000038120000}"/>
    <cellStyle name="Normal GHG Textfiels Bold 3 2 3 3" xfId="4500" xr:uid="{00000000-0005-0000-0000-000039120000}"/>
    <cellStyle name="Normal GHG Textfiels Bold 3 2 3 4" xfId="4893" xr:uid="{00000000-0005-0000-0000-00003A120000}"/>
    <cellStyle name="Normal GHG Textfiels Bold 3 2 3 5" xfId="5267" xr:uid="{00000000-0005-0000-0000-00003B120000}"/>
    <cellStyle name="Normal GHG Textfiels Bold 3 2 3 6" xfId="5844" xr:uid="{00000000-0005-0000-0000-00003C120000}"/>
    <cellStyle name="Normal GHG Textfiels Bold 3 3" xfId="465" xr:uid="{00000000-0005-0000-0000-00003D120000}"/>
    <cellStyle name="Normal GHG Textfiels Bold 3 3 10" xfId="2173" xr:uid="{00000000-0005-0000-0000-00003E120000}"/>
    <cellStyle name="Normal GHG Textfiels Bold 3 3 11" xfId="2888" xr:uid="{00000000-0005-0000-0000-00003F120000}"/>
    <cellStyle name="Normal GHG Textfiels Bold 3 3 12" xfId="2849" xr:uid="{00000000-0005-0000-0000-000040120000}"/>
    <cellStyle name="Normal GHG Textfiels Bold 3 3 13" xfId="3300" xr:uid="{00000000-0005-0000-0000-000041120000}"/>
    <cellStyle name="Normal GHG Textfiels Bold 3 3 14" xfId="3790" xr:uid="{00000000-0005-0000-0000-000042120000}"/>
    <cellStyle name="Normal GHG Textfiels Bold 3 3 15" xfId="3770" xr:uid="{00000000-0005-0000-0000-000043120000}"/>
    <cellStyle name="Normal GHG Textfiels Bold 3 3 16" xfId="4650" xr:uid="{00000000-0005-0000-0000-000044120000}"/>
    <cellStyle name="Normal GHG Textfiels Bold 3 3 17" xfId="4652" xr:uid="{00000000-0005-0000-0000-000045120000}"/>
    <cellStyle name="Normal GHG Textfiels Bold 3 3 18" xfId="5559" xr:uid="{00000000-0005-0000-0000-000046120000}"/>
    <cellStyle name="Normal GHG Textfiels Bold 3 3 2" xfId="743" xr:uid="{00000000-0005-0000-0000-000047120000}"/>
    <cellStyle name="Normal GHG Textfiels Bold 3 3 2 10" xfId="3444" xr:uid="{00000000-0005-0000-0000-000048120000}"/>
    <cellStyle name="Normal GHG Textfiels Bold 3 3 2 11" xfId="4014" xr:uid="{00000000-0005-0000-0000-000049120000}"/>
    <cellStyle name="Normal GHG Textfiels Bold 3 3 2 12" xfId="3689" xr:uid="{00000000-0005-0000-0000-00004A120000}"/>
    <cellStyle name="Normal GHG Textfiels Bold 3 3 2 13" xfId="4814" xr:uid="{00000000-0005-0000-0000-00004B120000}"/>
    <cellStyle name="Normal GHG Textfiels Bold 3 3 2 14" xfId="5194" xr:uid="{00000000-0005-0000-0000-00004C120000}"/>
    <cellStyle name="Normal GHG Textfiels Bold 3 3 2 15" xfId="5771" xr:uid="{00000000-0005-0000-0000-00004D120000}"/>
    <cellStyle name="Normal GHG Textfiels Bold 3 3 2 2" xfId="1424" xr:uid="{00000000-0005-0000-0000-00004E120000}"/>
    <cellStyle name="Normal GHG Textfiels Bold 3 3 2 2 2" xfId="4228" xr:uid="{00000000-0005-0000-0000-00004F120000}"/>
    <cellStyle name="Normal GHG Textfiels Bold 3 3 2 2 3" xfId="4456" xr:uid="{00000000-0005-0000-0000-000050120000}"/>
    <cellStyle name="Normal GHG Textfiels Bold 3 3 2 2 4" xfId="5026" xr:uid="{00000000-0005-0000-0000-000051120000}"/>
    <cellStyle name="Normal GHG Textfiels Bold 3 3 2 2 5" xfId="5400" xr:uid="{00000000-0005-0000-0000-000052120000}"/>
    <cellStyle name="Normal GHG Textfiels Bold 3 3 2 2 6" xfId="5977" xr:uid="{00000000-0005-0000-0000-000053120000}"/>
    <cellStyle name="Normal GHG Textfiels Bold 3 3 2 3" xfId="1658" xr:uid="{00000000-0005-0000-0000-000054120000}"/>
    <cellStyle name="Normal GHG Textfiels Bold 3 3 2 4" xfId="1930" xr:uid="{00000000-0005-0000-0000-000055120000}"/>
    <cellStyle name="Normal GHG Textfiels Bold 3 3 2 5" xfId="2309" xr:uid="{00000000-0005-0000-0000-000056120000}"/>
    <cellStyle name="Normal GHG Textfiels Bold 3 3 2 6" xfId="2488" xr:uid="{00000000-0005-0000-0000-000057120000}"/>
    <cellStyle name="Normal GHG Textfiels Bold 3 3 2 7" xfId="2668" xr:uid="{00000000-0005-0000-0000-000058120000}"/>
    <cellStyle name="Normal GHG Textfiels Bold 3 3 2 8" xfId="3042" xr:uid="{00000000-0005-0000-0000-000059120000}"/>
    <cellStyle name="Normal GHG Textfiels Bold 3 3 2 9" xfId="3210" xr:uid="{00000000-0005-0000-0000-00005A120000}"/>
    <cellStyle name="Normal GHG Textfiels Bold 3 3 3" xfId="686" xr:uid="{00000000-0005-0000-0000-00005B120000}"/>
    <cellStyle name="Normal GHG Textfiels Bold 3 3 3 10" xfId="3387" xr:uid="{00000000-0005-0000-0000-00005C120000}"/>
    <cellStyle name="Normal GHG Textfiels Bold 3 3 3 11" xfId="3957" xr:uid="{00000000-0005-0000-0000-00005D120000}"/>
    <cellStyle name="Normal GHG Textfiels Bold 3 3 3 12" xfId="3561" xr:uid="{00000000-0005-0000-0000-00005E120000}"/>
    <cellStyle name="Normal GHG Textfiels Bold 3 3 3 13" xfId="4757" xr:uid="{00000000-0005-0000-0000-00005F120000}"/>
    <cellStyle name="Normal GHG Textfiels Bold 3 3 3 14" xfId="5137" xr:uid="{00000000-0005-0000-0000-000060120000}"/>
    <cellStyle name="Normal GHG Textfiels Bold 3 3 3 15" xfId="5714" xr:uid="{00000000-0005-0000-0000-000061120000}"/>
    <cellStyle name="Normal GHG Textfiels Bold 3 3 3 2" xfId="1136" xr:uid="{00000000-0005-0000-0000-000062120000}"/>
    <cellStyle name="Normal GHG Textfiels Bold 3 3 3 2 2" xfId="4171" xr:uid="{00000000-0005-0000-0000-000063120000}"/>
    <cellStyle name="Normal GHG Textfiels Bold 3 3 3 2 3" xfId="4397" xr:uid="{00000000-0005-0000-0000-000064120000}"/>
    <cellStyle name="Normal GHG Textfiels Bold 3 3 3 2 4" xfId="4969" xr:uid="{00000000-0005-0000-0000-000065120000}"/>
    <cellStyle name="Normal GHG Textfiels Bold 3 3 3 2 5" xfId="5343" xr:uid="{00000000-0005-0000-0000-000066120000}"/>
    <cellStyle name="Normal GHG Textfiels Bold 3 3 3 2 6" xfId="5920" xr:uid="{00000000-0005-0000-0000-000067120000}"/>
    <cellStyle name="Normal GHG Textfiels Bold 3 3 3 3" xfId="1601" xr:uid="{00000000-0005-0000-0000-000068120000}"/>
    <cellStyle name="Normal GHG Textfiels Bold 3 3 3 4" xfId="1873" xr:uid="{00000000-0005-0000-0000-000069120000}"/>
    <cellStyle name="Normal GHG Textfiels Bold 3 3 3 5" xfId="901" xr:uid="{00000000-0005-0000-0000-00006A120000}"/>
    <cellStyle name="Normal GHG Textfiels Bold 3 3 3 6" xfId="2431" xr:uid="{00000000-0005-0000-0000-00006B120000}"/>
    <cellStyle name="Normal GHG Textfiels Bold 3 3 3 7" xfId="2611" xr:uid="{00000000-0005-0000-0000-00006C120000}"/>
    <cellStyle name="Normal GHG Textfiels Bold 3 3 3 8" xfId="2985" xr:uid="{00000000-0005-0000-0000-00006D120000}"/>
    <cellStyle name="Normal GHG Textfiels Bold 3 3 3 9" xfId="3153" xr:uid="{00000000-0005-0000-0000-00006E120000}"/>
    <cellStyle name="Normal GHG Textfiels Bold 3 3 4" xfId="661" xr:uid="{00000000-0005-0000-0000-00006F120000}"/>
    <cellStyle name="Normal GHG Textfiels Bold 3 3 4 10" xfId="3362" xr:uid="{00000000-0005-0000-0000-000070120000}"/>
    <cellStyle name="Normal GHG Textfiels Bold 3 3 4 11" xfId="3932" xr:uid="{00000000-0005-0000-0000-000071120000}"/>
    <cellStyle name="Normal GHG Textfiels Bold 3 3 4 12" xfId="3856" xr:uid="{00000000-0005-0000-0000-000072120000}"/>
    <cellStyle name="Normal GHG Textfiels Bold 3 3 4 13" xfId="4732" xr:uid="{00000000-0005-0000-0000-000073120000}"/>
    <cellStyle name="Normal GHG Textfiels Bold 3 3 4 14" xfId="5112" xr:uid="{00000000-0005-0000-0000-000074120000}"/>
    <cellStyle name="Normal GHG Textfiels Bold 3 3 4 15" xfId="5689" xr:uid="{00000000-0005-0000-0000-000075120000}"/>
    <cellStyle name="Normal GHG Textfiels Bold 3 3 4 2" xfId="244" xr:uid="{00000000-0005-0000-0000-000076120000}"/>
    <cellStyle name="Normal GHG Textfiels Bold 3 3 4 2 2" xfId="4146" xr:uid="{00000000-0005-0000-0000-000077120000}"/>
    <cellStyle name="Normal GHG Textfiels Bold 3 3 4 2 3" xfId="3806" xr:uid="{00000000-0005-0000-0000-000078120000}"/>
    <cellStyle name="Normal GHG Textfiels Bold 3 3 4 2 4" xfId="4944" xr:uid="{00000000-0005-0000-0000-000079120000}"/>
    <cellStyle name="Normal GHG Textfiels Bold 3 3 4 2 5" xfId="5318" xr:uid="{00000000-0005-0000-0000-00007A120000}"/>
    <cellStyle name="Normal GHG Textfiels Bold 3 3 4 2 6" xfId="5895" xr:uid="{00000000-0005-0000-0000-00007B120000}"/>
    <cellStyle name="Normal GHG Textfiels Bold 3 3 4 3" xfId="1576" xr:uid="{00000000-0005-0000-0000-00007C120000}"/>
    <cellStyle name="Normal GHG Textfiels Bold 3 3 4 4" xfId="1524" xr:uid="{00000000-0005-0000-0000-00007D120000}"/>
    <cellStyle name="Normal GHG Textfiels Bold 3 3 4 5" xfId="2238" xr:uid="{00000000-0005-0000-0000-00007E120000}"/>
    <cellStyle name="Normal GHG Textfiels Bold 3 3 4 6" xfId="2406" xr:uid="{00000000-0005-0000-0000-00007F120000}"/>
    <cellStyle name="Normal GHG Textfiels Bold 3 3 4 7" xfId="2586" xr:uid="{00000000-0005-0000-0000-000080120000}"/>
    <cellStyle name="Normal GHG Textfiels Bold 3 3 4 8" xfId="2960" xr:uid="{00000000-0005-0000-0000-000081120000}"/>
    <cellStyle name="Normal GHG Textfiels Bold 3 3 4 9" xfId="3128" xr:uid="{00000000-0005-0000-0000-000082120000}"/>
    <cellStyle name="Normal GHG Textfiels Bold 3 3 5" xfId="892" xr:uid="{00000000-0005-0000-0000-000083120000}"/>
    <cellStyle name="Normal GHG Textfiels Bold 3 3 6" xfId="161" xr:uid="{00000000-0005-0000-0000-000084120000}"/>
    <cellStyle name="Normal GHG Textfiels Bold 3 3 7" xfId="1809" xr:uid="{00000000-0005-0000-0000-000085120000}"/>
    <cellStyle name="Normal GHG Textfiels Bold 3 3 8" xfId="2199" xr:uid="{00000000-0005-0000-0000-000086120000}"/>
    <cellStyle name="Normal GHG Textfiels Bold 3 3 9" xfId="1514" xr:uid="{00000000-0005-0000-0000-000087120000}"/>
    <cellStyle name="Normal GHG Textfiels Bold 3 4" xfId="826" xr:uid="{00000000-0005-0000-0000-000088120000}"/>
    <cellStyle name="Normal GHG whole table" xfId="87" xr:uid="{00000000-0005-0000-0000-000089120000}"/>
    <cellStyle name="Normal GHG whole table 2" xfId="536" xr:uid="{00000000-0005-0000-0000-00008A120000}"/>
    <cellStyle name="Normal GHG whole table 2 2" xfId="682" xr:uid="{00000000-0005-0000-0000-00008B120000}"/>
    <cellStyle name="Normal GHG whole table 2 2 10" xfId="3383" xr:uid="{00000000-0005-0000-0000-00008C120000}"/>
    <cellStyle name="Normal GHG whole table 2 2 11" xfId="3953" xr:uid="{00000000-0005-0000-0000-00008D120000}"/>
    <cellStyle name="Normal GHG whole table 2 2 12" xfId="4416" xr:uid="{00000000-0005-0000-0000-00008E120000}"/>
    <cellStyle name="Normal GHG whole table 2 2 13" xfId="4753" xr:uid="{00000000-0005-0000-0000-00008F120000}"/>
    <cellStyle name="Normal GHG whole table 2 2 14" xfId="5133" xr:uid="{00000000-0005-0000-0000-000090120000}"/>
    <cellStyle name="Normal GHG whole table 2 2 15" xfId="5710" xr:uid="{00000000-0005-0000-0000-000091120000}"/>
    <cellStyle name="Normal GHG whole table 2 2 2" xfId="881" xr:uid="{00000000-0005-0000-0000-000092120000}"/>
    <cellStyle name="Normal GHG whole table 2 2 2 2" xfId="4167" xr:uid="{00000000-0005-0000-0000-000093120000}"/>
    <cellStyle name="Normal GHG whole table 2 2 2 3" xfId="4430" xr:uid="{00000000-0005-0000-0000-000094120000}"/>
    <cellStyle name="Normal GHG whole table 2 2 2 4" xfId="4965" xr:uid="{00000000-0005-0000-0000-000095120000}"/>
    <cellStyle name="Normal GHG whole table 2 2 2 5" xfId="5339" xr:uid="{00000000-0005-0000-0000-000096120000}"/>
    <cellStyle name="Normal GHG whole table 2 2 2 6" xfId="5916" xr:uid="{00000000-0005-0000-0000-000097120000}"/>
    <cellStyle name="Normal GHG whole table 2 2 3" xfId="1597" xr:uid="{00000000-0005-0000-0000-000098120000}"/>
    <cellStyle name="Normal GHG whole table 2 2 4" xfId="1869" xr:uid="{00000000-0005-0000-0000-000099120000}"/>
    <cellStyle name="Normal GHG whole table 2 2 5" xfId="159" xr:uid="{00000000-0005-0000-0000-00009A120000}"/>
    <cellStyle name="Normal GHG whole table 2 2 6" xfId="2427" xr:uid="{00000000-0005-0000-0000-00009B120000}"/>
    <cellStyle name="Normal GHG whole table 2 2 7" xfId="2607" xr:uid="{00000000-0005-0000-0000-00009C120000}"/>
    <cellStyle name="Normal GHG whole table 2 2 8" xfId="2981" xr:uid="{00000000-0005-0000-0000-00009D120000}"/>
    <cellStyle name="Normal GHG whole table 2 2 9" xfId="3149" xr:uid="{00000000-0005-0000-0000-00009E120000}"/>
    <cellStyle name="Normal GHG whole table 2 3" xfId="1170" xr:uid="{00000000-0005-0000-0000-00009F120000}"/>
    <cellStyle name="Normal GHG whole table 2 3 2" xfId="4096" xr:uid="{00000000-0005-0000-0000-0000A0120000}"/>
    <cellStyle name="Normal GHG whole table 2 3 3" xfId="4422" xr:uid="{00000000-0005-0000-0000-0000A1120000}"/>
    <cellStyle name="Normal GHG whole table 2 3 4" xfId="4894" xr:uid="{00000000-0005-0000-0000-0000A2120000}"/>
    <cellStyle name="Normal GHG whole table 2 3 5" xfId="5268" xr:uid="{00000000-0005-0000-0000-0000A3120000}"/>
    <cellStyle name="Normal GHG whole table 2 3 6" xfId="5845" xr:uid="{00000000-0005-0000-0000-0000A4120000}"/>
    <cellStyle name="Normal GHG whole table 3" xfId="385" xr:uid="{00000000-0005-0000-0000-0000A5120000}"/>
    <cellStyle name="Normal GHG whole table 3 10" xfId="2100" xr:uid="{00000000-0005-0000-0000-0000A6120000}"/>
    <cellStyle name="Normal GHG whole table 3 11" xfId="2875" xr:uid="{00000000-0005-0000-0000-0000A7120000}"/>
    <cellStyle name="Normal GHG whole table 3 12" xfId="2895" xr:uid="{00000000-0005-0000-0000-0000A8120000}"/>
    <cellStyle name="Normal GHG whole table 3 13" xfId="3289" xr:uid="{00000000-0005-0000-0000-0000A9120000}"/>
    <cellStyle name="Normal GHG whole table 3 14" xfId="3742" xr:uid="{00000000-0005-0000-0000-0000AA120000}"/>
    <cellStyle name="Normal GHG whole table 3 15" xfId="3562" xr:uid="{00000000-0005-0000-0000-0000AB120000}"/>
    <cellStyle name="Normal GHG whole table 3 16" xfId="4629" xr:uid="{00000000-0005-0000-0000-0000AC120000}"/>
    <cellStyle name="Normal GHG whole table 3 17" xfId="4546" xr:uid="{00000000-0005-0000-0000-0000AD120000}"/>
    <cellStyle name="Normal GHG whole table 3 18" xfId="5494" xr:uid="{00000000-0005-0000-0000-0000AE120000}"/>
    <cellStyle name="Normal GHG whole table 3 2" xfId="722" xr:uid="{00000000-0005-0000-0000-0000AF120000}"/>
    <cellStyle name="Normal GHG whole table 3 2 10" xfId="3423" xr:uid="{00000000-0005-0000-0000-0000B0120000}"/>
    <cellStyle name="Normal GHG whole table 3 2 11" xfId="3993" xr:uid="{00000000-0005-0000-0000-0000B1120000}"/>
    <cellStyle name="Normal GHG whole table 3 2 12" xfId="3630" xr:uid="{00000000-0005-0000-0000-0000B2120000}"/>
    <cellStyle name="Normal GHG whole table 3 2 13" xfId="4793" xr:uid="{00000000-0005-0000-0000-0000B3120000}"/>
    <cellStyle name="Normal GHG whole table 3 2 14" xfId="5173" xr:uid="{00000000-0005-0000-0000-0000B4120000}"/>
    <cellStyle name="Normal GHG whole table 3 2 15" xfId="5750" xr:uid="{00000000-0005-0000-0000-0000B5120000}"/>
    <cellStyle name="Normal GHG whole table 3 2 2" xfId="1403" xr:uid="{00000000-0005-0000-0000-0000B6120000}"/>
    <cellStyle name="Normal GHG whole table 3 2 2 2" xfId="4207" xr:uid="{00000000-0005-0000-0000-0000B7120000}"/>
    <cellStyle name="Normal GHG whole table 3 2 2 3" xfId="4489" xr:uid="{00000000-0005-0000-0000-0000B8120000}"/>
    <cellStyle name="Normal GHG whole table 3 2 2 4" xfId="5005" xr:uid="{00000000-0005-0000-0000-0000B9120000}"/>
    <cellStyle name="Normal GHG whole table 3 2 2 5" xfId="5379" xr:uid="{00000000-0005-0000-0000-0000BA120000}"/>
    <cellStyle name="Normal GHG whole table 3 2 2 6" xfId="5956" xr:uid="{00000000-0005-0000-0000-0000BB120000}"/>
    <cellStyle name="Normal GHG whole table 3 2 3" xfId="1637" xr:uid="{00000000-0005-0000-0000-0000BC120000}"/>
    <cellStyle name="Normal GHG whole table 3 2 4" xfId="1909" xr:uid="{00000000-0005-0000-0000-0000BD120000}"/>
    <cellStyle name="Normal GHG whole table 3 2 5" xfId="2288" xr:uid="{00000000-0005-0000-0000-0000BE120000}"/>
    <cellStyle name="Normal GHG whole table 3 2 6" xfId="2467" xr:uid="{00000000-0005-0000-0000-0000BF120000}"/>
    <cellStyle name="Normal GHG whole table 3 2 7" xfId="2647" xr:uid="{00000000-0005-0000-0000-0000C0120000}"/>
    <cellStyle name="Normal GHG whole table 3 2 8" xfId="3021" xr:uid="{00000000-0005-0000-0000-0000C1120000}"/>
    <cellStyle name="Normal GHG whole table 3 2 9" xfId="3189" xr:uid="{00000000-0005-0000-0000-0000C2120000}"/>
    <cellStyle name="Normal GHG whole table 3 3" xfId="643" xr:uid="{00000000-0005-0000-0000-0000C3120000}"/>
    <cellStyle name="Normal GHG whole table 3 3 10" xfId="3344" xr:uid="{00000000-0005-0000-0000-0000C4120000}"/>
    <cellStyle name="Normal GHG whole table 3 3 11" xfId="3914" xr:uid="{00000000-0005-0000-0000-0000C5120000}"/>
    <cellStyle name="Normal GHG whole table 3 3 12" xfId="4285" xr:uid="{00000000-0005-0000-0000-0000C6120000}"/>
    <cellStyle name="Normal GHG whole table 3 3 13" xfId="4714" xr:uid="{00000000-0005-0000-0000-0000C7120000}"/>
    <cellStyle name="Normal GHG whole table 3 3 14" xfId="5094" xr:uid="{00000000-0005-0000-0000-0000C8120000}"/>
    <cellStyle name="Normal GHG whole table 3 3 15" xfId="5671" xr:uid="{00000000-0005-0000-0000-0000C9120000}"/>
    <cellStyle name="Normal GHG whole table 3 3 2" xfId="1085" xr:uid="{00000000-0005-0000-0000-0000CA120000}"/>
    <cellStyle name="Normal GHG whole table 3 3 2 2" xfId="4128" xr:uid="{00000000-0005-0000-0000-0000CB120000}"/>
    <cellStyle name="Normal GHG whole table 3 3 2 3" xfId="3619" xr:uid="{00000000-0005-0000-0000-0000CC120000}"/>
    <cellStyle name="Normal GHG whole table 3 3 2 4" xfId="4926" xr:uid="{00000000-0005-0000-0000-0000CD120000}"/>
    <cellStyle name="Normal GHG whole table 3 3 2 5" xfId="5300" xr:uid="{00000000-0005-0000-0000-0000CE120000}"/>
    <cellStyle name="Normal GHG whole table 3 3 2 6" xfId="5877" xr:uid="{00000000-0005-0000-0000-0000CF120000}"/>
    <cellStyle name="Normal GHG whole table 3 3 3" xfId="1558" xr:uid="{00000000-0005-0000-0000-0000D0120000}"/>
    <cellStyle name="Normal GHG whole table 3 3 4" xfId="1088" xr:uid="{00000000-0005-0000-0000-0000D1120000}"/>
    <cellStyle name="Normal GHG whole table 3 3 5" xfId="1707" xr:uid="{00000000-0005-0000-0000-0000D2120000}"/>
    <cellStyle name="Normal GHG whole table 3 3 6" xfId="2388" xr:uid="{00000000-0005-0000-0000-0000D3120000}"/>
    <cellStyle name="Normal GHG whole table 3 3 7" xfId="2568" xr:uid="{00000000-0005-0000-0000-0000D4120000}"/>
    <cellStyle name="Normal GHG whole table 3 3 8" xfId="2942" xr:uid="{00000000-0005-0000-0000-0000D5120000}"/>
    <cellStyle name="Normal GHG whole table 3 3 9" xfId="3110" xr:uid="{00000000-0005-0000-0000-0000D6120000}"/>
    <cellStyle name="Normal GHG whole table 3 4" xfId="730" xr:uid="{00000000-0005-0000-0000-0000D7120000}"/>
    <cellStyle name="Normal GHG whole table 3 4 10" xfId="3431" xr:uid="{00000000-0005-0000-0000-0000D8120000}"/>
    <cellStyle name="Normal GHG whole table 3 4 11" xfId="4001" xr:uid="{00000000-0005-0000-0000-0000D9120000}"/>
    <cellStyle name="Normal GHG whole table 3 4 12" xfId="3832" xr:uid="{00000000-0005-0000-0000-0000DA120000}"/>
    <cellStyle name="Normal GHG whole table 3 4 13" xfId="4801" xr:uid="{00000000-0005-0000-0000-0000DB120000}"/>
    <cellStyle name="Normal GHG whole table 3 4 14" xfId="5181" xr:uid="{00000000-0005-0000-0000-0000DC120000}"/>
    <cellStyle name="Normal GHG whole table 3 4 15" xfId="5758" xr:uid="{00000000-0005-0000-0000-0000DD120000}"/>
    <cellStyle name="Normal GHG whole table 3 4 2" xfId="1411" xr:uid="{00000000-0005-0000-0000-0000DE120000}"/>
    <cellStyle name="Normal GHG whole table 3 4 2 2" xfId="4215" xr:uid="{00000000-0005-0000-0000-0000DF120000}"/>
    <cellStyle name="Normal GHG whole table 3 4 2 3" xfId="4472" xr:uid="{00000000-0005-0000-0000-0000E0120000}"/>
    <cellStyle name="Normal GHG whole table 3 4 2 4" xfId="5013" xr:uid="{00000000-0005-0000-0000-0000E1120000}"/>
    <cellStyle name="Normal GHG whole table 3 4 2 5" xfId="5387" xr:uid="{00000000-0005-0000-0000-0000E2120000}"/>
    <cellStyle name="Normal GHG whole table 3 4 2 6" xfId="5964" xr:uid="{00000000-0005-0000-0000-0000E3120000}"/>
    <cellStyle name="Normal GHG whole table 3 4 3" xfId="1645" xr:uid="{00000000-0005-0000-0000-0000E4120000}"/>
    <cellStyle name="Normal GHG whole table 3 4 4" xfId="1917" xr:uid="{00000000-0005-0000-0000-0000E5120000}"/>
    <cellStyle name="Normal GHG whole table 3 4 5" xfId="2296" xr:uid="{00000000-0005-0000-0000-0000E6120000}"/>
    <cellStyle name="Normal GHG whole table 3 4 6" xfId="2475" xr:uid="{00000000-0005-0000-0000-0000E7120000}"/>
    <cellStyle name="Normal GHG whole table 3 4 7" xfId="2655" xr:uid="{00000000-0005-0000-0000-0000E8120000}"/>
    <cellStyle name="Normal GHG whole table 3 4 8" xfId="3029" xr:uid="{00000000-0005-0000-0000-0000E9120000}"/>
    <cellStyle name="Normal GHG whole table 3 4 9" xfId="3197" xr:uid="{00000000-0005-0000-0000-0000EA120000}"/>
    <cellStyle name="Normal GHG whole table 3 5" xfId="1169" xr:uid="{00000000-0005-0000-0000-0000EB120000}"/>
    <cellStyle name="Normal GHG whole table 3 6" xfId="918" xr:uid="{00000000-0005-0000-0000-0000EC120000}"/>
    <cellStyle name="Normal GHG whole table 3 7" xfId="859" xr:uid="{00000000-0005-0000-0000-0000ED120000}"/>
    <cellStyle name="Normal GHG whole table 3 8" xfId="1770" xr:uid="{00000000-0005-0000-0000-0000EE120000}"/>
    <cellStyle name="Normal GHG whole table 3 9" xfId="2010" xr:uid="{00000000-0005-0000-0000-0000EF120000}"/>
    <cellStyle name="Normal GHG whole table 4" xfId="998" xr:uid="{00000000-0005-0000-0000-0000F0120000}"/>
    <cellStyle name="Normal GHG whole table 4 2" xfId="3601" xr:uid="{00000000-0005-0000-0000-0000F1120000}"/>
    <cellStyle name="Normal GHG whole table 4 3" xfId="4573" xr:uid="{00000000-0005-0000-0000-0000F2120000}"/>
    <cellStyle name="Normal GHG-Shade" xfId="88" xr:uid="{00000000-0005-0000-0000-0000F3120000}"/>
    <cellStyle name="Normal GHG-Shade 2" xfId="89" xr:uid="{00000000-0005-0000-0000-0000F4120000}"/>
    <cellStyle name="Normal GHG-Shade 2 2" xfId="266" xr:uid="{00000000-0005-0000-0000-0000F5120000}"/>
    <cellStyle name="Normal GHG-Shade 2 3" xfId="267" xr:uid="{00000000-0005-0000-0000-0000F6120000}"/>
    <cellStyle name="Normal GHG-Shade 2 4" xfId="297" xr:uid="{00000000-0005-0000-0000-0000F7120000}"/>
    <cellStyle name="Normal GHG-Shade 2 5" xfId="466" xr:uid="{00000000-0005-0000-0000-0000F8120000}"/>
    <cellStyle name="Normal GHG-Shade 2 6" xfId="265" xr:uid="{00000000-0005-0000-0000-0000F9120000}"/>
    <cellStyle name="Normal GHG-Shade 3" xfId="90" xr:uid="{00000000-0005-0000-0000-0000FA120000}"/>
    <cellStyle name="Normal GHG-Shade 3 2" xfId="269" xr:uid="{00000000-0005-0000-0000-0000FB120000}"/>
    <cellStyle name="Normal GHG-Shade 3 3" xfId="268" xr:uid="{00000000-0005-0000-0000-0000FC120000}"/>
    <cellStyle name="Normal GHG-Shade 4" xfId="91" xr:uid="{00000000-0005-0000-0000-0000FD120000}"/>
    <cellStyle name="Normal GHG-Shade 4 2" xfId="537" xr:uid="{00000000-0005-0000-0000-0000FE120000}"/>
    <cellStyle name="Normal GHG-Shade 4 3" xfId="270" xr:uid="{00000000-0005-0000-0000-0000FF120000}"/>
    <cellStyle name="Normal GHG-Shade 5" xfId="92" xr:uid="{00000000-0005-0000-0000-000000130000}"/>
    <cellStyle name="Normál_Munka1" xfId="93" xr:uid="{00000000-0005-0000-0000-000002130000}"/>
    <cellStyle name="Normale 2" xfId="94" xr:uid="{00000000-0005-0000-0000-000004130000}"/>
    <cellStyle name="Note" xfId="95" xr:uid="{00000000-0005-0000-0000-000005130000}"/>
    <cellStyle name="Note 2" xfId="271" xr:uid="{00000000-0005-0000-0000-000006130000}"/>
    <cellStyle name="Note 2 10" xfId="1710" xr:uid="{00000000-0005-0000-0000-000007130000}"/>
    <cellStyle name="Note 2 11" xfId="1804" xr:uid="{00000000-0005-0000-0000-000008130000}"/>
    <cellStyle name="Note 2 12" xfId="1972" xr:uid="{00000000-0005-0000-0000-000009130000}"/>
    <cellStyle name="Note 2 13" xfId="2069" xr:uid="{00000000-0005-0000-0000-00000A130000}"/>
    <cellStyle name="Note 2 14" xfId="2128" xr:uid="{00000000-0005-0000-0000-00000B130000}"/>
    <cellStyle name="Note 2 15" xfId="1754" xr:uid="{00000000-0005-0000-0000-00000C130000}"/>
    <cellStyle name="Note 2 16" xfId="1489" xr:uid="{00000000-0005-0000-0000-00000D130000}"/>
    <cellStyle name="Note 2 17" xfId="1027" xr:uid="{00000000-0005-0000-0000-00000E130000}"/>
    <cellStyle name="Note 2 18" xfId="2708" xr:uid="{00000000-0005-0000-0000-00000F130000}"/>
    <cellStyle name="Note 2 19" xfId="2844" xr:uid="{00000000-0005-0000-0000-000010130000}"/>
    <cellStyle name="Note 2 2" xfId="665" xr:uid="{00000000-0005-0000-0000-000011130000}"/>
    <cellStyle name="Note 2 2 10" xfId="2194" xr:uid="{00000000-0005-0000-0000-000012130000}"/>
    <cellStyle name="Note 2 2 11" xfId="834" xr:uid="{00000000-0005-0000-0000-000013130000}"/>
    <cellStyle name="Note 2 2 12" xfId="2410" xr:uid="{00000000-0005-0000-0000-000014130000}"/>
    <cellStyle name="Note 2 2 13" xfId="2590" xr:uid="{00000000-0005-0000-0000-000015130000}"/>
    <cellStyle name="Note 2 2 14" xfId="2733" xr:uid="{00000000-0005-0000-0000-000016130000}"/>
    <cellStyle name="Note 2 2 15" xfId="2141" xr:uid="{00000000-0005-0000-0000-000017130000}"/>
    <cellStyle name="Note 2 2 16" xfId="2964" xr:uid="{00000000-0005-0000-0000-000018130000}"/>
    <cellStyle name="Note 2 2 17" xfId="3132" xr:uid="{00000000-0005-0000-0000-000019130000}"/>
    <cellStyle name="Note 2 2 18" xfId="3366" xr:uid="{00000000-0005-0000-0000-00001A130000}"/>
    <cellStyle name="Note 2 2 19" xfId="3503" xr:uid="{00000000-0005-0000-0000-00001B130000}"/>
    <cellStyle name="Note 2 2 2" xfId="1180" xr:uid="{00000000-0005-0000-0000-00001C130000}"/>
    <cellStyle name="Note 2 2 2 2" xfId="4150" xr:uid="{00000000-0005-0000-0000-00001D130000}"/>
    <cellStyle name="Note 2 2 2 3" xfId="4307" xr:uid="{00000000-0005-0000-0000-00001E130000}"/>
    <cellStyle name="Note 2 2 2 4" xfId="4948" xr:uid="{00000000-0005-0000-0000-00001F130000}"/>
    <cellStyle name="Note 2 2 2 5" xfId="5322" xr:uid="{00000000-0005-0000-0000-000020130000}"/>
    <cellStyle name="Note 2 2 2 6" xfId="5899" xr:uid="{00000000-0005-0000-0000-000021130000}"/>
    <cellStyle name="Note 2 2 20" xfId="3936" xr:uid="{00000000-0005-0000-0000-000022130000}"/>
    <cellStyle name="Note 2 2 21" xfId="3625" xr:uid="{00000000-0005-0000-0000-000023130000}"/>
    <cellStyle name="Note 2 2 22" xfId="4736" xr:uid="{00000000-0005-0000-0000-000024130000}"/>
    <cellStyle name="Note 2 2 23" xfId="5116" xr:uid="{00000000-0005-0000-0000-000025130000}"/>
    <cellStyle name="Note 2 2 24" xfId="5693" xr:uid="{00000000-0005-0000-0000-000026130000}"/>
    <cellStyle name="Note 2 2 3" xfId="1042" xr:uid="{00000000-0005-0000-0000-000027130000}"/>
    <cellStyle name="Note 2 2 4" xfId="1195" xr:uid="{00000000-0005-0000-0000-000028130000}"/>
    <cellStyle name="Note 2 2 5" xfId="1580" xr:uid="{00000000-0005-0000-0000-000029130000}"/>
    <cellStyle name="Note 2 2 6" xfId="1771" xr:uid="{00000000-0005-0000-0000-00002A130000}"/>
    <cellStyle name="Note 2 2 7" xfId="1529" xr:uid="{00000000-0005-0000-0000-00002B130000}"/>
    <cellStyle name="Note 2 2 8" xfId="2034" xr:uid="{00000000-0005-0000-0000-00002C130000}"/>
    <cellStyle name="Note 2 2 9" xfId="1797" xr:uid="{00000000-0005-0000-0000-00002D130000}"/>
    <cellStyle name="Note 2 20" xfId="2910" xr:uid="{00000000-0005-0000-0000-00002E130000}"/>
    <cellStyle name="Note 2 21" xfId="3258" xr:uid="{00000000-0005-0000-0000-00002F130000}"/>
    <cellStyle name="Note 2 22" xfId="3296" xr:uid="{00000000-0005-0000-0000-000030130000}"/>
    <cellStyle name="Note 2 23" xfId="3671" xr:uid="{00000000-0005-0000-0000-000031130000}"/>
    <cellStyle name="Note 2 24" xfId="4483" xr:uid="{00000000-0005-0000-0000-000032130000}"/>
    <cellStyle name="Note 2 25" xfId="4597" xr:uid="{00000000-0005-0000-0000-000033130000}"/>
    <cellStyle name="Note 2 26" xfId="4669" xr:uid="{00000000-0005-0000-0000-000034130000}"/>
    <cellStyle name="Note 2 27" xfId="5465" xr:uid="{00000000-0005-0000-0000-000035130000}"/>
    <cellStyle name="Note 2 3" xfId="729" xr:uid="{00000000-0005-0000-0000-000036130000}"/>
    <cellStyle name="Note 2 3 10" xfId="2230" xr:uid="{00000000-0005-0000-0000-000037130000}"/>
    <cellStyle name="Note 2 3 11" xfId="2295" xr:uid="{00000000-0005-0000-0000-000038130000}"/>
    <cellStyle name="Note 2 3 12" xfId="2474" xr:uid="{00000000-0005-0000-0000-000039130000}"/>
    <cellStyle name="Note 2 3 13" xfId="2654" xr:uid="{00000000-0005-0000-0000-00003A130000}"/>
    <cellStyle name="Note 2 3 14" xfId="2757" xr:uid="{00000000-0005-0000-0000-00003B130000}"/>
    <cellStyle name="Note 2 3 15" xfId="2796" xr:uid="{00000000-0005-0000-0000-00003C130000}"/>
    <cellStyle name="Note 2 3 16" xfId="3028" xr:uid="{00000000-0005-0000-0000-00003D130000}"/>
    <cellStyle name="Note 2 3 17" xfId="3196" xr:uid="{00000000-0005-0000-0000-00003E130000}"/>
    <cellStyle name="Note 2 3 18" xfId="3430" xr:uid="{00000000-0005-0000-0000-00003F130000}"/>
    <cellStyle name="Note 2 3 19" xfId="3526" xr:uid="{00000000-0005-0000-0000-000040130000}"/>
    <cellStyle name="Note 2 3 2" xfId="1234" xr:uid="{00000000-0005-0000-0000-000041130000}"/>
    <cellStyle name="Note 2 3 2 2" xfId="4214" xr:uid="{00000000-0005-0000-0000-000042130000}"/>
    <cellStyle name="Note 2 3 2 3" xfId="4378" xr:uid="{00000000-0005-0000-0000-000043130000}"/>
    <cellStyle name="Note 2 3 2 4" xfId="5012" xr:uid="{00000000-0005-0000-0000-000044130000}"/>
    <cellStyle name="Note 2 3 2 5" xfId="5386" xr:uid="{00000000-0005-0000-0000-000045130000}"/>
    <cellStyle name="Note 2 3 2 6" xfId="5963" xr:uid="{00000000-0005-0000-0000-000046130000}"/>
    <cellStyle name="Note 2 3 20" xfId="4000" xr:uid="{00000000-0005-0000-0000-000047130000}"/>
    <cellStyle name="Note 2 3 21" xfId="4429" xr:uid="{00000000-0005-0000-0000-000048130000}"/>
    <cellStyle name="Note 2 3 22" xfId="4800" xr:uid="{00000000-0005-0000-0000-000049130000}"/>
    <cellStyle name="Note 2 3 23" xfId="5180" xr:uid="{00000000-0005-0000-0000-00004A130000}"/>
    <cellStyle name="Note 2 3 24" xfId="5757" xr:uid="{00000000-0005-0000-0000-00004B130000}"/>
    <cellStyle name="Note 2 3 3" xfId="1327" xr:uid="{00000000-0005-0000-0000-00004C130000}"/>
    <cellStyle name="Note 2 3 4" xfId="1410" xr:uid="{00000000-0005-0000-0000-00004D130000}"/>
    <cellStyle name="Note 2 3 5" xfId="1644" xr:uid="{00000000-0005-0000-0000-00004E130000}"/>
    <cellStyle name="Note 2 3 6" xfId="1822" xr:uid="{00000000-0005-0000-0000-00004F130000}"/>
    <cellStyle name="Note 2 3 7" xfId="1916" xr:uid="{00000000-0005-0000-0000-000050130000}"/>
    <cellStyle name="Note 2 3 8" xfId="2078" xr:uid="{00000000-0005-0000-0000-000051130000}"/>
    <cellStyle name="Note 2 3 9" xfId="2156" xr:uid="{00000000-0005-0000-0000-000052130000}"/>
    <cellStyle name="Note 2 4" xfId="624" xr:uid="{00000000-0005-0000-0000-000053130000}"/>
    <cellStyle name="Note 2 4 10" xfId="1213" xr:uid="{00000000-0005-0000-0000-000054130000}"/>
    <cellStyle name="Note 2 4 11" xfId="2138" xr:uid="{00000000-0005-0000-0000-000055130000}"/>
    <cellStyle name="Note 2 4 12" xfId="2369" xr:uid="{00000000-0005-0000-0000-000056130000}"/>
    <cellStyle name="Note 2 4 13" xfId="2549" xr:uid="{00000000-0005-0000-0000-000057130000}"/>
    <cellStyle name="Note 2 4 14" xfId="2715" xr:uid="{00000000-0005-0000-0000-000058130000}"/>
    <cellStyle name="Note 2 4 15" xfId="997" xr:uid="{00000000-0005-0000-0000-000059130000}"/>
    <cellStyle name="Note 2 4 16" xfId="2923" xr:uid="{00000000-0005-0000-0000-00005A130000}"/>
    <cellStyle name="Note 2 4 17" xfId="3091" xr:uid="{00000000-0005-0000-0000-00005B130000}"/>
    <cellStyle name="Note 2 4 18" xfId="3325" xr:uid="{00000000-0005-0000-0000-00005C130000}"/>
    <cellStyle name="Note 2 4 19" xfId="3485" xr:uid="{00000000-0005-0000-0000-00005D130000}"/>
    <cellStyle name="Note 2 4 2" xfId="1141" xr:uid="{00000000-0005-0000-0000-00005E130000}"/>
    <cellStyle name="Note 2 4 2 2" xfId="4109" xr:uid="{00000000-0005-0000-0000-00005F130000}"/>
    <cellStyle name="Note 2 4 2 3" xfId="3812" xr:uid="{00000000-0005-0000-0000-000060130000}"/>
    <cellStyle name="Note 2 4 2 4" xfId="4907" xr:uid="{00000000-0005-0000-0000-000061130000}"/>
    <cellStyle name="Note 2 4 2 5" xfId="5281" xr:uid="{00000000-0005-0000-0000-000062130000}"/>
    <cellStyle name="Note 2 4 2 6" xfId="5858" xr:uid="{00000000-0005-0000-0000-000063130000}"/>
    <cellStyle name="Note 2 4 20" xfId="3895" xr:uid="{00000000-0005-0000-0000-000064130000}"/>
    <cellStyle name="Note 2 4 21" xfId="3637" xr:uid="{00000000-0005-0000-0000-000065130000}"/>
    <cellStyle name="Note 2 4 22" xfId="4695" xr:uid="{00000000-0005-0000-0000-000066130000}"/>
    <cellStyle name="Note 2 4 23" xfId="5075" xr:uid="{00000000-0005-0000-0000-000067130000}"/>
    <cellStyle name="Note 2 4 24" xfId="5652" xr:uid="{00000000-0005-0000-0000-000068130000}"/>
    <cellStyle name="Note 2 4 3" xfId="945" xr:uid="{00000000-0005-0000-0000-000069130000}"/>
    <cellStyle name="Note 2 4 4" xfId="988" xr:uid="{00000000-0005-0000-0000-00006A130000}"/>
    <cellStyle name="Note 2 4 5" xfId="1539" xr:uid="{00000000-0005-0000-0000-00006B130000}"/>
    <cellStyle name="Note 2 4 6" xfId="1740" xr:uid="{00000000-0005-0000-0000-00006C130000}"/>
    <cellStyle name="Note 2 4 7" xfId="1517" xr:uid="{00000000-0005-0000-0000-00006D130000}"/>
    <cellStyle name="Note 2 4 8" xfId="2000" xr:uid="{00000000-0005-0000-0000-00006E130000}"/>
    <cellStyle name="Note 2 4 9" xfId="1807" xr:uid="{00000000-0005-0000-0000-00006F130000}"/>
    <cellStyle name="Note 2 5" xfId="884" xr:uid="{00000000-0005-0000-0000-000070130000}"/>
    <cellStyle name="Note 2 5 2" xfId="4058" xr:uid="{00000000-0005-0000-0000-000071130000}"/>
    <cellStyle name="Note 2 5 3" xfId="3683" xr:uid="{00000000-0005-0000-0000-000072130000}"/>
    <cellStyle name="Note 2 5 4" xfId="4858" xr:uid="{00000000-0005-0000-0000-000073130000}"/>
    <cellStyle name="Note 2 5 5" xfId="5238" xr:uid="{00000000-0005-0000-0000-000074130000}"/>
    <cellStyle name="Note 2 5 6" xfId="5815" xr:uid="{00000000-0005-0000-0000-000075130000}"/>
    <cellStyle name="Note 2 6" xfId="1105" xr:uid="{00000000-0005-0000-0000-000076130000}"/>
    <cellStyle name="Note 2 7" xfId="920" xr:uid="{00000000-0005-0000-0000-000077130000}"/>
    <cellStyle name="Note 2 8" xfId="899" xr:uid="{00000000-0005-0000-0000-000078130000}"/>
    <cellStyle name="Note 2 9" xfId="1321" xr:uid="{00000000-0005-0000-0000-000079130000}"/>
    <cellStyle name="Note 3" xfId="339" xr:uid="{00000000-0005-0000-0000-00007A130000}"/>
    <cellStyle name="Note 3 10" xfId="1050" xr:uid="{00000000-0005-0000-0000-00007B130000}"/>
    <cellStyle name="Note 3 11" xfId="1719" xr:uid="{00000000-0005-0000-0000-00007C130000}"/>
    <cellStyle name="Note 3 12" xfId="1110" xr:uid="{00000000-0005-0000-0000-00007D130000}"/>
    <cellStyle name="Note 3 13" xfId="2166" xr:uid="{00000000-0005-0000-0000-00007E130000}"/>
    <cellStyle name="Note 3 14" xfId="1733" xr:uid="{00000000-0005-0000-0000-00007F130000}"/>
    <cellStyle name="Note 3 15" xfId="2119" xr:uid="{00000000-0005-0000-0000-000080130000}"/>
    <cellStyle name="Note 3 16" xfId="951" xr:uid="{00000000-0005-0000-0000-000081130000}"/>
    <cellStyle name="Note 3 17" xfId="1025" xr:uid="{00000000-0005-0000-0000-000082130000}"/>
    <cellStyle name="Note 3 18" xfId="2526" xr:uid="{00000000-0005-0000-0000-000083130000}"/>
    <cellStyle name="Note 3 19" xfId="2852" xr:uid="{00000000-0005-0000-0000-000084130000}"/>
    <cellStyle name="Note 3 2" xfId="693" xr:uid="{00000000-0005-0000-0000-000085130000}"/>
    <cellStyle name="Note 3 2 10" xfId="2212" xr:uid="{00000000-0005-0000-0000-000086130000}"/>
    <cellStyle name="Note 3 2 11" xfId="1492" xr:uid="{00000000-0005-0000-0000-000087130000}"/>
    <cellStyle name="Note 3 2 12" xfId="2438" xr:uid="{00000000-0005-0000-0000-000088130000}"/>
    <cellStyle name="Note 3 2 13" xfId="2618" xr:uid="{00000000-0005-0000-0000-000089130000}"/>
    <cellStyle name="Note 3 2 14" xfId="2747" xr:uid="{00000000-0005-0000-0000-00008A130000}"/>
    <cellStyle name="Note 3 2 15" xfId="2786" xr:uid="{00000000-0005-0000-0000-00008B130000}"/>
    <cellStyle name="Note 3 2 16" xfId="2992" xr:uid="{00000000-0005-0000-0000-00008C130000}"/>
    <cellStyle name="Note 3 2 17" xfId="3160" xr:uid="{00000000-0005-0000-0000-00008D130000}"/>
    <cellStyle name="Note 3 2 18" xfId="3394" xr:uid="{00000000-0005-0000-0000-00008E130000}"/>
    <cellStyle name="Note 3 2 19" xfId="3516" xr:uid="{00000000-0005-0000-0000-00008F130000}"/>
    <cellStyle name="Note 3 2 2" xfId="1205" xr:uid="{00000000-0005-0000-0000-000090130000}"/>
    <cellStyle name="Note 3 2 2 2" xfId="4178" xr:uid="{00000000-0005-0000-0000-000091130000}"/>
    <cellStyle name="Note 3 2 2 3" xfId="3719" xr:uid="{00000000-0005-0000-0000-000092130000}"/>
    <cellStyle name="Note 3 2 2 4" xfId="4976" xr:uid="{00000000-0005-0000-0000-000093130000}"/>
    <cellStyle name="Note 3 2 2 5" xfId="5350" xr:uid="{00000000-0005-0000-0000-000094130000}"/>
    <cellStyle name="Note 3 2 2 6" xfId="5927" xr:uid="{00000000-0005-0000-0000-000095130000}"/>
    <cellStyle name="Note 3 2 20" xfId="3964" xr:uid="{00000000-0005-0000-0000-000096130000}"/>
    <cellStyle name="Note 3 2 21" xfId="3712" xr:uid="{00000000-0005-0000-0000-000097130000}"/>
    <cellStyle name="Note 3 2 22" xfId="4764" xr:uid="{00000000-0005-0000-0000-000098130000}"/>
    <cellStyle name="Note 3 2 23" xfId="5144" xr:uid="{00000000-0005-0000-0000-000099130000}"/>
    <cellStyle name="Note 3 2 24" xfId="5721" xr:uid="{00000000-0005-0000-0000-00009A130000}"/>
    <cellStyle name="Note 3 2 3" xfId="1299" xr:uid="{00000000-0005-0000-0000-00009B130000}"/>
    <cellStyle name="Note 3 2 4" xfId="1374" xr:uid="{00000000-0005-0000-0000-00009C130000}"/>
    <cellStyle name="Note 3 2 5" xfId="1608" xr:uid="{00000000-0005-0000-0000-00009D130000}"/>
    <cellStyle name="Note 3 2 6" xfId="1794" xr:uid="{00000000-0005-0000-0000-00009E130000}"/>
    <cellStyle name="Note 3 2 7" xfId="1880" xr:uid="{00000000-0005-0000-0000-00009F130000}"/>
    <cellStyle name="Note 3 2 8" xfId="2053" xr:uid="{00000000-0005-0000-0000-0000A0130000}"/>
    <cellStyle name="Note 3 2 9" xfId="2131" xr:uid="{00000000-0005-0000-0000-0000A1130000}"/>
    <cellStyle name="Note 3 20" xfId="2817" xr:uid="{00000000-0005-0000-0000-0000A2130000}"/>
    <cellStyle name="Note 3 21" xfId="3265" xr:uid="{00000000-0005-0000-0000-0000A3130000}"/>
    <cellStyle name="Note 3 22" xfId="3308" xr:uid="{00000000-0005-0000-0000-0000A4130000}"/>
    <cellStyle name="Note 3 23" xfId="3705" xr:uid="{00000000-0005-0000-0000-0000A5130000}"/>
    <cellStyle name="Note 3 24" xfId="3687" xr:uid="{00000000-0005-0000-0000-0000A6130000}"/>
    <cellStyle name="Note 3 25" xfId="4604" xr:uid="{00000000-0005-0000-0000-0000A7130000}"/>
    <cellStyle name="Note 3 26" xfId="4667" xr:uid="{00000000-0005-0000-0000-0000A8130000}"/>
    <cellStyle name="Note 3 27" xfId="5471" xr:uid="{00000000-0005-0000-0000-0000A9130000}"/>
    <cellStyle name="Note 3 3" xfId="659" xr:uid="{00000000-0005-0000-0000-0000AA130000}"/>
    <cellStyle name="Note 3 3 10" xfId="1968" xr:uid="{00000000-0005-0000-0000-0000AB130000}"/>
    <cellStyle name="Note 3 3 11" xfId="2068" xr:uid="{00000000-0005-0000-0000-0000AC130000}"/>
    <cellStyle name="Note 3 3 12" xfId="2404" xr:uid="{00000000-0005-0000-0000-0000AD130000}"/>
    <cellStyle name="Note 3 3 13" xfId="2584" xr:uid="{00000000-0005-0000-0000-0000AE130000}"/>
    <cellStyle name="Note 3 3 14" xfId="2730" xr:uid="{00000000-0005-0000-0000-0000AF130000}"/>
    <cellStyle name="Note 3 3 15" xfId="1988" xr:uid="{00000000-0005-0000-0000-0000B0130000}"/>
    <cellStyle name="Note 3 3 16" xfId="2958" xr:uid="{00000000-0005-0000-0000-0000B1130000}"/>
    <cellStyle name="Note 3 3 17" xfId="3126" xr:uid="{00000000-0005-0000-0000-0000B2130000}"/>
    <cellStyle name="Note 3 3 18" xfId="3360" xr:uid="{00000000-0005-0000-0000-0000B3130000}"/>
    <cellStyle name="Note 3 3 19" xfId="3500" xr:uid="{00000000-0005-0000-0000-0000B4130000}"/>
    <cellStyle name="Note 3 3 2" xfId="1174" xr:uid="{00000000-0005-0000-0000-0000B5130000}"/>
    <cellStyle name="Note 3 3 2 2" xfId="4144" xr:uid="{00000000-0005-0000-0000-0000B6130000}"/>
    <cellStyle name="Note 3 3 2 3" xfId="3628" xr:uid="{00000000-0005-0000-0000-0000B7130000}"/>
    <cellStyle name="Note 3 3 2 4" xfId="4942" xr:uid="{00000000-0005-0000-0000-0000B8130000}"/>
    <cellStyle name="Note 3 3 2 5" xfId="5316" xr:uid="{00000000-0005-0000-0000-0000B9130000}"/>
    <cellStyle name="Note 3 3 2 6" xfId="5893" xr:uid="{00000000-0005-0000-0000-0000BA130000}"/>
    <cellStyle name="Note 3 3 20" xfId="3930" xr:uid="{00000000-0005-0000-0000-0000BB130000}"/>
    <cellStyle name="Note 3 3 21" xfId="4424" xr:uid="{00000000-0005-0000-0000-0000BC130000}"/>
    <cellStyle name="Note 3 3 22" xfId="4730" xr:uid="{00000000-0005-0000-0000-0000BD130000}"/>
    <cellStyle name="Note 3 3 23" xfId="5110" xr:uid="{00000000-0005-0000-0000-0000BE130000}"/>
    <cellStyle name="Note 3 3 24" xfId="5687" xr:uid="{00000000-0005-0000-0000-0000BF130000}"/>
    <cellStyle name="Note 3 3 3" xfId="1044" xr:uid="{00000000-0005-0000-0000-0000C0130000}"/>
    <cellStyle name="Note 3 3 4" xfId="906" xr:uid="{00000000-0005-0000-0000-0000C1130000}"/>
    <cellStyle name="Note 3 3 5" xfId="1574" xr:uid="{00000000-0005-0000-0000-0000C2130000}"/>
    <cellStyle name="Note 3 3 6" xfId="1766" xr:uid="{00000000-0005-0000-0000-0000C3130000}"/>
    <cellStyle name="Note 3 3 7" xfId="857" xr:uid="{00000000-0005-0000-0000-0000C4130000}"/>
    <cellStyle name="Note 3 3 8" xfId="2030" xr:uid="{00000000-0005-0000-0000-0000C5130000}"/>
    <cellStyle name="Note 3 3 9" xfId="1322" xr:uid="{00000000-0005-0000-0000-0000C6130000}"/>
    <cellStyle name="Note 3 4" xfId="677" xr:uid="{00000000-0005-0000-0000-0000C7130000}"/>
    <cellStyle name="Note 3 4 10" xfId="2204" xr:uid="{00000000-0005-0000-0000-0000C8130000}"/>
    <cellStyle name="Note 3 4 11" xfId="1475" xr:uid="{00000000-0005-0000-0000-0000C9130000}"/>
    <cellStyle name="Note 3 4 12" xfId="2422" xr:uid="{00000000-0005-0000-0000-0000CA130000}"/>
    <cellStyle name="Note 3 4 13" xfId="2602" xr:uid="{00000000-0005-0000-0000-0000CB130000}"/>
    <cellStyle name="Note 3 4 14" xfId="2741" xr:uid="{00000000-0005-0000-0000-0000CC130000}"/>
    <cellStyle name="Note 3 4 15" xfId="2781" xr:uid="{00000000-0005-0000-0000-0000CD130000}"/>
    <cellStyle name="Note 3 4 16" xfId="2976" xr:uid="{00000000-0005-0000-0000-0000CE130000}"/>
    <cellStyle name="Note 3 4 17" xfId="3144" xr:uid="{00000000-0005-0000-0000-0000CF130000}"/>
    <cellStyle name="Note 3 4 18" xfId="3378" xr:uid="{00000000-0005-0000-0000-0000D0130000}"/>
    <cellStyle name="Note 3 4 19" xfId="3511" xr:uid="{00000000-0005-0000-0000-0000D1130000}"/>
    <cellStyle name="Note 3 4 2" xfId="1191" xr:uid="{00000000-0005-0000-0000-0000D2130000}"/>
    <cellStyle name="Note 3 4 2 2" xfId="4162" xr:uid="{00000000-0005-0000-0000-0000D3130000}"/>
    <cellStyle name="Note 3 4 2 3" xfId="3635" xr:uid="{00000000-0005-0000-0000-0000D4130000}"/>
    <cellStyle name="Note 3 4 2 4" xfId="4960" xr:uid="{00000000-0005-0000-0000-0000D5130000}"/>
    <cellStyle name="Note 3 4 2 5" xfId="5334" xr:uid="{00000000-0005-0000-0000-0000D6130000}"/>
    <cellStyle name="Note 3 4 2 6" xfId="5911" xr:uid="{00000000-0005-0000-0000-0000D7130000}"/>
    <cellStyle name="Note 3 4 20" xfId="3948" xr:uid="{00000000-0005-0000-0000-0000D8130000}"/>
    <cellStyle name="Note 3 4 21" xfId="3558" xr:uid="{00000000-0005-0000-0000-0000D9130000}"/>
    <cellStyle name="Note 3 4 22" xfId="4748" xr:uid="{00000000-0005-0000-0000-0000DA130000}"/>
    <cellStyle name="Note 3 4 23" xfId="5128" xr:uid="{00000000-0005-0000-0000-0000DB130000}"/>
    <cellStyle name="Note 3 4 24" xfId="5705" xr:uid="{00000000-0005-0000-0000-0000DC130000}"/>
    <cellStyle name="Note 3 4 3" xfId="1284" xr:uid="{00000000-0005-0000-0000-0000DD130000}"/>
    <cellStyle name="Note 3 4 4" xfId="968" xr:uid="{00000000-0005-0000-0000-0000DE130000}"/>
    <cellStyle name="Note 3 4 5" xfId="1592" xr:uid="{00000000-0005-0000-0000-0000DF130000}"/>
    <cellStyle name="Note 3 4 6" xfId="1782" xr:uid="{00000000-0005-0000-0000-0000E0130000}"/>
    <cellStyle name="Note 3 4 7" xfId="782" xr:uid="{00000000-0005-0000-0000-0000E1130000}"/>
    <cellStyle name="Note 3 4 8" xfId="2043" xr:uid="{00000000-0005-0000-0000-0000E2130000}"/>
    <cellStyle name="Note 3 4 9" xfId="2122" xr:uid="{00000000-0005-0000-0000-0000E3130000}"/>
    <cellStyle name="Note 3 5" xfId="933" xr:uid="{00000000-0005-0000-0000-0000E4130000}"/>
    <cellStyle name="Note 3 5 2" xfId="4064" xr:uid="{00000000-0005-0000-0000-0000E5130000}"/>
    <cellStyle name="Note 3 5 3" xfId="4486" xr:uid="{00000000-0005-0000-0000-0000E6130000}"/>
    <cellStyle name="Note 3 5 4" xfId="4864" xr:uid="{00000000-0005-0000-0000-0000E7130000}"/>
    <cellStyle name="Note 3 5 5" xfId="5244" xr:uid="{00000000-0005-0000-0000-0000E8130000}"/>
    <cellStyle name="Note 3 5 6" xfId="5821" xr:uid="{00000000-0005-0000-0000-0000E9130000}"/>
    <cellStyle name="Note 3 6" xfId="867" xr:uid="{00000000-0005-0000-0000-0000EA130000}"/>
    <cellStyle name="Note 3 7" xfId="1109" xr:uid="{00000000-0005-0000-0000-0000EB130000}"/>
    <cellStyle name="Note 3 8" xfId="1231" xr:uid="{00000000-0005-0000-0000-0000EC130000}"/>
    <cellStyle name="Note 3 9" xfId="1188" xr:uid="{00000000-0005-0000-0000-0000ED130000}"/>
    <cellStyle name="Notiz" xfId="272" xr:uid="{00000000-0005-0000-0000-0000EE130000}"/>
    <cellStyle name="Notiz 10" xfId="1711" xr:uid="{00000000-0005-0000-0000-0000EF130000}"/>
    <cellStyle name="Notiz 11" xfId="1126" xr:uid="{00000000-0005-0000-0000-0000F0130000}"/>
    <cellStyle name="Notiz 12" xfId="804" xr:uid="{00000000-0005-0000-0000-0000F1130000}"/>
    <cellStyle name="Notiz 13" xfId="940" xr:uid="{00000000-0005-0000-0000-0000F2130000}"/>
    <cellStyle name="Notiz 14" xfId="2108" xr:uid="{00000000-0005-0000-0000-0000F3130000}"/>
    <cellStyle name="Notiz 15" xfId="1999" xr:uid="{00000000-0005-0000-0000-0000F4130000}"/>
    <cellStyle name="Notiz 16" xfId="1974" xr:uid="{00000000-0005-0000-0000-0000F5130000}"/>
    <cellStyle name="Notiz 17" xfId="1862" xr:uid="{00000000-0005-0000-0000-0000F6130000}"/>
    <cellStyle name="Notiz 18" xfId="2089" xr:uid="{00000000-0005-0000-0000-0000F7130000}"/>
    <cellStyle name="Notiz 19" xfId="2845" xr:uid="{00000000-0005-0000-0000-0000F8130000}"/>
    <cellStyle name="Notiz 2" xfId="666" xr:uid="{00000000-0005-0000-0000-0000F9130000}"/>
    <cellStyle name="Notiz 2 10" xfId="2195" xr:uid="{00000000-0005-0000-0000-0000FA130000}"/>
    <cellStyle name="Notiz 2 11" xfId="2065" xr:uid="{00000000-0005-0000-0000-0000FB130000}"/>
    <cellStyle name="Notiz 2 12" xfId="2411" xr:uid="{00000000-0005-0000-0000-0000FC130000}"/>
    <cellStyle name="Notiz 2 13" xfId="2591" xr:uid="{00000000-0005-0000-0000-0000FD130000}"/>
    <cellStyle name="Notiz 2 14" xfId="2734" xr:uid="{00000000-0005-0000-0000-0000FE130000}"/>
    <cellStyle name="Notiz 2 15" xfId="2189" xr:uid="{00000000-0005-0000-0000-0000FF130000}"/>
    <cellStyle name="Notiz 2 16" xfId="2965" xr:uid="{00000000-0005-0000-0000-000000140000}"/>
    <cellStyle name="Notiz 2 17" xfId="3133" xr:uid="{00000000-0005-0000-0000-000001140000}"/>
    <cellStyle name="Notiz 2 18" xfId="3367" xr:uid="{00000000-0005-0000-0000-000002140000}"/>
    <cellStyle name="Notiz 2 19" xfId="3504" xr:uid="{00000000-0005-0000-0000-000003140000}"/>
    <cellStyle name="Notiz 2 2" xfId="1181" xr:uid="{00000000-0005-0000-0000-000004140000}"/>
    <cellStyle name="Notiz 2 2 2" xfId="4151" xr:uid="{00000000-0005-0000-0000-000005140000}"/>
    <cellStyle name="Notiz 2 2 3" xfId="3550" xr:uid="{00000000-0005-0000-0000-000006140000}"/>
    <cellStyle name="Notiz 2 2 4" xfId="4949" xr:uid="{00000000-0005-0000-0000-000007140000}"/>
    <cellStyle name="Notiz 2 2 5" xfId="5323" xr:uid="{00000000-0005-0000-0000-000008140000}"/>
    <cellStyle name="Notiz 2 2 6" xfId="5900" xr:uid="{00000000-0005-0000-0000-000009140000}"/>
    <cellStyle name="Notiz 2 20" xfId="3937" xr:uid="{00000000-0005-0000-0000-00000A140000}"/>
    <cellStyle name="Notiz 2 21" xfId="3679" xr:uid="{00000000-0005-0000-0000-00000B140000}"/>
    <cellStyle name="Notiz 2 22" xfId="4737" xr:uid="{00000000-0005-0000-0000-00000C140000}"/>
    <cellStyle name="Notiz 2 23" xfId="5117" xr:uid="{00000000-0005-0000-0000-00000D140000}"/>
    <cellStyle name="Notiz 2 24" xfId="5694" xr:uid="{00000000-0005-0000-0000-00000E140000}"/>
    <cellStyle name="Notiz 2 3" xfId="797" xr:uid="{00000000-0005-0000-0000-00000F140000}"/>
    <cellStyle name="Notiz 2 4" xfId="987" xr:uid="{00000000-0005-0000-0000-000010140000}"/>
    <cellStyle name="Notiz 2 5" xfId="1581" xr:uid="{00000000-0005-0000-0000-000011140000}"/>
    <cellStyle name="Notiz 2 6" xfId="1772" xr:uid="{00000000-0005-0000-0000-000012140000}"/>
    <cellStyle name="Notiz 2 7" xfId="938" xr:uid="{00000000-0005-0000-0000-000013140000}"/>
    <cellStyle name="Notiz 2 8" xfId="2035" xr:uid="{00000000-0005-0000-0000-000014140000}"/>
    <cellStyle name="Notiz 2 9" xfId="1221" xr:uid="{00000000-0005-0000-0000-000015140000}"/>
    <cellStyle name="Notiz 20" xfId="2882" xr:uid="{00000000-0005-0000-0000-000016140000}"/>
    <cellStyle name="Notiz 21" xfId="3259" xr:uid="{00000000-0005-0000-0000-000017140000}"/>
    <cellStyle name="Notiz 22" xfId="3295" xr:uid="{00000000-0005-0000-0000-000018140000}"/>
    <cellStyle name="Notiz 23" xfId="3672" xr:uid="{00000000-0005-0000-0000-000019140000}"/>
    <cellStyle name="Notiz 24" xfId="3699" xr:uid="{00000000-0005-0000-0000-00001A140000}"/>
    <cellStyle name="Notiz 25" xfId="4598" xr:uid="{00000000-0005-0000-0000-00001B140000}"/>
    <cellStyle name="Notiz 26" xfId="4595" xr:uid="{00000000-0005-0000-0000-00001C140000}"/>
    <cellStyle name="Notiz 27" xfId="5466" xr:uid="{00000000-0005-0000-0000-00001D140000}"/>
    <cellStyle name="Notiz 3" xfId="728" xr:uid="{00000000-0005-0000-0000-00001E140000}"/>
    <cellStyle name="Notiz 3 10" xfId="2229" xr:uid="{00000000-0005-0000-0000-00001F140000}"/>
    <cellStyle name="Notiz 3 11" xfId="2294" xr:uid="{00000000-0005-0000-0000-000020140000}"/>
    <cellStyle name="Notiz 3 12" xfId="2473" xr:uid="{00000000-0005-0000-0000-000021140000}"/>
    <cellStyle name="Notiz 3 13" xfId="2653" xr:uid="{00000000-0005-0000-0000-000022140000}"/>
    <cellStyle name="Notiz 3 14" xfId="2756" xr:uid="{00000000-0005-0000-0000-000023140000}"/>
    <cellStyle name="Notiz 3 15" xfId="2795" xr:uid="{00000000-0005-0000-0000-000024140000}"/>
    <cellStyle name="Notiz 3 16" xfId="3027" xr:uid="{00000000-0005-0000-0000-000025140000}"/>
    <cellStyle name="Notiz 3 17" xfId="3195" xr:uid="{00000000-0005-0000-0000-000026140000}"/>
    <cellStyle name="Notiz 3 18" xfId="3429" xr:uid="{00000000-0005-0000-0000-000027140000}"/>
    <cellStyle name="Notiz 3 19" xfId="3525" xr:uid="{00000000-0005-0000-0000-000028140000}"/>
    <cellStyle name="Notiz 3 2" xfId="1233" xr:uid="{00000000-0005-0000-0000-000029140000}"/>
    <cellStyle name="Notiz 3 2 2" xfId="4213" xr:uid="{00000000-0005-0000-0000-00002A140000}"/>
    <cellStyle name="Notiz 3 2 3" xfId="4443" xr:uid="{00000000-0005-0000-0000-00002B140000}"/>
    <cellStyle name="Notiz 3 2 4" xfId="5011" xr:uid="{00000000-0005-0000-0000-00002C140000}"/>
    <cellStyle name="Notiz 3 2 5" xfId="5385" xr:uid="{00000000-0005-0000-0000-00002D140000}"/>
    <cellStyle name="Notiz 3 2 6" xfId="5962" xr:uid="{00000000-0005-0000-0000-00002E140000}"/>
    <cellStyle name="Notiz 3 20" xfId="3999" xr:uid="{00000000-0005-0000-0000-00002F140000}"/>
    <cellStyle name="Notiz 3 21" xfId="3771" xr:uid="{00000000-0005-0000-0000-000030140000}"/>
    <cellStyle name="Notiz 3 22" xfId="4799" xr:uid="{00000000-0005-0000-0000-000031140000}"/>
    <cellStyle name="Notiz 3 23" xfId="5179" xr:uid="{00000000-0005-0000-0000-000032140000}"/>
    <cellStyle name="Notiz 3 24" xfId="5756" xr:uid="{00000000-0005-0000-0000-000033140000}"/>
    <cellStyle name="Notiz 3 3" xfId="1326" xr:uid="{00000000-0005-0000-0000-000034140000}"/>
    <cellStyle name="Notiz 3 4" xfId="1409" xr:uid="{00000000-0005-0000-0000-000035140000}"/>
    <cellStyle name="Notiz 3 5" xfId="1643" xr:uid="{00000000-0005-0000-0000-000036140000}"/>
    <cellStyle name="Notiz 3 6" xfId="1821" xr:uid="{00000000-0005-0000-0000-000037140000}"/>
    <cellStyle name="Notiz 3 7" xfId="1915" xr:uid="{00000000-0005-0000-0000-000038140000}"/>
    <cellStyle name="Notiz 3 8" xfId="2077" xr:uid="{00000000-0005-0000-0000-000039140000}"/>
    <cellStyle name="Notiz 3 9" xfId="2155" xr:uid="{00000000-0005-0000-0000-00003A140000}"/>
    <cellStyle name="Notiz 4" xfId="697" xr:uid="{00000000-0005-0000-0000-00003B140000}"/>
    <cellStyle name="Notiz 4 10" xfId="2216" xr:uid="{00000000-0005-0000-0000-00003C140000}"/>
    <cellStyle name="Notiz 4 11" xfId="2008" xr:uid="{00000000-0005-0000-0000-00003D140000}"/>
    <cellStyle name="Notiz 4 12" xfId="2442" xr:uid="{00000000-0005-0000-0000-00003E140000}"/>
    <cellStyle name="Notiz 4 13" xfId="2622" xr:uid="{00000000-0005-0000-0000-00003F140000}"/>
    <cellStyle name="Notiz 4 14" xfId="2750" xr:uid="{00000000-0005-0000-0000-000040140000}"/>
    <cellStyle name="Notiz 4 15" xfId="2789" xr:uid="{00000000-0005-0000-0000-000041140000}"/>
    <cellStyle name="Notiz 4 16" xfId="2996" xr:uid="{00000000-0005-0000-0000-000042140000}"/>
    <cellStyle name="Notiz 4 17" xfId="3164" xr:uid="{00000000-0005-0000-0000-000043140000}"/>
    <cellStyle name="Notiz 4 18" xfId="3398" xr:uid="{00000000-0005-0000-0000-000044140000}"/>
    <cellStyle name="Notiz 4 19" xfId="3519" xr:uid="{00000000-0005-0000-0000-000045140000}"/>
    <cellStyle name="Notiz 4 2" xfId="1209" xr:uid="{00000000-0005-0000-0000-000046140000}"/>
    <cellStyle name="Notiz 4 2 2" xfId="4182" xr:uid="{00000000-0005-0000-0000-000047140000}"/>
    <cellStyle name="Notiz 4 2 3" xfId="4306" xr:uid="{00000000-0005-0000-0000-000048140000}"/>
    <cellStyle name="Notiz 4 2 4" xfId="4980" xr:uid="{00000000-0005-0000-0000-000049140000}"/>
    <cellStyle name="Notiz 4 2 5" xfId="5354" xr:uid="{00000000-0005-0000-0000-00004A140000}"/>
    <cellStyle name="Notiz 4 2 6" xfId="5931" xr:uid="{00000000-0005-0000-0000-00004B140000}"/>
    <cellStyle name="Notiz 4 20" xfId="3968" xr:uid="{00000000-0005-0000-0000-00004C140000}"/>
    <cellStyle name="Notiz 4 21" xfId="3690" xr:uid="{00000000-0005-0000-0000-00004D140000}"/>
    <cellStyle name="Notiz 4 22" xfId="4768" xr:uid="{00000000-0005-0000-0000-00004E140000}"/>
    <cellStyle name="Notiz 4 23" xfId="5148" xr:uid="{00000000-0005-0000-0000-00004F140000}"/>
    <cellStyle name="Notiz 4 24" xfId="5725" xr:uid="{00000000-0005-0000-0000-000050140000}"/>
    <cellStyle name="Notiz 4 3" xfId="1303" xr:uid="{00000000-0005-0000-0000-000051140000}"/>
    <cellStyle name="Notiz 4 4" xfId="1378" xr:uid="{00000000-0005-0000-0000-000052140000}"/>
    <cellStyle name="Notiz 4 5" xfId="1612" xr:uid="{00000000-0005-0000-0000-000053140000}"/>
    <cellStyle name="Notiz 4 6" xfId="1798" xr:uid="{00000000-0005-0000-0000-000054140000}"/>
    <cellStyle name="Notiz 4 7" xfId="1884" xr:uid="{00000000-0005-0000-0000-000055140000}"/>
    <cellStyle name="Notiz 4 8" xfId="2057" xr:uid="{00000000-0005-0000-0000-000056140000}"/>
    <cellStyle name="Notiz 4 9" xfId="2135" xr:uid="{00000000-0005-0000-0000-000057140000}"/>
    <cellStyle name="Notiz 5" xfId="885" xr:uid="{00000000-0005-0000-0000-000058140000}"/>
    <cellStyle name="Notiz 5 2" xfId="4059" xr:uid="{00000000-0005-0000-0000-000059140000}"/>
    <cellStyle name="Notiz 5 3" xfId="3605" xr:uid="{00000000-0005-0000-0000-00005A140000}"/>
    <cellStyle name="Notiz 5 4" xfId="4859" xr:uid="{00000000-0005-0000-0000-00005B140000}"/>
    <cellStyle name="Notiz 5 5" xfId="5239" xr:uid="{00000000-0005-0000-0000-00005C140000}"/>
    <cellStyle name="Notiz 5 6" xfId="5816" xr:uid="{00000000-0005-0000-0000-00005D140000}"/>
    <cellStyle name="Notiz 6" xfId="1007" xr:uid="{00000000-0005-0000-0000-00005E140000}"/>
    <cellStyle name="Notiz 7" xfId="852" xr:uid="{00000000-0005-0000-0000-00005F140000}"/>
    <cellStyle name="Notiz 8" xfId="1076" xr:uid="{00000000-0005-0000-0000-000060140000}"/>
    <cellStyle name="Notiz 9" xfId="813" xr:uid="{00000000-0005-0000-0000-000061140000}"/>
    <cellStyle name="Output" xfId="96" xr:uid="{00000000-0005-0000-0000-000062140000}"/>
    <cellStyle name="Output 2" xfId="273" xr:uid="{00000000-0005-0000-0000-000063140000}"/>
    <cellStyle name="Output 2 10" xfId="1971" xr:uid="{00000000-0005-0000-0000-000064140000}"/>
    <cellStyle name="Output 2 11" xfId="1857" xr:uid="{00000000-0005-0000-0000-000065140000}"/>
    <cellStyle name="Output 2 12" xfId="2266" xr:uid="{00000000-0005-0000-0000-000066140000}"/>
    <cellStyle name="Output 2 13" xfId="2205" xr:uid="{00000000-0005-0000-0000-000067140000}"/>
    <cellStyle name="Output 2 14" xfId="2222" xr:uid="{00000000-0005-0000-0000-000068140000}"/>
    <cellStyle name="Output 2 15" xfId="2707" xr:uid="{00000000-0005-0000-0000-000069140000}"/>
    <cellStyle name="Output 2 16" xfId="2846" xr:uid="{00000000-0005-0000-0000-00006A140000}"/>
    <cellStyle name="Output 2 17" xfId="2881" xr:uid="{00000000-0005-0000-0000-00006B140000}"/>
    <cellStyle name="Output 2 18" xfId="3260" xr:uid="{00000000-0005-0000-0000-00006C140000}"/>
    <cellStyle name="Output 2 19" xfId="3673" xr:uid="{00000000-0005-0000-0000-00006D140000}"/>
    <cellStyle name="Output 2 2" xfId="667" xr:uid="{00000000-0005-0000-0000-00006E140000}"/>
    <cellStyle name="Output 2 2 10" xfId="2196" xr:uid="{00000000-0005-0000-0000-00006F140000}"/>
    <cellStyle name="Output 2 2 11" xfId="847" xr:uid="{00000000-0005-0000-0000-000070140000}"/>
    <cellStyle name="Output 2 2 12" xfId="2412" xr:uid="{00000000-0005-0000-0000-000071140000}"/>
    <cellStyle name="Output 2 2 13" xfId="2592" xr:uid="{00000000-0005-0000-0000-000072140000}"/>
    <cellStyle name="Output 2 2 14" xfId="2735" xr:uid="{00000000-0005-0000-0000-000073140000}"/>
    <cellStyle name="Output 2 2 15" xfId="2356" xr:uid="{00000000-0005-0000-0000-000074140000}"/>
    <cellStyle name="Output 2 2 16" xfId="2966" xr:uid="{00000000-0005-0000-0000-000075140000}"/>
    <cellStyle name="Output 2 2 17" xfId="3134" xr:uid="{00000000-0005-0000-0000-000076140000}"/>
    <cellStyle name="Output 2 2 18" xfId="3368" xr:uid="{00000000-0005-0000-0000-000077140000}"/>
    <cellStyle name="Output 2 2 19" xfId="3505" xr:uid="{00000000-0005-0000-0000-000078140000}"/>
    <cellStyle name="Output 2 2 2" xfId="1182" xr:uid="{00000000-0005-0000-0000-000079140000}"/>
    <cellStyle name="Output 2 2 2 2" xfId="4152" xr:uid="{00000000-0005-0000-0000-00007A140000}"/>
    <cellStyle name="Output 2 2 2 3" xfId="4289" xr:uid="{00000000-0005-0000-0000-00007B140000}"/>
    <cellStyle name="Output 2 2 2 4" xfId="4950" xr:uid="{00000000-0005-0000-0000-00007C140000}"/>
    <cellStyle name="Output 2 2 2 5" xfId="5324" xr:uid="{00000000-0005-0000-0000-00007D140000}"/>
    <cellStyle name="Output 2 2 2 6" xfId="5901" xr:uid="{00000000-0005-0000-0000-00007E140000}"/>
    <cellStyle name="Output 2 2 20" xfId="3938" xr:uid="{00000000-0005-0000-0000-00007F140000}"/>
    <cellStyle name="Output 2 2 21" xfId="3757" xr:uid="{00000000-0005-0000-0000-000080140000}"/>
    <cellStyle name="Output 2 2 22" xfId="4738" xr:uid="{00000000-0005-0000-0000-000081140000}"/>
    <cellStyle name="Output 2 2 23" xfId="5118" xr:uid="{00000000-0005-0000-0000-000082140000}"/>
    <cellStyle name="Output 2 2 24" xfId="5695" xr:uid="{00000000-0005-0000-0000-000083140000}"/>
    <cellStyle name="Output 2 2 3" xfId="939" xr:uid="{00000000-0005-0000-0000-000084140000}"/>
    <cellStyle name="Output 2 2 4" xfId="971" xr:uid="{00000000-0005-0000-0000-000085140000}"/>
    <cellStyle name="Output 2 2 5" xfId="1582" xr:uid="{00000000-0005-0000-0000-000086140000}"/>
    <cellStyle name="Output 2 2 6" xfId="1773" xr:uid="{00000000-0005-0000-0000-000087140000}"/>
    <cellStyle name="Output 2 2 7" xfId="1040" xr:uid="{00000000-0005-0000-0000-000088140000}"/>
    <cellStyle name="Output 2 2 8" xfId="2036" xr:uid="{00000000-0005-0000-0000-000089140000}"/>
    <cellStyle name="Output 2 2 9" xfId="1723" xr:uid="{00000000-0005-0000-0000-00008A140000}"/>
    <cellStyle name="Output 2 20" xfId="3586" xr:uid="{00000000-0005-0000-0000-00008B140000}"/>
    <cellStyle name="Output 2 21" xfId="4599" xr:uid="{00000000-0005-0000-0000-00008C140000}"/>
    <cellStyle name="Output 2 22" xfId="4594" xr:uid="{00000000-0005-0000-0000-00008D140000}"/>
    <cellStyle name="Output 2 23" xfId="5467" xr:uid="{00000000-0005-0000-0000-00008E140000}"/>
    <cellStyle name="Output 2 3" xfId="763" xr:uid="{00000000-0005-0000-0000-00008F140000}"/>
    <cellStyle name="Output 2 3 10" xfId="2255" xr:uid="{00000000-0005-0000-0000-000090140000}"/>
    <cellStyle name="Output 2 3 11" xfId="2329" xr:uid="{00000000-0005-0000-0000-000091140000}"/>
    <cellStyle name="Output 2 3 12" xfId="2508" xr:uid="{00000000-0005-0000-0000-000092140000}"/>
    <cellStyle name="Output 2 3 13" xfId="2688" xr:uid="{00000000-0005-0000-0000-000093140000}"/>
    <cellStyle name="Output 2 3 14" xfId="2770" xr:uid="{00000000-0005-0000-0000-000094140000}"/>
    <cellStyle name="Output 2 3 15" xfId="2809" xr:uid="{00000000-0005-0000-0000-000095140000}"/>
    <cellStyle name="Output 2 3 16" xfId="3062" xr:uid="{00000000-0005-0000-0000-000096140000}"/>
    <cellStyle name="Output 2 3 17" xfId="3230" xr:uid="{00000000-0005-0000-0000-000097140000}"/>
    <cellStyle name="Output 2 3 18" xfId="3464" xr:uid="{00000000-0005-0000-0000-000098140000}"/>
    <cellStyle name="Output 2 3 19" xfId="3539" xr:uid="{00000000-0005-0000-0000-000099140000}"/>
    <cellStyle name="Output 2 3 2" xfId="1263" xr:uid="{00000000-0005-0000-0000-00009A140000}"/>
    <cellStyle name="Output 2 3 2 2" xfId="4248" xr:uid="{00000000-0005-0000-0000-00009B140000}"/>
    <cellStyle name="Output 2 3 2 3" xfId="4507" xr:uid="{00000000-0005-0000-0000-00009C140000}"/>
    <cellStyle name="Output 2 3 2 4" xfId="5046" xr:uid="{00000000-0005-0000-0000-00009D140000}"/>
    <cellStyle name="Output 2 3 2 5" xfId="5420" xr:uid="{00000000-0005-0000-0000-00009E140000}"/>
    <cellStyle name="Output 2 3 2 6" xfId="5997" xr:uid="{00000000-0005-0000-0000-00009F140000}"/>
    <cellStyle name="Output 2 3 20" xfId="4034" xr:uid="{00000000-0005-0000-0000-0000A0140000}"/>
    <cellStyle name="Output 2 3 21" xfId="4357" xr:uid="{00000000-0005-0000-0000-0000A1140000}"/>
    <cellStyle name="Output 2 3 22" xfId="4834" xr:uid="{00000000-0005-0000-0000-0000A2140000}"/>
    <cellStyle name="Output 2 3 23" xfId="5214" xr:uid="{00000000-0005-0000-0000-0000A3140000}"/>
    <cellStyle name="Output 2 3 24" xfId="5791" xr:uid="{00000000-0005-0000-0000-0000A4140000}"/>
    <cellStyle name="Output 2 3 3" xfId="1359" xr:uid="{00000000-0005-0000-0000-0000A5140000}"/>
    <cellStyle name="Output 2 3 4" xfId="1444" xr:uid="{00000000-0005-0000-0000-0000A6140000}"/>
    <cellStyle name="Output 2 3 5" xfId="1678" xr:uid="{00000000-0005-0000-0000-0000A7140000}"/>
    <cellStyle name="Output 2 3 6" xfId="1848" xr:uid="{00000000-0005-0000-0000-0000A8140000}"/>
    <cellStyle name="Output 2 3 7" xfId="1950" xr:uid="{00000000-0005-0000-0000-0000A9140000}"/>
    <cellStyle name="Output 2 3 8" xfId="2101" xr:uid="{00000000-0005-0000-0000-0000AA140000}"/>
    <cellStyle name="Output 2 3 9" xfId="2180" xr:uid="{00000000-0005-0000-0000-0000AB140000}"/>
    <cellStyle name="Output 2 4" xfId="886" xr:uid="{00000000-0005-0000-0000-0000AC140000}"/>
    <cellStyle name="Output 2 4 2" xfId="4060" xr:uid="{00000000-0005-0000-0000-0000AD140000}"/>
    <cellStyle name="Output 2 4 3" xfId="3863" xr:uid="{00000000-0005-0000-0000-0000AE140000}"/>
    <cellStyle name="Output 2 4 4" xfId="4860" xr:uid="{00000000-0005-0000-0000-0000AF140000}"/>
    <cellStyle name="Output 2 4 5" xfId="5240" xr:uid="{00000000-0005-0000-0000-0000B0140000}"/>
    <cellStyle name="Output 2 4 6" xfId="5817" xr:uid="{00000000-0005-0000-0000-0000B1140000}"/>
    <cellStyle name="Output 2 5" xfId="1104" xr:uid="{00000000-0005-0000-0000-0000B2140000}"/>
    <cellStyle name="Output 2 6" xfId="802" xr:uid="{00000000-0005-0000-0000-0000B3140000}"/>
    <cellStyle name="Output 2 7" xfId="1485" xr:uid="{00000000-0005-0000-0000-0000B4140000}"/>
    <cellStyle name="Output 2 8" xfId="1066" xr:uid="{00000000-0005-0000-0000-0000B5140000}"/>
    <cellStyle name="Output 2 9" xfId="1783" xr:uid="{00000000-0005-0000-0000-0000B6140000}"/>
    <cellStyle name="Output 3" xfId="340" xr:uid="{00000000-0005-0000-0000-0000B7140000}"/>
    <cellStyle name="Output 3 10" xfId="1801" xr:uid="{00000000-0005-0000-0000-0000B8140000}"/>
    <cellStyle name="Output 3 11" xfId="2169" xr:uid="{00000000-0005-0000-0000-0000B9140000}"/>
    <cellStyle name="Output 3 12" xfId="1818" xr:uid="{00000000-0005-0000-0000-0000BA140000}"/>
    <cellStyle name="Output 3 13" xfId="2254" xr:uid="{00000000-0005-0000-0000-0000BB140000}"/>
    <cellStyle name="Output 3 14" xfId="2174" xr:uid="{00000000-0005-0000-0000-0000BC140000}"/>
    <cellStyle name="Output 3 15" xfId="1508" xr:uid="{00000000-0005-0000-0000-0000BD140000}"/>
    <cellStyle name="Output 3 16" xfId="2853" xr:uid="{00000000-0005-0000-0000-0000BE140000}"/>
    <cellStyle name="Output 3 17" xfId="2905" xr:uid="{00000000-0005-0000-0000-0000BF140000}"/>
    <cellStyle name="Output 3 18" xfId="3266" xr:uid="{00000000-0005-0000-0000-0000C0140000}"/>
    <cellStyle name="Output 3 19" xfId="3706" xr:uid="{00000000-0005-0000-0000-0000C1140000}"/>
    <cellStyle name="Output 3 2" xfId="694" xr:uid="{00000000-0005-0000-0000-0000C2140000}"/>
    <cellStyle name="Output 3 2 10" xfId="2213" xr:uid="{00000000-0005-0000-0000-0000C3140000}"/>
    <cellStyle name="Output 3 2 11" xfId="1120" xr:uid="{00000000-0005-0000-0000-0000C4140000}"/>
    <cellStyle name="Output 3 2 12" xfId="2439" xr:uid="{00000000-0005-0000-0000-0000C5140000}"/>
    <cellStyle name="Output 3 2 13" xfId="2619" xr:uid="{00000000-0005-0000-0000-0000C6140000}"/>
    <cellStyle name="Output 3 2 14" xfId="2748" xr:uid="{00000000-0005-0000-0000-0000C7140000}"/>
    <cellStyle name="Output 3 2 15" xfId="2787" xr:uid="{00000000-0005-0000-0000-0000C8140000}"/>
    <cellStyle name="Output 3 2 16" xfId="2993" xr:uid="{00000000-0005-0000-0000-0000C9140000}"/>
    <cellStyle name="Output 3 2 17" xfId="3161" xr:uid="{00000000-0005-0000-0000-0000CA140000}"/>
    <cellStyle name="Output 3 2 18" xfId="3395" xr:uid="{00000000-0005-0000-0000-0000CB140000}"/>
    <cellStyle name="Output 3 2 19" xfId="3517" xr:uid="{00000000-0005-0000-0000-0000CC140000}"/>
    <cellStyle name="Output 3 2 2" xfId="1206" xr:uid="{00000000-0005-0000-0000-0000CD140000}"/>
    <cellStyle name="Output 3 2 2 2" xfId="4179" xr:uid="{00000000-0005-0000-0000-0000CE140000}"/>
    <cellStyle name="Output 3 2 2 3" xfId="3880" xr:uid="{00000000-0005-0000-0000-0000CF140000}"/>
    <cellStyle name="Output 3 2 2 4" xfId="4977" xr:uid="{00000000-0005-0000-0000-0000D0140000}"/>
    <cellStyle name="Output 3 2 2 5" xfId="5351" xr:uid="{00000000-0005-0000-0000-0000D1140000}"/>
    <cellStyle name="Output 3 2 2 6" xfId="5928" xr:uid="{00000000-0005-0000-0000-0000D2140000}"/>
    <cellStyle name="Output 3 2 20" xfId="3965" xr:uid="{00000000-0005-0000-0000-0000D3140000}"/>
    <cellStyle name="Output 3 2 21" xfId="3788" xr:uid="{00000000-0005-0000-0000-0000D4140000}"/>
    <cellStyle name="Output 3 2 22" xfId="4765" xr:uid="{00000000-0005-0000-0000-0000D5140000}"/>
    <cellStyle name="Output 3 2 23" xfId="5145" xr:uid="{00000000-0005-0000-0000-0000D6140000}"/>
    <cellStyle name="Output 3 2 24" xfId="5722" xr:uid="{00000000-0005-0000-0000-0000D7140000}"/>
    <cellStyle name="Output 3 2 3" xfId="1300" xr:uid="{00000000-0005-0000-0000-0000D8140000}"/>
    <cellStyle name="Output 3 2 4" xfId="1375" xr:uid="{00000000-0005-0000-0000-0000D9140000}"/>
    <cellStyle name="Output 3 2 5" xfId="1609" xr:uid="{00000000-0005-0000-0000-0000DA140000}"/>
    <cellStyle name="Output 3 2 6" xfId="1795" xr:uid="{00000000-0005-0000-0000-0000DB140000}"/>
    <cellStyle name="Output 3 2 7" xfId="1881" xr:uid="{00000000-0005-0000-0000-0000DC140000}"/>
    <cellStyle name="Output 3 2 8" xfId="2054" xr:uid="{00000000-0005-0000-0000-0000DD140000}"/>
    <cellStyle name="Output 3 2 9" xfId="2132" xr:uid="{00000000-0005-0000-0000-0000DE140000}"/>
    <cellStyle name="Output 3 20" xfId="3818" xr:uid="{00000000-0005-0000-0000-0000DF140000}"/>
    <cellStyle name="Output 3 21" xfId="4605" xr:uid="{00000000-0005-0000-0000-0000E0140000}"/>
    <cellStyle name="Output 3 22" xfId="4592" xr:uid="{00000000-0005-0000-0000-0000E1140000}"/>
    <cellStyle name="Output 3 23" xfId="5472" xr:uid="{00000000-0005-0000-0000-0000E2140000}"/>
    <cellStyle name="Output 3 3" xfId="745" xr:uid="{00000000-0005-0000-0000-0000E3140000}"/>
    <cellStyle name="Output 3 3 10" xfId="2243" xr:uid="{00000000-0005-0000-0000-0000E4140000}"/>
    <cellStyle name="Output 3 3 11" xfId="2311" xr:uid="{00000000-0005-0000-0000-0000E5140000}"/>
    <cellStyle name="Output 3 3 12" xfId="2490" xr:uid="{00000000-0005-0000-0000-0000E6140000}"/>
    <cellStyle name="Output 3 3 13" xfId="2670" xr:uid="{00000000-0005-0000-0000-0000E7140000}"/>
    <cellStyle name="Output 3 3 14" xfId="2763" xr:uid="{00000000-0005-0000-0000-0000E8140000}"/>
    <cellStyle name="Output 3 3 15" xfId="2802" xr:uid="{00000000-0005-0000-0000-0000E9140000}"/>
    <cellStyle name="Output 3 3 16" xfId="3044" xr:uid="{00000000-0005-0000-0000-0000EA140000}"/>
    <cellStyle name="Output 3 3 17" xfId="3212" xr:uid="{00000000-0005-0000-0000-0000EB140000}"/>
    <cellStyle name="Output 3 3 18" xfId="3446" xr:uid="{00000000-0005-0000-0000-0000EC140000}"/>
    <cellStyle name="Output 3 3 19" xfId="3532" xr:uid="{00000000-0005-0000-0000-0000ED140000}"/>
    <cellStyle name="Output 3 3 2" xfId="1250" xr:uid="{00000000-0005-0000-0000-0000EE140000}"/>
    <cellStyle name="Output 3 3 2 2" xfId="4230" xr:uid="{00000000-0005-0000-0000-0000EF140000}"/>
    <cellStyle name="Output 3 3 2 3" xfId="3850" xr:uid="{00000000-0005-0000-0000-0000F0140000}"/>
    <cellStyle name="Output 3 3 2 4" xfId="5028" xr:uid="{00000000-0005-0000-0000-0000F1140000}"/>
    <cellStyle name="Output 3 3 2 5" xfId="5402" xr:uid="{00000000-0005-0000-0000-0000F2140000}"/>
    <cellStyle name="Output 3 3 2 6" xfId="5979" xr:uid="{00000000-0005-0000-0000-0000F3140000}"/>
    <cellStyle name="Output 3 3 20" xfId="4016" xr:uid="{00000000-0005-0000-0000-0000F4140000}"/>
    <cellStyle name="Output 3 3 21" xfId="4287" xr:uid="{00000000-0005-0000-0000-0000F5140000}"/>
    <cellStyle name="Output 3 3 22" xfId="4816" xr:uid="{00000000-0005-0000-0000-0000F6140000}"/>
    <cellStyle name="Output 3 3 23" xfId="5196" xr:uid="{00000000-0005-0000-0000-0000F7140000}"/>
    <cellStyle name="Output 3 3 24" xfId="5773" xr:uid="{00000000-0005-0000-0000-0000F8140000}"/>
    <cellStyle name="Output 3 3 3" xfId="1342" xr:uid="{00000000-0005-0000-0000-0000F9140000}"/>
    <cellStyle name="Output 3 3 4" xfId="1426" xr:uid="{00000000-0005-0000-0000-0000FA140000}"/>
    <cellStyle name="Output 3 3 5" xfId="1660" xr:uid="{00000000-0005-0000-0000-0000FB140000}"/>
    <cellStyle name="Output 3 3 6" xfId="1836" xr:uid="{00000000-0005-0000-0000-0000FC140000}"/>
    <cellStyle name="Output 3 3 7" xfId="1932" xr:uid="{00000000-0005-0000-0000-0000FD140000}"/>
    <cellStyle name="Output 3 3 8" xfId="2090" xr:uid="{00000000-0005-0000-0000-0000FE140000}"/>
    <cellStyle name="Output 3 3 9" xfId="2167" xr:uid="{00000000-0005-0000-0000-0000FF140000}"/>
    <cellStyle name="Output 3 4" xfId="934" xr:uid="{00000000-0005-0000-0000-000000150000}"/>
    <cellStyle name="Output 3 4 2" xfId="4065" xr:uid="{00000000-0005-0000-0000-000001150000}"/>
    <cellStyle name="Output 3 4 3" xfId="4445" xr:uid="{00000000-0005-0000-0000-000002150000}"/>
    <cellStyle name="Output 3 4 4" xfId="4865" xr:uid="{00000000-0005-0000-0000-000003150000}"/>
    <cellStyle name="Output 3 4 5" xfId="5245" xr:uid="{00000000-0005-0000-0000-000004150000}"/>
    <cellStyle name="Output 3 4 6" xfId="5822" xr:uid="{00000000-0005-0000-0000-000005150000}"/>
    <cellStyle name="Output 3 5" xfId="931" xr:uid="{00000000-0005-0000-0000-000006150000}"/>
    <cellStyle name="Output 3 6" xfId="1087" xr:uid="{00000000-0005-0000-0000-000007150000}"/>
    <cellStyle name="Output 3 7" xfId="991" xr:uid="{00000000-0005-0000-0000-000008150000}"/>
    <cellStyle name="Output 3 8" xfId="1484" xr:uid="{00000000-0005-0000-0000-000009150000}"/>
    <cellStyle name="Output 3 9" xfId="827" xr:uid="{00000000-0005-0000-0000-00000A150000}"/>
    <cellStyle name="Pattern" xfId="97" xr:uid="{00000000-0005-0000-0000-00000B150000}"/>
    <cellStyle name="Pattern 2" xfId="538" xr:uid="{00000000-0005-0000-0000-00000C150000}"/>
    <cellStyle name="Pattern 2 2" xfId="681" xr:uid="{00000000-0005-0000-0000-00000D150000}"/>
    <cellStyle name="Pattern 2 2 10" xfId="3382" xr:uid="{00000000-0005-0000-0000-00000E150000}"/>
    <cellStyle name="Pattern 2 2 11" xfId="3952" xr:uid="{00000000-0005-0000-0000-00000F150000}"/>
    <cellStyle name="Pattern 2 2 12" xfId="4495" xr:uid="{00000000-0005-0000-0000-000010150000}"/>
    <cellStyle name="Pattern 2 2 13" xfId="4752" xr:uid="{00000000-0005-0000-0000-000011150000}"/>
    <cellStyle name="Pattern 2 2 14" xfId="5132" xr:uid="{00000000-0005-0000-0000-000012150000}"/>
    <cellStyle name="Pattern 2 2 15" xfId="5709" xr:uid="{00000000-0005-0000-0000-000013150000}"/>
    <cellStyle name="Pattern 2 2 2" xfId="841" xr:uid="{00000000-0005-0000-0000-000014150000}"/>
    <cellStyle name="Pattern 2 2 2 2" xfId="4166" xr:uid="{00000000-0005-0000-0000-000015150000}"/>
    <cellStyle name="Pattern 2 2 2 3" xfId="4499" xr:uid="{00000000-0005-0000-0000-000016150000}"/>
    <cellStyle name="Pattern 2 2 2 4" xfId="4964" xr:uid="{00000000-0005-0000-0000-000017150000}"/>
    <cellStyle name="Pattern 2 2 2 5" xfId="5338" xr:uid="{00000000-0005-0000-0000-000018150000}"/>
    <cellStyle name="Pattern 2 2 2 6" xfId="5915" xr:uid="{00000000-0005-0000-0000-000019150000}"/>
    <cellStyle name="Pattern 2 2 3" xfId="1596" xr:uid="{00000000-0005-0000-0000-00001A150000}"/>
    <cellStyle name="Pattern 2 2 4" xfId="1868" xr:uid="{00000000-0005-0000-0000-00001B150000}"/>
    <cellStyle name="Pattern 2 2 5" xfId="1333" xr:uid="{00000000-0005-0000-0000-00001C150000}"/>
    <cellStyle name="Pattern 2 2 6" xfId="2426" xr:uid="{00000000-0005-0000-0000-00001D150000}"/>
    <cellStyle name="Pattern 2 2 7" xfId="2606" xr:uid="{00000000-0005-0000-0000-00001E150000}"/>
    <cellStyle name="Pattern 2 2 8" xfId="2980" xr:uid="{00000000-0005-0000-0000-00001F150000}"/>
    <cellStyle name="Pattern 2 2 9" xfId="3148" xr:uid="{00000000-0005-0000-0000-000020150000}"/>
    <cellStyle name="Pattern 2 3" xfId="1367" xr:uid="{00000000-0005-0000-0000-000021150000}"/>
    <cellStyle name="Pattern 2 3 2" xfId="4097" xr:uid="{00000000-0005-0000-0000-000022150000}"/>
    <cellStyle name="Pattern 2 3 3" xfId="3862" xr:uid="{00000000-0005-0000-0000-000023150000}"/>
    <cellStyle name="Pattern 2 3 4" xfId="4895" xr:uid="{00000000-0005-0000-0000-000024150000}"/>
    <cellStyle name="Pattern 2 3 5" xfId="5269" xr:uid="{00000000-0005-0000-0000-000025150000}"/>
    <cellStyle name="Pattern 2 3 6" xfId="5846" xr:uid="{00000000-0005-0000-0000-000026150000}"/>
    <cellStyle name="Pattern 3" xfId="387" xr:uid="{00000000-0005-0000-0000-000027150000}"/>
    <cellStyle name="Pattern 3 10" xfId="2240" xr:uid="{00000000-0005-0000-0000-000028150000}"/>
    <cellStyle name="Pattern 3 11" xfId="2877" xr:uid="{00000000-0005-0000-0000-000029150000}"/>
    <cellStyle name="Pattern 3 12" xfId="2827" xr:uid="{00000000-0005-0000-0000-00002A150000}"/>
    <cellStyle name="Pattern 3 13" xfId="3291" xr:uid="{00000000-0005-0000-0000-00002B150000}"/>
    <cellStyle name="Pattern 3 14" xfId="3744" xr:uid="{00000000-0005-0000-0000-00002C150000}"/>
    <cellStyle name="Pattern 3 15" xfId="3693" xr:uid="{00000000-0005-0000-0000-00002D150000}"/>
    <cellStyle name="Pattern 3 16" xfId="4631" xr:uid="{00000000-0005-0000-0000-00002E150000}"/>
    <cellStyle name="Pattern 3 17" xfId="4658" xr:uid="{00000000-0005-0000-0000-00002F150000}"/>
    <cellStyle name="Pattern 3 18" xfId="5496" xr:uid="{00000000-0005-0000-0000-000030150000}"/>
    <cellStyle name="Pattern 3 2" xfId="724" xr:uid="{00000000-0005-0000-0000-000031150000}"/>
    <cellStyle name="Pattern 3 2 10" xfId="3425" xr:uid="{00000000-0005-0000-0000-000032150000}"/>
    <cellStyle name="Pattern 3 2 11" xfId="3995" xr:uid="{00000000-0005-0000-0000-000033150000}"/>
    <cellStyle name="Pattern 3 2 12" xfId="4467" xr:uid="{00000000-0005-0000-0000-000034150000}"/>
    <cellStyle name="Pattern 3 2 13" xfId="4795" xr:uid="{00000000-0005-0000-0000-000035150000}"/>
    <cellStyle name="Pattern 3 2 14" xfId="5175" xr:uid="{00000000-0005-0000-0000-000036150000}"/>
    <cellStyle name="Pattern 3 2 15" xfId="5752" xr:uid="{00000000-0005-0000-0000-000037150000}"/>
    <cellStyle name="Pattern 3 2 2" xfId="1405" xr:uid="{00000000-0005-0000-0000-000038150000}"/>
    <cellStyle name="Pattern 3 2 2 2" xfId="4209" xr:uid="{00000000-0005-0000-0000-000039150000}"/>
    <cellStyle name="Pattern 3 2 2 3" xfId="4476" xr:uid="{00000000-0005-0000-0000-00003A150000}"/>
    <cellStyle name="Pattern 3 2 2 4" xfId="5007" xr:uid="{00000000-0005-0000-0000-00003B150000}"/>
    <cellStyle name="Pattern 3 2 2 5" xfId="5381" xr:uid="{00000000-0005-0000-0000-00003C150000}"/>
    <cellStyle name="Pattern 3 2 2 6" xfId="5958" xr:uid="{00000000-0005-0000-0000-00003D150000}"/>
    <cellStyle name="Pattern 3 2 3" xfId="1639" xr:uid="{00000000-0005-0000-0000-00003E150000}"/>
    <cellStyle name="Pattern 3 2 4" xfId="1911" xr:uid="{00000000-0005-0000-0000-00003F150000}"/>
    <cellStyle name="Pattern 3 2 5" xfId="2290" xr:uid="{00000000-0005-0000-0000-000040150000}"/>
    <cellStyle name="Pattern 3 2 6" xfId="2469" xr:uid="{00000000-0005-0000-0000-000041150000}"/>
    <cellStyle name="Pattern 3 2 7" xfId="2649" xr:uid="{00000000-0005-0000-0000-000042150000}"/>
    <cellStyle name="Pattern 3 2 8" xfId="3023" xr:uid="{00000000-0005-0000-0000-000043150000}"/>
    <cellStyle name="Pattern 3 2 9" xfId="3191" xr:uid="{00000000-0005-0000-0000-000044150000}"/>
    <cellStyle name="Pattern 3 3" xfId="623" xr:uid="{00000000-0005-0000-0000-000045150000}"/>
    <cellStyle name="Pattern 3 3 10" xfId="3324" xr:uid="{00000000-0005-0000-0000-000046150000}"/>
    <cellStyle name="Pattern 3 3 11" xfId="3894" xr:uid="{00000000-0005-0000-0000-000047150000}"/>
    <cellStyle name="Pattern 3 3 12" xfId="3794" xr:uid="{00000000-0005-0000-0000-000048150000}"/>
    <cellStyle name="Pattern 3 3 13" xfId="4694" xr:uid="{00000000-0005-0000-0000-000049150000}"/>
    <cellStyle name="Pattern 3 3 14" xfId="5074" xr:uid="{00000000-0005-0000-0000-00004A150000}"/>
    <cellStyle name="Pattern 3 3 15" xfId="5651" xr:uid="{00000000-0005-0000-0000-00004B150000}"/>
    <cellStyle name="Pattern 3 3 2" xfId="1196" xr:uid="{00000000-0005-0000-0000-00004C150000}"/>
    <cellStyle name="Pattern 3 3 2 2" xfId="4108" xr:uid="{00000000-0005-0000-0000-00004D150000}"/>
    <cellStyle name="Pattern 3 3 2 3" xfId="3786" xr:uid="{00000000-0005-0000-0000-00004E150000}"/>
    <cellStyle name="Pattern 3 3 2 4" xfId="4906" xr:uid="{00000000-0005-0000-0000-00004F150000}"/>
    <cellStyle name="Pattern 3 3 2 5" xfId="5280" xr:uid="{00000000-0005-0000-0000-000050150000}"/>
    <cellStyle name="Pattern 3 3 2 6" xfId="5857" xr:uid="{00000000-0005-0000-0000-000051150000}"/>
    <cellStyle name="Pattern 3 3 3" xfId="1538" xr:uid="{00000000-0005-0000-0000-000052150000}"/>
    <cellStyle name="Pattern 3 3 4" xfId="1371" xr:uid="{00000000-0005-0000-0000-000053150000}"/>
    <cellStyle name="Pattern 3 3 5" xfId="2237" xr:uid="{00000000-0005-0000-0000-000054150000}"/>
    <cellStyle name="Pattern 3 3 6" xfId="2368" xr:uid="{00000000-0005-0000-0000-000055150000}"/>
    <cellStyle name="Pattern 3 3 7" xfId="2548" xr:uid="{00000000-0005-0000-0000-000056150000}"/>
    <cellStyle name="Pattern 3 3 8" xfId="2922" xr:uid="{00000000-0005-0000-0000-000057150000}"/>
    <cellStyle name="Pattern 3 3 9" xfId="3090" xr:uid="{00000000-0005-0000-0000-000058150000}"/>
    <cellStyle name="Pattern 3 4" xfId="737" xr:uid="{00000000-0005-0000-0000-000059150000}"/>
    <cellStyle name="Pattern 3 4 10" xfId="3438" xr:uid="{00000000-0005-0000-0000-00005A150000}"/>
    <cellStyle name="Pattern 3 4 11" xfId="4008" xr:uid="{00000000-0005-0000-0000-00005B150000}"/>
    <cellStyle name="Pattern 3 4 12" xfId="4327" xr:uid="{00000000-0005-0000-0000-00005C150000}"/>
    <cellStyle name="Pattern 3 4 13" xfId="4808" xr:uid="{00000000-0005-0000-0000-00005D150000}"/>
    <cellStyle name="Pattern 3 4 14" xfId="5188" xr:uid="{00000000-0005-0000-0000-00005E150000}"/>
    <cellStyle name="Pattern 3 4 15" xfId="5765" xr:uid="{00000000-0005-0000-0000-00005F150000}"/>
    <cellStyle name="Pattern 3 4 2" xfId="1418" xr:uid="{00000000-0005-0000-0000-000060150000}"/>
    <cellStyle name="Pattern 3 4 2 2" xfId="4222" xr:uid="{00000000-0005-0000-0000-000061150000}"/>
    <cellStyle name="Pattern 3 4 2 3" xfId="4403" xr:uid="{00000000-0005-0000-0000-000062150000}"/>
    <cellStyle name="Pattern 3 4 2 4" xfId="5020" xr:uid="{00000000-0005-0000-0000-000063150000}"/>
    <cellStyle name="Pattern 3 4 2 5" xfId="5394" xr:uid="{00000000-0005-0000-0000-000064150000}"/>
    <cellStyle name="Pattern 3 4 2 6" xfId="5971" xr:uid="{00000000-0005-0000-0000-000065150000}"/>
    <cellStyle name="Pattern 3 4 3" xfId="1652" xr:uid="{00000000-0005-0000-0000-000066150000}"/>
    <cellStyle name="Pattern 3 4 4" xfId="1924" xr:uid="{00000000-0005-0000-0000-000067150000}"/>
    <cellStyle name="Pattern 3 4 5" xfId="2303" xr:uid="{00000000-0005-0000-0000-000068150000}"/>
    <cellStyle name="Pattern 3 4 6" xfId="2482" xr:uid="{00000000-0005-0000-0000-000069150000}"/>
    <cellStyle name="Pattern 3 4 7" xfId="2662" xr:uid="{00000000-0005-0000-0000-00006A150000}"/>
    <cellStyle name="Pattern 3 4 8" xfId="3036" xr:uid="{00000000-0005-0000-0000-00006B150000}"/>
    <cellStyle name="Pattern 3 4 9" xfId="3204" xr:uid="{00000000-0005-0000-0000-00006C150000}"/>
    <cellStyle name="Pattern 3 5" xfId="990" xr:uid="{00000000-0005-0000-0000-00006D150000}"/>
    <cellStyle name="Pattern 3 6" xfId="1108" xr:uid="{00000000-0005-0000-0000-00006E150000}"/>
    <cellStyle name="Pattern 3 7" xfId="1242" xr:uid="{00000000-0005-0000-0000-00006F150000}"/>
    <cellStyle name="Pattern 3 8" xfId="1478" xr:uid="{00000000-0005-0000-0000-000070150000}"/>
    <cellStyle name="Pattern 3 9" xfId="1732" xr:uid="{00000000-0005-0000-0000-000071150000}"/>
    <cellStyle name="Pattern 4" xfId="828" xr:uid="{00000000-0005-0000-0000-000072150000}"/>
    <cellStyle name="Percent 2" xfId="275" xr:uid="{00000000-0005-0000-0000-000073150000}"/>
    <cellStyle name="Percent 2 2" xfId="539" xr:uid="{00000000-0005-0000-0000-000074150000}"/>
    <cellStyle name="Percent 3" xfId="6022" xr:uid="{04447CF1-32A7-4771-826A-6692F885D9FA}"/>
    <cellStyle name="RowLevel_1 2" xfId="163" xr:uid="{00000000-0005-0000-0000-000075150000}"/>
    <cellStyle name="Schlecht" xfId="276" xr:uid="{00000000-0005-0000-0000-000076150000}"/>
    <cellStyle name="Shade" xfId="98" xr:uid="{00000000-0005-0000-0000-000077150000}"/>
    <cellStyle name="Shade 2" xfId="99" xr:uid="{00000000-0005-0000-0000-000078150000}"/>
    <cellStyle name="Shade 2 2" xfId="541" xr:uid="{00000000-0005-0000-0000-000079150000}"/>
    <cellStyle name="Shade 2 2 2" xfId="626" xr:uid="{00000000-0005-0000-0000-00007A150000}"/>
    <cellStyle name="Shade 2 2 2 10" xfId="3327" xr:uid="{00000000-0005-0000-0000-00007B150000}"/>
    <cellStyle name="Shade 2 2 2 11" xfId="3897" xr:uid="{00000000-0005-0000-0000-00007C150000}"/>
    <cellStyle name="Shade 2 2 2 12" xfId="4392" xr:uid="{00000000-0005-0000-0000-00007D150000}"/>
    <cellStyle name="Shade 2 2 2 13" xfId="4697" xr:uid="{00000000-0005-0000-0000-00007E150000}"/>
    <cellStyle name="Shade 2 2 2 14" xfId="5077" xr:uid="{00000000-0005-0000-0000-00007F150000}"/>
    <cellStyle name="Shade 2 2 2 15" xfId="5654" xr:uid="{00000000-0005-0000-0000-000080150000}"/>
    <cellStyle name="Shade 2 2 2 2" xfId="1001" xr:uid="{00000000-0005-0000-0000-000081150000}"/>
    <cellStyle name="Shade 2 2 2 2 2" xfId="4111" xr:uid="{00000000-0005-0000-0000-000082150000}"/>
    <cellStyle name="Shade 2 2 2 2 3" xfId="4373" xr:uid="{00000000-0005-0000-0000-000083150000}"/>
    <cellStyle name="Shade 2 2 2 2 4" xfId="4909" xr:uid="{00000000-0005-0000-0000-000084150000}"/>
    <cellStyle name="Shade 2 2 2 2 5" xfId="5283" xr:uid="{00000000-0005-0000-0000-000085150000}"/>
    <cellStyle name="Shade 2 2 2 2 6" xfId="5860" xr:uid="{00000000-0005-0000-0000-000086150000}"/>
    <cellStyle name="Shade 2 2 2 3" xfId="1541" xr:uid="{00000000-0005-0000-0000-000087150000}"/>
    <cellStyle name="Shade 2 2 2 4" xfId="1312" xr:uid="{00000000-0005-0000-0000-000088150000}"/>
    <cellStyle name="Shade 2 2 2 5" xfId="1855" xr:uid="{00000000-0005-0000-0000-000089150000}"/>
    <cellStyle name="Shade 2 2 2 6" xfId="2371" xr:uid="{00000000-0005-0000-0000-00008A150000}"/>
    <cellStyle name="Shade 2 2 2 7" xfId="2551" xr:uid="{00000000-0005-0000-0000-00008B150000}"/>
    <cellStyle name="Shade 2 2 2 8" xfId="2925" xr:uid="{00000000-0005-0000-0000-00008C150000}"/>
    <cellStyle name="Shade 2 2 2 9" xfId="3093" xr:uid="{00000000-0005-0000-0000-00008D150000}"/>
    <cellStyle name="Shade 2 2 3" xfId="1290" xr:uid="{00000000-0005-0000-0000-00008E150000}"/>
    <cellStyle name="Shade 2 2 3 2" xfId="4099" xr:uid="{00000000-0005-0000-0000-00008F150000}"/>
    <cellStyle name="Shade 2 2 3 3" xfId="3695" xr:uid="{00000000-0005-0000-0000-000090150000}"/>
    <cellStyle name="Shade 2 2 3 4" xfId="4897" xr:uid="{00000000-0005-0000-0000-000091150000}"/>
    <cellStyle name="Shade 2 2 3 5" xfId="5271" xr:uid="{00000000-0005-0000-0000-000092150000}"/>
    <cellStyle name="Shade 2 2 3 6" xfId="5848" xr:uid="{00000000-0005-0000-0000-000093150000}"/>
    <cellStyle name="Shade 2 3" xfId="389" xr:uid="{00000000-0005-0000-0000-000094150000}"/>
    <cellStyle name="Shade 2 3 10" xfId="1802" xr:uid="{00000000-0005-0000-0000-000095150000}"/>
    <cellStyle name="Shade 2 3 11" xfId="2879" xr:uid="{00000000-0005-0000-0000-000096150000}"/>
    <cellStyle name="Shade 2 3 12" xfId="2821" xr:uid="{00000000-0005-0000-0000-000097150000}"/>
    <cellStyle name="Shade 2 3 13" xfId="3293" xr:uid="{00000000-0005-0000-0000-000098150000}"/>
    <cellStyle name="Shade 2 3 14" xfId="3746" xr:uid="{00000000-0005-0000-0000-000099150000}"/>
    <cellStyle name="Shade 2 3 15" xfId="3755" xr:uid="{00000000-0005-0000-0000-00009A150000}"/>
    <cellStyle name="Shade 2 3 16" xfId="4633" xr:uid="{00000000-0005-0000-0000-00009B150000}"/>
    <cellStyle name="Shade 2 3 17" xfId="4545" xr:uid="{00000000-0005-0000-0000-00009C150000}"/>
    <cellStyle name="Shade 2 3 18" xfId="5498" xr:uid="{00000000-0005-0000-0000-00009D150000}"/>
    <cellStyle name="Shade 2 3 2" xfId="726" xr:uid="{00000000-0005-0000-0000-00009E150000}"/>
    <cellStyle name="Shade 2 3 2 10" xfId="3427" xr:uid="{00000000-0005-0000-0000-00009F150000}"/>
    <cellStyle name="Shade 2 3 2 11" xfId="3997" xr:uid="{00000000-0005-0000-0000-0000A0150000}"/>
    <cellStyle name="Shade 2 3 2 12" xfId="4363" xr:uid="{00000000-0005-0000-0000-0000A1150000}"/>
    <cellStyle name="Shade 2 3 2 13" xfId="4797" xr:uid="{00000000-0005-0000-0000-0000A2150000}"/>
    <cellStyle name="Shade 2 3 2 14" xfId="5177" xr:uid="{00000000-0005-0000-0000-0000A3150000}"/>
    <cellStyle name="Shade 2 3 2 15" xfId="5754" xr:uid="{00000000-0005-0000-0000-0000A4150000}"/>
    <cellStyle name="Shade 2 3 2 2" xfId="1407" xr:uid="{00000000-0005-0000-0000-0000A5150000}"/>
    <cellStyle name="Shade 2 3 2 2 2" xfId="4211" xr:uid="{00000000-0005-0000-0000-0000A6150000}"/>
    <cellStyle name="Shade 2 3 2 2 3" xfId="4435" xr:uid="{00000000-0005-0000-0000-0000A7150000}"/>
    <cellStyle name="Shade 2 3 2 2 4" xfId="5009" xr:uid="{00000000-0005-0000-0000-0000A8150000}"/>
    <cellStyle name="Shade 2 3 2 2 5" xfId="5383" xr:uid="{00000000-0005-0000-0000-0000A9150000}"/>
    <cellStyle name="Shade 2 3 2 2 6" xfId="5960" xr:uid="{00000000-0005-0000-0000-0000AA150000}"/>
    <cellStyle name="Shade 2 3 2 3" xfId="1641" xr:uid="{00000000-0005-0000-0000-0000AB150000}"/>
    <cellStyle name="Shade 2 3 2 4" xfId="1913" xr:uid="{00000000-0005-0000-0000-0000AC150000}"/>
    <cellStyle name="Shade 2 3 2 5" xfId="2292" xr:uid="{00000000-0005-0000-0000-0000AD150000}"/>
    <cellStyle name="Shade 2 3 2 6" xfId="2471" xr:uid="{00000000-0005-0000-0000-0000AE150000}"/>
    <cellStyle name="Shade 2 3 2 7" xfId="2651" xr:uid="{00000000-0005-0000-0000-0000AF150000}"/>
    <cellStyle name="Shade 2 3 2 8" xfId="3025" xr:uid="{00000000-0005-0000-0000-0000B0150000}"/>
    <cellStyle name="Shade 2 3 2 9" xfId="3193" xr:uid="{00000000-0005-0000-0000-0000B1150000}"/>
    <cellStyle name="Shade 2 3 3" xfId="755" xr:uid="{00000000-0005-0000-0000-0000B2150000}"/>
    <cellStyle name="Shade 2 3 3 10" xfId="3456" xr:uid="{00000000-0005-0000-0000-0000B3150000}"/>
    <cellStyle name="Shade 2 3 3 11" xfId="4026" xr:uid="{00000000-0005-0000-0000-0000B4150000}"/>
    <cellStyle name="Shade 2 3 3 12" xfId="3564" xr:uid="{00000000-0005-0000-0000-0000B5150000}"/>
    <cellStyle name="Shade 2 3 3 13" xfId="4826" xr:uid="{00000000-0005-0000-0000-0000B6150000}"/>
    <cellStyle name="Shade 2 3 3 14" xfId="5206" xr:uid="{00000000-0005-0000-0000-0000B7150000}"/>
    <cellStyle name="Shade 2 3 3 15" xfId="5783" xr:uid="{00000000-0005-0000-0000-0000B8150000}"/>
    <cellStyle name="Shade 2 3 3 2" xfId="1436" xr:uid="{00000000-0005-0000-0000-0000B9150000}"/>
    <cellStyle name="Shade 2 3 3 2 2" xfId="4240" xr:uid="{00000000-0005-0000-0000-0000BA150000}"/>
    <cellStyle name="Shade 2 3 3 2 3" xfId="3831" xr:uid="{00000000-0005-0000-0000-0000BB150000}"/>
    <cellStyle name="Shade 2 3 3 2 4" xfId="5038" xr:uid="{00000000-0005-0000-0000-0000BC150000}"/>
    <cellStyle name="Shade 2 3 3 2 5" xfId="5412" xr:uid="{00000000-0005-0000-0000-0000BD150000}"/>
    <cellStyle name="Shade 2 3 3 2 6" xfId="5989" xr:uid="{00000000-0005-0000-0000-0000BE150000}"/>
    <cellStyle name="Shade 2 3 3 3" xfId="1670" xr:uid="{00000000-0005-0000-0000-0000BF150000}"/>
    <cellStyle name="Shade 2 3 3 4" xfId="1942" xr:uid="{00000000-0005-0000-0000-0000C0150000}"/>
    <cellStyle name="Shade 2 3 3 5" xfId="2321" xr:uid="{00000000-0005-0000-0000-0000C1150000}"/>
    <cellStyle name="Shade 2 3 3 6" xfId="2500" xr:uid="{00000000-0005-0000-0000-0000C2150000}"/>
    <cellStyle name="Shade 2 3 3 7" xfId="2680" xr:uid="{00000000-0005-0000-0000-0000C3150000}"/>
    <cellStyle name="Shade 2 3 3 8" xfId="3054" xr:uid="{00000000-0005-0000-0000-0000C4150000}"/>
    <cellStyle name="Shade 2 3 3 9" xfId="3222" xr:uid="{00000000-0005-0000-0000-0000C5150000}"/>
    <cellStyle name="Shade 2 3 4" xfId="669" xr:uid="{00000000-0005-0000-0000-0000C6150000}"/>
    <cellStyle name="Shade 2 3 4 10" xfId="3370" xr:uid="{00000000-0005-0000-0000-0000C7150000}"/>
    <cellStyle name="Shade 2 3 4 11" xfId="3940" xr:uid="{00000000-0005-0000-0000-0000C8150000}"/>
    <cellStyle name="Shade 2 3 4 12" xfId="3613" xr:uid="{00000000-0005-0000-0000-0000C9150000}"/>
    <cellStyle name="Shade 2 3 4 13" xfId="4740" xr:uid="{00000000-0005-0000-0000-0000CA150000}"/>
    <cellStyle name="Shade 2 3 4 14" xfId="5120" xr:uid="{00000000-0005-0000-0000-0000CB150000}"/>
    <cellStyle name="Shade 2 3 4 15" xfId="5697" xr:uid="{00000000-0005-0000-0000-0000CC150000}"/>
    <cellStyle name="Shade 2 3 4 2" xfId="1228" xr:uid="{00000000-0005-0000-0000-0000CD150000}"/>
    <cellStyle name="Shade 2 3 4 2 2" xfId="4154" xr:uid="{00000000-0005-0000-0000-0000CE150000}"/>
    <cellStyle name="Shade 2 3 4 2 3" xfId="3626" xr:uid="{00000000-0005-0000-0000-0000CF150000}"/>
    <cellStyle name="Shade 2 3 4 2 4" xfId="4952" xr:uid="{00000000-0005-0000-0000-0000D0150000}"/>
    <cellStyle name="Shade 2 3 4 2 5" xfId="5326" xr:uid="{00000000-0005-0000-0000-0000D1150000}"/>
    <cellStyle name="Shade 2 3 4 2 6" xfId="5903" xr:uid="{00000000-0005-0000-0000-0000D2150000}"/>
    <cellStyle name="Shade 2 3 4 3" xfId="1584" xr:uid="{00000000-0005-0000-0000-0000D3150000}"/>
    <cellStyle name="Shade 2 3 4 4" xfId="795" xr:uid="{00000000-0005-0000-0000-0000D4150000}"/>
    <cellStyle name="Shade 2 3 4 5" xfId="2153" xr:uid="{00000000-0005-0000-0000-0000D5150000}"/>
    <cellStyle name="Shade 2 3 4 6" xfId="2414" xr:uid="{00000000-0005-0000-0000-0000D6150000}"/>
    <cellStyle name="Shade 2 3 4 7" xfId="2594" xr:uid="{00000000-0005-0000-0000-0000D7150000}"/>
    <cellStyle name="Shade 2 3 4 8" xfId="2968" xr:uid="{00000000-0005-0000-0000-0000D8150000}"/>
    <cellStyle name="Shade 2 3 4 9" xfId="3136" xr:uid="{00000000-0005-0000-0000-0000D9150000}"/>
    <cellStyle name="Shade 2 3 5" xfId="959" xr:uid="{00000000-0005-0000-0000-0000DA150000}"/>
    <cellStyle name="Shade 2 3 6" xfId="1279" xr:uid="{00000000-0005-0000-0000-0000DB150000}"/>
    <cellStyle name="Shade 2 3 7" xfId="992" xr:uid="{00000000-0005-0000-0000-0000DC150000}"/>
    <cellStyle name="Shade 2 3 8" xfId="2084" xr:uid="{00000000-0005-0000-0000-0000DD150000}"/>
    <cellStyle name="Shade 2 3 9" xfId="2002" xr:uid="{00000000-0005-0000-0000-0000DE150000}"/>
    <cellStyle name="Shade 2 4" xfId="1249" xr:uid="{00000000-0005-0000-0000-0000DF150000}"/>
    <cellStyle name="Shade 3" xfId="540" xr:uid="{00000000-0005-0000-0000-0000E0150000}"/>
    <cellStyle name="Shade 3 2" xfId="680" xr:uid="{00000000-0005-0000-0000-0000E1150000}"/>
    <cellStyle name="Shade 3 2 10" xfId="3381" xr:uid="{00000000-0005-0000-0000-0000E2150000}"/>
    <cellStyle name="Shade 3 2 11" xfId="3951" xr:uid="{00000000-0005-0000-0000-0000E3150000}"/>
    <cellStyle name="Shade 3 2 12" xfId="4335" xr:uid="{00000000-0005-0000-0000-0000E4150000}"/>
    <cellStyle name="Shade 3 2 13" xfId="4751" xr:uid="{00000000-0005-0000-0000-0000E5150000}"/>
    <cellStyle name="Shade 3 2 14" xfId="5131" xr:uid="{00000000-0005-0000-0000-0000E6150000}"/>
    <cellStyle name="Shade 3 2 15" xfId="5708" xr:uid="{00000000-0005-0000-0000-0000E7150000}"/>
    <cellStyle name="Shade 3 2 2" xfId="1226" xr:uid="{00000000-0005-0000-0000-0000E8150000}"/>
    <cellStyle name="Shade 3 2 2 2" xfId="4165" xr:uid="{00000000-0005-0000-0000-0000E9150000}"/>
    <cellStyle name="Shade 3 2 2 3" xfId="3813" xr:uid="{00000000-0005-0000-0000-0000EA150000}"/>
    <cellStyle name="Shade 3 2 2 4" xfId="4963" xr:uid="{00000000-0005-0000-0000-0000EB150000}"/>
    <cellStyle name="Shade 3 2 2 5" xfId="5337" xr:uid="{00000000-0005-0000-0000-0000EC150000}"/>
    <cellStyle name="Shade 3 2 2 6" xfId="5914" xr:uid="{00000000-0005-0000-0000-0000ED150000}"/>
    <cellStyle name="Shade 3 2 3" xfId="1595" xr:uid="{00000000-0005-0000-0000-0000EE150000}"/>
    <cellStyle name="Shade 3 2 4" xfId="1867" xr:uid="{00000000-0005-0000-0000-0000EF150000}"/>
    <cellStyle name="Shade 3 2 5" xfId="1505" xr:uid="{00000000-0005-0000-0000-0000F0150000}"/>
    <cellStyle name="Shade 3 2 6" xfId="2425" xr:uid="{00000000-0005-0000-0000-0000F1150000}"/>
    <cellStyle name="Shade 3 2 7" xfId="2605" xr:uid="{00000000-0005-0000-0000-0000F2150000}"/>
    <cellStyle name="Shade 3 2 8" xfId="2979" xr:uid="{00000000-0005-0000-0000-0000F3150000}"/>
    <cellStyle name="Shade 3 2 9" xfId="3147" xr:uid="{00000000-0005-0000-0000-0000F4150000}"/>
    <cellStyle name="Shade 3 3" xfId="863" xr:uid="{00000000-0005-0000-0000-0000F5150000}"/>
    <cellStyle name="Shade 3 3 2" xfId="4098" xr:uid="{00000000-0005-0000-0000-0000F6150000}"/>
    <cellStyle name="Shade 3 3 3" xfId="3684" xr:uid="{00000000-0005-0000-0000-0000F7150000}"/>
    <cellStyle name="Shade 3 3 4" xfId="4896" xr:uid="{00000000-0005-0000-0000-0000F8150000}"/>
    <cellStyle name="Shade 3 3 5" xfId="5270" xr:uid="{00000000-0005-0000-0000-0000F9150000}"/>
    <cellStyle name="Shade 3 3 6" xfId="5847" xr:uid="{00000000-0005-0000-0000-0000FA150000}"/>
    <cellStyle name="Shade 4" xfId="388" xr:uid="{00000000-0005-0000-0000-0000FB150000}"/>
    <cellStyle name="Shade 4 10" xfId="2242" xr:uid="{00000000-0005-0000-0000-0000FC150000}"/>
    <cellStyle name="Shade 4 11" xfId="2878" xr:uid="{00000000-0005-0000-0000-0000FD150000}"/>
    <cellStyle name="Shade 4 12" xfId="2820" xr:uid="{00000000-0005-0000-0000-0000FE150000}"/>
    <cellStyle name="Shade 4 13" xfId="3292" xr:uid="{00000000-0005-0000-0000-0000FF150000}"/>
    <cellStyle name="Shade 4 14" xfId="3745" xr:uid="{00000000-0005-0000-0000-000000160000}"/>
    <cellStyle name="Shade 4 15" xfId="3594" xr:uid="{00000000-0005-0000-0000-000001160000}"/>
    <cellStyle name="Shade 4 16" xfId="4632" xr:uid="{00000000-0005-0000-0000-000002160000}"/>
    <cellStyle name="Shade 4 17" xfId="4584" xr:uid="{00000000-0005-0000-0000-000003160000}"/>
    <cellStyle name="Shade 4 18" xfId="5497" xr:uid="{00000000-0005-0000-0000-000004160000}"/>
    <cellStyle name="Shade 4 2" xfId="725" xr:uid="{00000000-0005-0000-0000-000005160000}"/>
    <cellStyle name="Shade 4 2 10" xfId="3426" xr:uid="{00000000-0005-0000-0000-000006160000}"/>
    <cellStyle name="Shade 4 2 2" xfId="1406" xr:uid="{00000000-0005-0000-0000-000007160000}"/>
    <cellStyle name="Shade 4 2 2 2" xfId="3996" xr:uid="{00000000-0005-0000-0000-000008160000}"/>
    <cellStyle name="Shade 4 2 2 3" xfId="4338" xr:uid="{00000000-0005-0000-0000-000009160000}"/>
    <cellStyle name="Shade 4 2 2 4" xfId="4796" xr:uid="{00000000-0005-0000-0000-00000A160000}"/>
    <cellStyle name="Shade 4 2 2 5" xfId="5176" xr:uid="{00000000-0005-0000-0000-00000B160000}"/>
    <cellStyle name="Shade 4 2 2 6" xfId="5753" xr:uid="{00000000-0005-0000-0000-00000C160000}"/>
    <cellStyle name="Shade 4 2 3" xfId="1640" xr:uid="{00000000-0005-0000-0000-00000D160000}"/>
    <cellStyle name="Shade 4 2 3 2" xfId="4210" xr:uid="{00000000-0005-0000-0000-00000E160000}"/>
    <cellStyle name="Shade 4 2 3 3" xfId="3837" xr:uid="{00000000-0005-0000-0000-00000F160000}"/>
    <cellStyle name="Shade 4 2 3 4" xfId="5008" xr:uid="{00000000-0005-0000-0000-000010160000}"/>
    <cellStyle name="Shade 4 2 3 5" xfId="5382" xr:uid="{00000000-0005-0000-0000-000011160000}"/>
    <cellStyle name="Shade 4 2 3 6" xfId="5959" xr:uid="{00000000-0005-0000-0000-000012160000}"/>
    <cellStyle name="Shade 4 2 4" xfId="1912" xr:uid="{00000000-0005-0000-0000-000013160000}"/>
    <cellStyle name="Shade 4 2 5" xfId="2291" xr:uid="{00000000-0005-0000-0000-000014160000}"/>
    <cellStyle name="Shade 4 2 6" xfId="2470" xr:uid="{00000000-0005-0000-0000-000015160000}"/>
    <cellStyle name="Shade 4 2 7" xfId="2650" xr:uid="{00000000-0005-0000-0000-000016160000}"/>
    <cellStyle name="Shade 4 2 8" xfId="3024" xr:uid="{00000000-0005-0000-0000-000017160000}"/>
    <cellStyle name="Shade 4 2 9" xfId="3192" xr:uid="{00000000-0005-0000-0000-000018160000}"/>
    <cellStyle name="Shade 4 3" xfId="754" xr:uid="{00000000-0005-0000-0000-000019160000}"/>
    <cellStyle name="Shade 4 3 10" xfId="3455" xr:uid="{00000000-0005-0000-0000-00001A160000}"/>
    <cellStyle name="Shade 4 3 11" xfId="4025" xr:uid="{00000000-0005-0000-0000-00001B160000}"/>
    <cellStyle name="Shade 4 3 12" xfId="3648" xr:uid="{00000000-0005-0000-0000-00001C160000}"/>
    <cellStyle name="Shade 4 3 13" xfId="4825" xr:uid="{00000000-0005-0000-0000-00001D160000}"/>
    <cellStyle name="Shade 4 3 14" xfId="5205" xr:uid="{00000000-0005-0000-0000-00001E160000}"/>
    <cellStyle name="Shade 4 3 15" xfId="5782" xr:uid="{00000000-0005-0000-0000-00001F160000}"/>
    <cellStyle name="Shade 4 3 2" xfId="1435" xr:uid="{00000000-0005-0000-0000-000020160000}"/>
    <cellStyle name="Shade 4 3 2 2" xfId="4239" xr:uid="{00000000-0005-0000-0000-000021160000}"/>
    <cellStyle name="Shade 4 3 2 3" xfId="4297" xr:uid="{00000000-0005-0000-0000-000022160000}"/>
    <cellStyle name="Shade 4 3 2 4" xfId="5037" xr:uid="{00000000-0005-0000-0000-000023160000}"/>
    <cellStyle name="Shade 4 3 2 5" xfId="5411" xr:uid="{00000000-0005-0000-0000-000024160000}"/>
    <cellStyle name="Shade 4 3 2 6" xfId="5988" xr:uid="{00000000-0005-0000-0000-000025160000}"/>
    <cellStyle name="Shade 4 3 3" xfId="1669" xr:uid="{00000000-0005-0000-0000-000026160000}"/>
    <cellStyle name="Shade 4 3 4" xfId="1941" xr:uid="{00000000-0005-0000-0000-000027160000}"/>
    <cellStyle name="Shade 4 3 5" xfId="2320" xr:uid="{00000000-0005-0000-0000-000028160000}"/>
    <cellStyle name="Shade 4 3 6" xfId="2499" xr:uid="{00000000-0005-0000-0000-000029160000}"/>
    <cellStyle name="Shade 4 3 7" xfId="2679" xr:uid="{00000000-0005-0000-0000-00002A160000}"/>
    <cellStyle name="Shade 4 3 8" xfId="3053" xr:uid="{00000000-0005-0000-0000-00002B160000}"/>
    <cellStyle name="Shade 4 3 9" xfId="3221" xr:uid="{00000000-0005-0000-0000-00002C160000}"/>
    <cellStyle name="Shade 4 4" xfId="616" xr:uid="{00000000-0005-0000-0000-00002D160000}"/>
    <cellStyle name="Shade 4 4 10" xfId="3317" xr:uid="{00000000-0005-0000-0000-00002E160000}"/>
    <cellStyle name="Shade 4 4 11" xfId="3887" xr:uid="{00000000-0005-0000-0000-00002F160000}"/>
    <cellStyle name="Shade 4 4 12" xfId="3661" xr:uid="{00000000-0005-0000-0000-000030160000}"/>
    <cellStyle name="Shade 4 4 13" xfId="4687" xr:uid="{00000000-0005-0000-0000-000031160000}"/>
    <cellStyle name="Shade 4 4 14" xfId="5067" xr:uid="{00000000-0005-0000-0000-000032160000}"/>
    <cellStyle name="Shade 4 4 15" xfId="5644" xr:uid="{00000000-0005-0000-0000-000033160000}"/>
    <cellStyle name="Shade 4 4 2" xfId="875" xr:uid="{00000000-0005-0000-0000-000034160000}"/>
    <cellStyle name="Shade 4 4 2 2" xfId="4101" xr:uid="{00000000-0005-0000-0000-000035160000}"/>
    <cellStyle name="Shade 4 4 2 3" xfId="4354" xr:uid="{00000000-0005-0000-0000-000036160000}"/>
    <cellStyle name="Shade 4 4 2 4" xfId="4899" xr:uid="{00000000-0005-0000-0000-000037160000}"/>
    <cellStyle name="Shade 4 4 2 5" xfId="5273" xr:uid="{00000000-0005-0000-0000-000038160000}"/>
    <cellStyle name="Shade 4 4 2 6" xfId="5850" xr:uid="{00000000-0005-0000-0000-000039160000}"/>
    <cellStyle name="Shade 4 4 3" xfId="1531" xr:uid="{00000000-0005-0000-0000-00003A160000}"/>
    <cellStyle name="Shade 4 4 4" xfId="1516" xr:uid="{00000000-0005-0000-0000-00003B160000}"/>
    <cellStyle name="Shade 4 4 5" xfId="1789" xr:uid="{00000000-0005-0000-0000-00003C160000}"/>
    <cellStyle name="Shade 4 4 6" xfId="2361" xr:uid="{00000000-0005-0000-0000-00003D160000}"/>
    <cellStyle name="Shade 4 4 7" xfId="2541" xr:uid="{00000000-0005-0000-0000-00003E160000}"/>
    <cellStyle name="Shade 4 4 8" xfId="2915" xr:uid="{00000000-0005-0000-0000-00003F160000}"/>
    <cellStyle name="Shade 4 4 9" xfId="3083" xr:uid="{00000000-0005-0000-0000-000040160000}"/>
    <cellStyle name="Shade 4 5" xfId="1013" xr:uid="{00000000-0005-0000-0000-000041160000}"/>
    <cellStyle name="Shade 4 6" xfId="815" xr:uid="{00000000-0005-0000-0000-000042160000}"/>
    <cellStyle name="Shade 4 7" xfId="845" xr:uid="{00000000-0005-0000-0000-000043160000}"/>
    <cellStyle name="Shade 4 8" xfId="784" xr:uid="{00000000-0005-0000-0000-000044160000}"/>
    <cellStyle name="Shade 4 9" xfId="1708" xr:uid="{00000000-0005-0000-0000-000045160000}"/>
    <cellStyle name="Shade 5" xfId="1062" xr:uid="{00000000-0005-0000-0000-000046160000}"/>
    <cellStyle name="Shade 5 2" xfId="3608" xr:uid="{00000000-0005-0000-0000-000047160000}"/>
    <cellStyle name="Shade 5 3" xfId="4580" xr:uid="{00000000-0005-0000-0000-000048160000}"/>
    <cellStyle name="Shade_B_border2" xfId="100" xr:uid="{00000000-0005-0000-0000-000049160000}"/>
    <cellStyle name="Standaard 2" xfId="101" xr:uid="{00000000-0005-0000-0000-00004A160000}"/>
    <cellStyle name="Standard 2" xfId="102" xr:uid="{00000000-0005-0000-0000-00004B160000}"/>
    <cellStyle name="Standard 2 2" xfId="103" xr:uid="{00000000-0005-0000-0000-00004C160000}"/>
    <cellStyle name="Standard 2 2 2" xfId="611" xr:uid="{00000000-0005-0000-0000-00004D160000}"/>
    <cellStyle name="Standard 2 2 2 2" xfId="5642" xr:uid="{00000000-0005-0000-0000-00004E160000}"/>
    <cellStyle name="Standard 2 2 3" xfId="501" xr:uid="{00000000-0005-0000-0000-00004F160000}"/>
    <cellStyle name="Standard 2 2 4" xfId="5565" xr:uid="{00000000-0005-0000-0000-000050160000}"/>
    <cellStyle name="Standard 2 3" xfId="610" xr:uid="{00000000-0005-0000-0000-000051160000}"/>
    <cellStyle name="Standard 2 3 2" xfId="5641" xr:uid="{00000000-0005-0000-0000-000052160000}"/>
    <cellStyle name="Standard 2 4" xfId="301" xr:uid="{00000000-0005-0000-0000-000053160000}"/>
    <cellStyle name="Standard 2 5" xfId="5438" xr:uid="{00000000-0005-0000-0000-000054160000}"/>
    <cellStyle name="Standard 3" xfId="104" xr:uid="{00000000-0005-0000-0000-000055160000}"/>
    <cellStyle name="Title" xfId="105" xr:uid="{00000000-0005-0000-0000-000056160000}"/>
    <cellStyle name="Title 2" xfId="106" xr:uid="{00000000-0005-0000-0000-000057160000}"/>
    <cellStyle name="Title 2 2" xfId="278" xr:uid="{00000000-0005-0000-0000-000058160000}"/>
    <cellStyle name="Title 3" xfId="341" xr:uid="{00000000-0005-0000-0000-000059160000}"/>
    <cellStyle name="Total" xfId="107" xr:uid="{00000000-0005-0000-0000-00005A160000}"/>
    <cellStyle name="Total 2" xfId="279" xr:uid="{00000000-0005-0000-0000-00005B160000}"/>
    <cellStyle name="Total 2 10" xfId="1709" xr:uid="{00000000-0005-0000-0000-00005C160000}"/>
    <cellStyle name="Total 2 11" xfId="1846" xr:uid="{00000000-0005-0000-0000-00005D160000}"/>
    <cellStyle name="Total 2 12" xfId="1969" xr:uid="{00000000-0005-0000-0000-00005E160000}"/>
    <cellStyle name="Total 2 13" xfId="2001" xr:uid="{00000000-0005-0000-0000-00005F160000}"/>
    <cellStyle name="Total 2 14" xfId="2107" xr:uid="{00000000-0005-0000-0000-000060160000}"/>
    <cellStyle name="Total 2 15" xfId="2015" xr:uid="{00000000-0005-0000-0000-000061160000}"/>
    <cellStyle name="Total 2 16" xfId="907" xr:uid="{00000000-0005-0000-0000-000062160000}"/>
    <cellStyle name="Total 2 17" xfId="1099" xr:uid="{00000000-0005-0000-0000-000063160000}"/>
    <cellStyle name="Total 2 18" xfId="2706" xr:uid="{00000000-0005-0000-0000-000064160000}"/>
    <cellStyle name="Total 2 19" xfId="2847" xr:uid="{00000000-0005-0000-0000-000065160000}"/>
    <cellStyle name="Total 2 2" xfId="671" xr:uid="{00000000-0005-0000-0000-000066160000}"/>
    <cellStyle name="Total 2 2 10" xfId="2198" xr:uid="{00000000-0005-0000-0000-000067160000}"/>
    <cellStyle name="Total 2 2 11" xfId="922" xr:uid="{00000000-0005-0000-0000-000068160000}"/>
    <cellStyle name="Total 2 2 12" xfId="2416" xr:uid="{00000000-0005-0000-0000-000069160000}"/>
    <cellStyle name="Total 2 2 13" xfId="2596" xr:uid="{00000000-0005-0000-0000-00006A160000}"/>
    <cellStyle name="Total 2 2 14" xfId="2737" xr:uid="{00000000-0005-0000-0000-00006B160000}"/>
    <cellStyle name="Total 2 2 15" xfId="2777" xr:uid="{00000000-0005-0000-0000-00006C160000}"/>
    <cellStyle name="Total 2 2 16" xfId="2970" xr:uid="{00000000-0005-0000-0000-00006D160000}"/>
    <cellStyle name="Total 2 2 17" xfId="3138" xr:uid="{00000000-0005-0000-0000-00006E160000}"/>
    <cellStyle name="Total 2 2 18" xfId="3372" xr:uid="{00000000-0005-0000-0000-00006F160000}"/>
    <cellStyle name="Total 2 2 19" xfId="3507" xr:uid="{00000000-0005-0000-0000-000070160000}"/>
    <cellStyle name="Total 2 2 2" xfId="1185" xr:uid="{00000000-0005-0000-0000-000071160000}"/>
    <cellStyle name="Total 2 2 2 2" xfId="4156" xr:uid="{00000000-0005-0000-0000-000072160000}"/>
    <cellStyle name="Total 2 2 2 3" xfId="4291" xr:uid="{00000000-0005-0000-0000-000073160000}"/>
    <cellStyle name="Total 2 2 2 4" xfId="4954" xr:uid="{00000000-0005-0000-0000-000074160000}"/>
    <cellStyle name="Total 2 2 2 5" xfId="5328" xr:uid="{00000000-0005-0000-0000-000075160000}"/>
    <cellStyle name="Total 2 2 2 6" xfId="5905" xr:uid="{00000000-0005-0000-0000-000076160000}"/>
    <cellStyle name="Total 2 2 20" xfId="3942" xr:uid="{00000000-0005-0000-0000-000077160000}"/>
    <cellStyle name="Total 2 2 21" xfId="3852" xr:uid="{00000000-0005-0000-0000-000078160000}"/>
    <cellStyle name="Total 2 2 22" xfId="4742" xr:uid="{00000000-0005-0000-0000-000079160000}"/>
    <cellStyle name="Total 2 2 23" xfId="5122" xr:uid="{00000000-0005-0000-0000-00007A160000}"/>
    <cellStyle name="Total 2 2 24" xfId="5699" xr:uid="{00000000-0005-0000-0000-00007B160000}"/>
    <cellStyle name="Total 2 2 3" xfId="900" xr:uid="{00000000-0005-0000-0000-00007C160000}"/>
    <cellStyle name="Total 2 2 4" xfId="1159" xr:uid="{00000000-0005-0000-0000-00007D160000}"/>
    <cellStyle name="Total 2 2 5" xfId="1586" xr:uid="{00000000-0005-0000-0000-00007E160000}"/>
    <cellStyle name="Total 2 2 6" xfId="1776" xr:uid="{00000000-0005-0000-0000-00007F160000}"/>
    <cellStyle name="Total 2 2 7" xfId="830" xr:uid="{00000000-0005-0000-0000-000080160000}"/>
    <cellStyle name="Total 2 2 8" xfId="2038" xr:uid="{00000000-0005-0000-0000-000081160000}"/>
    <cellStyle name="Total 2 2 9" xfId="1714" xr:uid="{00000000-0005-0000-0000-000082160000}"/>
    <cellStyle name="Total 2 20" xfId="2842" xr:uid="{00000000-0005-0000-0000-000083160000}"/>
    <cellStyle name="Total 2 21" xfId="3261" xr:uid="{00000000-0005-0000-0000-000084160000}"/>
    <cellStyle name="Total 2 22" xfId="3257" xr:uid="{00000000-0005-0000-0000-000085160000}"/>
    <cellStyle name="Total 2 23" xfId="3678" xr:uid="{00000000-0005-0000-0000-000086160000}"/>
    <cellStyle name="Total 2 24" xfId="4282" xr:uid="{00000000-0005-0000-0000-000087160000}"/>
    <cellStyle name="Total 2 25" xfId="4600" xr:uid="{00000000-0005-0000-0000-000088160000}"/>
    <cellStyle name="Total 2 26" xfId="4673" xr:uid="{00000000-0005-0000-0000-000089160000}"/>
    <cellStyle name="Total 2 27" xfId="5468" xr:uid="{00000000-0005-0000-0000-00008A160000}"/>
    <cellStyle name="Total 2 3" xfId="732" xr:uid="{00000000-0005-0000-0000-00008B160000}"/>
    <cellStyle name="Total 2 3 10" xfId="2232" xr:uid="{00000000-0005-0000-0000-00008C160000}"/>
    <cellStyle name="Total 2 3 11" xfId="2298" xr:uid="{00000000-0005-0000-0000-00008D160000}"/>
    <cellStyle name="Total 2 3 12" xfId="2477" xr:uid="{00000000-0005-0000-0000-00008E160000}"/>
    <cellStyle name="Total 2 3 13" xfId="2657" xr:uid="{00000000-0005-0000-0000-00008F160000}"/>
    <cellStyle name="Total 2 3 14" xfId="2759" xr:uid="{00000000-0005-0000-0000-000090160000}"/>
    <cellStyle name="Total 2 3 15" xfId="2798" xr:uid="{00000000-0005-0000-0000-000091160000}"/>
    <cellStyle name="Total 2 3 16" xfId="3031" xr:uid="{00000000-0005-0000-0000-000092160000}"/>
    <cellStyle name="Total 2 3 17" xfId="3199" xr:uid="{00000000-0005-0000-0000-000093160000}"/>
    <cellStyle name="Total 2 3 18" xfId="3433" xr:uid="{00000000-0005-0000-0000-000094160000}"/>
    <cellStyle name="Total 2 3 19" xfId="3528" xr:uid="{00000000-0005-0000-0000-000095160000}"/>
    <cellStyle name="Total 2 3 2" xfId="1237" xr:uid="{00000000-0005-0000-0000-000096160000}"/>
    <cellStyle name="Total 2 3 2 2" xfId="4217" xr:uid="{00000000-0005-0000-0000-000097160000}"/>
    <cellStyle name="Total 2 3 2 3" xfId="4310" xr:uid="{00000000-0005-0000-0000-000098160000}"/>
    <cellStyle name="Total 2 3 2 4" xfId="5015" xr:uid="{00000000-0005-0000-0000-000099160000}"/>
    <cellStyle name="Total 2 3 2 5" xfId="5389" xr:uid="{00000000-0005-0000-0000-00009A160000}"/>
    <cellStyle name="Total 2 3 2 6" xfId="5966" xr:uid="{00000000-0005-0000-0000-00009B160000}"/>
    <cellStyle name="Total 2 3 20" xfId="4003" xr:uid="{00000000-0005-0000-0000-00009C160000}"/>
    <cellStyle name="Total 2 3 21" xfId="3640" xr:uid="{00000000-0005-0000-0000-00009D160000}"/>
    <cellStyle name="Total 2 3 22" xfId="4803" xr:uid="{00000000-0005-0000-0000-00009E160000}"/>
    <cellStyle name="Total 2 3 23" xfId="5183" xr:uid="{00000000-0005-0000-0000-00009F160000}"/>
    <cellStyle name="Total 2 3 24" xfId="5760" xr:uid="{00000000-0005-0000-0000-0000A0160000}"/>
    <cellStyle name="Total 2 3 3" xfId="1329" xr:uid="{00000000-0005-0000-0000-0000A1160000}"/>
    <cellStyle name="Total 2 3 4" xfId="1413" xr:uid="{00000000-0005-0000-0000-0000A2160000}"/>
    <cellStyle name="Total 2 3 5" xfId="1647" xr:uid="{00000000-0005-0000-0000-0000A3160000}"/>
    <cellStyle name="Total 2 3 6" xfId="1825" xr:uid="{00000000-0005-0000-0000-0000A4160000}"/>
    <cellStyle name="Total 2 3 7" xfId="1919" xr:uid="{00000000-0005-0000-0000-0000A5160000}"/>
    <cellStyle name="Total 2 3 8" xfId="2081" xr:uid="{00000000-0005-0000-0000-0000A6160000}"/>
    <cellStyle name="Total 2 3 9" xfId="2158" xr:uid="{00000000-0005-0000-0000-0000A7160000}"/>
    <cellStyle name="Total 2 4" xfId="620" xr:uid="{00000000-0005-0000-0000-0000A8160000}"/>
    <cellStyle name="Total 2 4 10" xfId="2164" xr:uid="{00000000-0005-0000-0000-0000A9160000}"/>
    <cellStyle name="Total 2 4 11" xfId="1280" xr:uid="{00000000-0005-0000-0000-0000AA160000}"/>
    <cellStyle name="Total 2 4 12" xfId="2365" xr:uid="{00000000-0005-0000-0000-0000AB160000}"/>
    <cellStyle name="Total 2 4 13" xfId="2545" xr:uid="{00000000-0005-0000-0000-0000AC160000}"/>
    <cellStyle name="Total 2 4 14" xfId="2713" xr:uid="{00000000-0005-0000-0000-0000AD160000}"/>
    <cellStyle name="Total 2 4 15" xfId="2539" xr:uid="{00000000-0005-0000-0000-0000AE160000}"/>
    <cellStyle name="Total 2 4 16" xfId="2919" xr:uid="{00000000-0005-0000-0000-0000AF160000}"/>
    <cellStyle name="Total 2 4 17" xfId="3087" xr:uid="{00000000-0005-0000-0000-0000B0160000}"/>
    <cellStyle name="Total 2 4 18" xfId="3321" xr:uid="{00000000-0005-0000-0000-0000B1160000}"/>
    <cellStyle name="Total 2 4 19" xfId="3483" xr:uid="{00000000-0005-0000-0000-0000B2160000}"/>
    <cellStyle name="Total 2 4 2" xfId="1137" xr:uid="{00000000-0005-0000-0000-0000B3160000}"/>
    <cellStyle name="Total 2 4 2 2" xfId="4105" xr:uid="{00000000-0005-0000-0000-0000B4160000}"/>
    <cellStyle name="Total 2 4 2 3" xfId="3703" xr:uid="{00000000-0005-0000-0000-0000B5160000}"/>
    <cellStyle name="Total 2 4 2 4" xfId="4903" xr:uid="{00000000-0005-0000-0000-0000B6160000}"/>
    <cellStyle name="Total 2 4 2 5" xfId="5277" xr:uid="{00000000-0005-0000-0000-0000B7160000}"/>
    <cellStyle name="Total 2 4 2 6" xfId="5854" xr:uid="{00000000-0005-0000-0000-0000B8160000}"/>
    <cellStyle name="Total 2 4 20" xfId="3891" xr:uid="{00000000-0005-0000-0000-0000B9160000}"/>
    <cellStyle name="Total 2 4 21" xfId="3866" xr:uid="{00000000-0005-0000-0000-0000BA160000}"/>
    <cellStyle name="Total 2 4 22" xfId="4691" xr:uid="{00000000-0005-0000-0000-0000BB160000}"/>
    <cellStyle name="Total 2 4 23" xfId="5071" xr:uid="{00000000-0005-0000-0000-0000BC160000}"/>
    <cellStyle name="Total 2 4 24" xfId="5648" xr:uid="{00000000-0005-0000-0000-0000BD160000}"/>
    <cellStyle name="Total 2 4 3" xfId="810" xr:uid="{00000000-0005-0000-0000-0000BE160000}"/>
    <cellStyle name="Total 2 4 4" xfId="977" xr:uid="{00000000-0005-0000-0000-0000BF160000}"/>
    <cellStyle name="Total 2 4 5" xfId="1535" xr:uid="{00000000-0005-0000-0000-0000C0160000}"/>
    <cellStyle name="Total 2 4 6" xfId="1738" xr:uid="{00000000-0005-0000-0000-0000C1160000}"/>
    <cellStyle name="Total 2 4 7" xfId="1022" xr:uid="{00000000-0005-0000-0000-0000C2160000}"/>
    <cellStyle name="Total 2 4 8" xfId="1997" xr:uid="{00000000-0005-0000-0000-0000C3160000}"/>
    <cellStyle name="Total 2 4 9" xfId="1503" xr:uid="{00000000-0005-0000-0000-0000C4160000}"/>
    <cellStyle name="Total 2 5" xfId="891" xr:uid="{00000000-0005-0000-0000-0000C5160000}"/>
    <cellStyle name="Total 2 5 2" xfId="4061" xr:uid="{00000000-0005-0000-0000-0000C6160000}"/>
    <cellStyle name="Total 2 5 3" xfId="3631" xr:uid="{00000000-0005-0000-0000-0000C7160000}"/>
    <cellStyle name="Total 2 5 4" xfId="4861" xr:uid="{00000000-0005-0000-0000-0000C8160000}"/>
    <cellStyle name="Total 2 5 5" xfId="5241" xr:uid="{00000000-0005-0000-0000-0000C9160000}"/>
    <cellStyle name="Total 2 5 6" xfId="5818" xr:uid="{00000000-0005-0000-0000-0000CA160000}"/>
    <cellStyle name="Total 2 6" xfId="1102" xr:uid="{00000000-0005-0000-0000-0000CB160000}"/>
    <cellStyle name="Total 2 7" xfId="829" xr:uid="{00000000-0005-0000-0000-0000CC160000}"/>
    <cellStyle name="Total 2 8" xfId="1307" xr:uid="{00000000-0005-0000-0000-0000CD160000}"/>
    <cellStyle name="Total 2 9" xfId="1223" xr:uid="{00000000-0005-0000-0000-0000CE160000}"/>
    <cellStyle name="Total 3" xfId="342" xr:uid="{00000000-0005-0000-0000-0000CF160000}"/>
    <cellStyle name="Total 3 10" xfId="1251" xr:uid="{00000000-0005-0000-0000-0000D0160000}"/>
    <cellStyle name="Total 3 11" xfId="1129" xr:uid="{00000000-0005-0000-0000-0000D1160000}"/>
    <cellStyle name="Total 3 12" xfId="1294" xr:uid="{00000000-0005-0000-0000-0000D2160000}"/>
    <cellStyle name="Total 3 13" xfId="2050" xr:uid="{00000000-0005-0000-0000-0000D3160000}"/>
    <cellStyle name="Total 3 14" xfId="820" xr:uid="{00000000-0005-0000-0000-0000D4160000}"/>
    <cellStyle name="Total 3 15" xfId="842" xr:uid="{00000000-0005-0000-0000-0000D5160000}"/>
    <cellStyle name="Total 3 16" xfId="1744" xr:uid="{00000000-0005-0000-0000-0000D6160000}"/>
    <cellStyle name="Total 3 17" xfId="2350" xr:uid="{00000000-0005-0000-0000-0000D7160000}"/>
    <cellStyle name="Total 3 18" xfId="2355" xr:uid="{00000000-0005-0000-0000-0000D8160000}"/>
    <cellStyle name="Total 3 19" xfId="2854" xr:uid="{00000000-0005-0000-0000-0000D9160000}"/>
    <cellStyle name="Total 3 2" xfId="695" xr:uid="{00000000-0005-0000-0000-0000DA160000}"/>
    <cellStyle name="Total 3 2 10" xfId="2214" xr:uid="{00000000-0005-0000-0000-0000DB160000}"/>
    <cellStyle name="Total 3 2 11" xfId="1805" xr:uid="{00000000-0005-0000-0000-0000DC160000}"/>
    <cellStyle name="Total 3 2 12" xfId="2440" xr:uid="{00000000-0005-0000-0000-0000DD160000}"/>
    <cellStyle name="Total 3 2 13" xfId="2620" xr:uid="{00000000-0005-0000-0000-0000DE160000}"/>
    <cellStyle name="Total 3 2 14" xfId="2749" xr:uid="{00000000-0005-0000-0000-0000DF160000}"/>
    <cellStyle name="Total 3 2 15" xfId="2788" xr:uid="{00000000-0005-0000-0000-0000E0160000}"/>
    <cellStyle name="Total 3 2 16" xfId="2994" xr:uid="{00000000-0005-0000-0000-0000E1160000}"/>
    <cellStyle name="Total 3 2 17" xfId="3162" xr:uid="{00000000-0005-0000-0000-0000E2160000}"/>
    <cellStyle name="Total 3 2 18" xfId="3396" xr:uid="{00000000-0005-0000-0000-0000E3160000}"/>
    <cellStyle name="Total 3 2 19" xfId="3518" xr:uid="{00000000-0005-0000-0000-0000E4160000}"/>
    <cellStyle name="Total 3 2 2" xfId="1207" xr:uid="{00000000-0005-0000-0000-0000E5160000}"/>
    <cellStyle name="Total 3 2 2 2" xfId="4180" xr:uid="{00000000-0005-0000-0000-0000E6160000}"/>
    <cellStyle name="Total 3 2 2 3" xfId="4309" xr:uid="{00000000-0005-0000-0000-0000E7160000}"/>
    <cellStyle name="Total 3 2 2 4" xfId="4978" xr:uid="{00000000-0005-0000-0000-0000E8160000}"/>
    <cellStyle name="Total 3 2 2 5" xfId="5352" xr:uid="{00000000-0005-0000-0000-0000E9160000}"/>
    <cellStyle name="Total 3 2 2 6" xfId="5929" xr:uid="{00000000-0005-0000-0000-0000EA160000}"/>
    <cellStyle name="Total 3 2 20" xfId="3966" xr:uid="{00000000-0005-0000-0000-0000EB160000}"/>
    <cellStyle name="Total 3 2 21" xfId="3859" xr:uid="{00000000-0005-0000-0000-0000EC160000}"/>
    <cellStyle name="Total 3 2 22" xfId="4766" xr:uid="{00000000-0005-0000-0000-0000ED160000}"/>
    <cellStyle name="Total 3 2 23" xfId="5146" xr:uid="{00000000-0005-0000-0000-0000EE160000}"/>
    <cellStyle name="Total 3 2 24" xfId="5723" xr:uid="{00000000-0005-0000-0000-0000EF160000}"/>
    <cellStyle name="Total 3 2 3" xfId="1301" xr:uid="{00000000-0005-0000-0000-0000F0160000}"/>
    <cellStyle name="Total 3 2 4" xfId="1376" xr:uid="{00000000-0005-0000-0000-0000F1160000}"/>
    <cellStyle name="Total 3 2 5" xfId="1610" xr:uid="{00000000-0005-0000-0000-0000F2160000}"/>
    <cellStyle name="Total 3 2 6" xfId="1796" xr:uid="{00000000-0005-0000-0000-0000F3160000}"/>
    <cellStyle name="Total 3 2 7" xfId="1882" xr:uid="{00000000-0005-0000-0000-0000F4160000}"/>
    <cellStyle name="Total 3 2 8" xfId="2055" xr:uid="{00000000-0005-0000-0000-0000F5160000}"/>
    <cellStyle name="Total 3 2 9" xfId="2133" xr:uid="{00000000-0005-0000-0000-0000F6160000}"/>
    <cellStyle name="Total 3 20" xfId="2913" xr:uid="{00000000-0005-0000-0000-0000F7160000}"/>
    <cellStyle name="Total 3 21" xfId="3267" xr:uid="{00000000-0005-0000-0000-0000F8160000}"/>
    <cellStyle name="Total 3 22" xfId="3307" xr:uid="{00000000-0005-0000-0000-0000F9160000}"/>
    <cellStyle name="Total 3 23" xfId="3708" xr:uid="{00000000-0005-0000-0000-0000FA160000}"/>
    <cellStyle name="Total 3 24" xfId="3677" xr:uid="{00000000-0005-0000-0000-0000FB160000}"/>
    <cellStyle name="Total 3 25" xfId="4606" xr:uid="{00000000-0005-0000-0000-0000FC160000}"/>
    <cellStyle name="Total 3 26" xfId="4541" xr:uid="{00000000-0005-0000-0000-0000FD160000}"/>
    <cellStyle name="Total 3 27" xfId="5473" xr:uid="{00000000-0005-0000-0000-0000FE160000}"/>
    <cellStyle name="Total 3 3" xfId="658" xr:uid="{00000000-0005-0000-0000-0000FF160000}"/>
    <cellStyle name="Total 3 3 10" xfId="957" xr:uid="{00000000-0005-0000-0000-000000170000}"/>
    <cellStyle name="Total 3 3 11" xfId="1986" xr:uid="{00000000-0005-0000-0000-000001170000}"/>
    <cellStyle name="Total 3 3 12" xfId="2403" xr:uid="{00000000-0005-0000-0000-000002170000}"/>
    <cellStyle name="Total 3 3 13" xfId="2583" xr:uid="{00000000-0005-0000-0000-000003170000}"/>
    <cellStyle name="Total 3 3 14" xfId="2729" xr:uid="{00000000-0005-0000-0000-000004170000}"/>
    <cellStyle name="Total 3 3 15" xfId="1981" xr:uid="{00000000-0005-0000-0000-000005170000}"/>
    <cellStyle name="Total 3 3 16" xfId="2957" xr:uid="{00000000-0005-0000-0000-000006170000}"/>
    <cellStyle name="Total 3 3 17" xfId="3125" xr:uid="{00000000-0005-0000-0000-000007170000}"/>
    <cellStyle name="Total 3 3 18" xfId="3359" xr:uid="{00000000-0005-0000-0000-000008170000}"/>
    <cellStyle name="Total 3 3 19" xfId="3499" xr:uid="{00000000-0005-0000-0000-000009170000}"/>
    <cellStyle name="Total 3 3 2" xfId="1173" xr:uid="{00000000-0005-0000-0000-00000A170000}"/>
    <cellStyle name="Total 3 3 2 2" xfId="4143" xr:uid="{00000000-0005-0000-0000-00000B170000}"/>
    <cellStyle name="Total 3 3 2 3" xfId="3840" xr:uid="{00000000-0005-0000-0000-00000C170000}"/>
    <cellStyle name="Total 3 3 2 4" xfId="4941" xr:uid="{00000000-0005-0000-0000-00000D170000}"/>
    <cellStyle name="Total 3 3 2 5" xfId="5315" xr:uid="{00000000-0005-0000-0000-00000E170000}"/>
    <cellStyle name="Total 3 3 2 6" xfId="5892" xr:uid="{00000000-0005-0000-0000-00000F170000}"/>
    <cellStyle name="Total 3 3 20" xfId="3929" xr:uid="{00000000-0005-0000-0000-000010170000}"/>
    <cellStyle name="Total 3 3 21" xfId="3700" xr:uid="{00000000-0005-0000-0000-000011170000}"/>
    <cellStyle name="Total 3 3 22" xfId="4729" xr:uid="{00000000-0005-0000-0000-000012170000}"/>
    <cellStyle name="Total 3 3 23" xfId="5109" xr:uid="{00000000-0005-0000-0000-000013170000}"/>
    <cellStyle name="Total 3 3 24" xfId="5686" xr:uid="{00000000-0005-0000-0000-000014170000}"/>
    <cellStyle name="Total 3 3 3" xfId="942" xr:uid="{00000000-0005-0000-0000-000015170000}"/>
    <cellStyle name="Total 3 3 4" xfId="1176" xr:uid="{00000000-0005-0000-0000-000016170000}"/>
    <cellStyle name="Total 3 3 5" xfId="1573" xr:uid="{00000000-0005-0000-0000-000017170000}"/>
    <cellStyle name="Total 3 3 6" xfId="1765" xr:uid="{00000000-0005-0000-0000-000018170000}"/>
    <cellStyle name="Total 3 3 7" xfId="1338" xr:uid="{00000000-0005-0000-0000-000019170000}"/>
    <cellStyle name="Total 3 3 8" xfId="2029" xr:uid="{00000000-0005-0000-0000-00001A170000}"/>
    <cellStyle name="Total 3 3 9" xfId="1722" xr:uid="{00000000-0005-0000-0000-00001B170000}"/>
    <cellStyle name="Total 3 4" xfId="699" xr:uid="{00000000-0005-0000-0000-00001C170000}"/>
    <cellStyle name="Total 3 4 10" xfId="2218" xr:uid="{00000000-0005-0000-0000-00001D170000}"/>
    <cellStyle name="Total 3 4 11" xfId="1082" xr:uid="{00000000-0005-0000-0000-00001E170000}"/>
    <cellStyle name="Total 3 4 12" xfId="2444" xr:uid="{00000000-0005-0000-0000-00001F170000}"/>
    <cellStyle name="Total 3 4 13" xfId="2624" xr:uid="{00000000-0005-0000-0000-000020170000}"/>
    <cellStyle name="Total 3 4 14" xfId="2751" xr:uid="{00000000-0005-0000-0000-000021170000}"/>
    <cellStyle name="Total 3 4 15" xfId="2790" xr:uid="{00000000-0005-0000-0000-000022170000}"/>
    <cellStyle name="Total 3 4 16" xfId="2998" xr:uid="{00000000-0005-0000-0000-000023170000}"/>
    <cellStyle name="Total 3 4 17" xfId="3166" xr:uid="{00000000-0005-0000-0000-000024170000}"/>
    <cellStyle name="Total 3 4 18" xfId="3400" xr:uid="{00000000-0005-0000-0000-000025170000}"/>
    <cellStyle name="Total 3 4 19" xfId="3520" xr:uid="{00000000-0005-0000-0000-000026170000}"/>
    <cellStyle name="Total 3 4 2" xfId="1211" xr:uid="{00000000-0005-0000-0000-000027170000}"/>
    <cellStyle name="Total 3 4 2 2" xfId="4184" xr:uid="{00000000-0005-0000-0000-000028170000}"/>
    <cellStyle name="Total 3 4 2 3" xfId="3785" xr:uid="{00000000-0005-0000-0000-000029170000}"/>
    <cellStyle name="Total 3 4 2 4" xfId="4982" xr:uid="{00000000-0005-0000-0000-00002A170000}"/>
    <cellStyle name="Total 3 4 2 5" xfId="5356" xr:uid="{00000000-0005-0000-0000-00002B170000}"/>
    <cellStyle name="Total 3 4 2 6" xfId="5933" xr:uid="{00000000-0005-0000-0000-00002C170000}"/>
    <cellStyle name="Total 3 4 20" xfId="3970" xr:uid="{00000000-0005-0000-0000-00002D170000}"/>
    <cellStyle name="Total 3 4 21" xfId="4284" xr:uid="{00000000-0005-0000-0000-00002E170000}"/>
    <cellStyle name="Total 3 4 22" xfId="4770" xr:uid="{00000000-0005-0000-0000-00002F170000}"/>
    <cellStyle name="Total 3 4 23" xfId="5150" xr:uid="{00000000-0005-0000-0000-000030170000}"/>
    <cellStyle name="Total 3 4 24" xfId="5727" xr:uid="{00000000-0005-0000-0000-000031170000}"/>
    <cellStyle name="Total 3 4 3" xfId="1305" xr:uid="{00000000-0005-0000-0000-000032170000}"/>
    <cellStyle name="Total 3 4 4" xfId="1380" xr:uid="{00000000-0005-0000-0000-000033170000}"/>
    <cellStyle name="Total 3 4 5" xfId="1614" xr:uid="{00000000-0005-0000-0000-000034170000}"/>
    <cellStyle name="Total 3 4 6" xfId="1800" xr:uid="{00000000-0005-0000-0000-000035170000}"/>
    <cellStyle name="Total 3 4 7" xfId="1886" xr:uid="{00000000-0005-0000-0000-000036170000}"/>
    <cellStyle name="Total 3 4 8" xfId="2059" xr:uid="{00000000-0005-0000-0000-000037170000}"/>
    <cellStyle name="Total 3 4 9" xfId="2137" xr:uid="{00000000-0005-0000-0000-000038170000}"/>
    <cellStyle name="Total 3 5" xfId="936" xr:uid="{00000000-0005-0000-0000-000039170000}"/>
    <cellStyle name="Total 3 5 2" xfId="4066" xr:uid="{00000000-0005-0000-0000-00003A170000}"/>
    <cellStyle name="Total 3 5 3" xfId="3760" xr:uid="{00000000-0005-0000-0000-00003B170000}"/>
    <cellStyle name="Total 3 5 4" xfId="4866" xr:uid="{00000000-0005-0000-0000-00003C170000}"/>
    <cellStyle name="Total 3 5 5" xfId="5246" xr:uid="{00000000-0005-0000-0000-00003D170000}"/>
    <cellStyle name="Total 3 5 6" xfId="5823" xr:uid="{00000000-0005-0000-0000-00003E170000}"/>
    <cellStyle name="Total 3 6" xfId="1038" xr:uid="{00000000-0005-0000-0000-00003F170000}"/>
    <cellStyle name="Total 3 7" xfId="1072" xr:uid="{00000000-0005-0000-0000-000040170000}"/>
    <cellStyle name="Total 3 8" xfId="1308" xr:uid="{00000000-0005-0000-0000-000041170000}"/>
    <cellStyle name="Total 3 9" xfId="1016" xr:uid="{00000000-0005-0000-0000-000042170000}"/>
    <cellStyle name="Überschrift" xfId="280" xr:uid="{00000000-0005-0000-0000-000043170000}"/>
    <cellStyle name="Überschrift 1" xfId="281" xr:uid="{00000000-0005-0000-0000-000044170000}"/>
    <cellStyle name="Überschrift 2" xfId="282" xr:uid="{00000000-0005-0000-0000-000045170000}"/>
    <cellStyle name="Überschrift 3" xfId="283" xr:uid="{00000000-0005-0000-0000-000046170000}"/>
    <cellStyle name="Überschrift 4" xfId="284" xr:uid="{00000000-0005-0000-0000-000047170000}"/>
    <cellStyle name="Verknüpfte Zelle" xfId="285" xr:uid="{00000000-0005-0000-0000-000048170000}"/>
    <cellStyle name="Warnender Text" xfId="286" xr:uid="{00000000-0005-0000-0000-000049170000}"/>
    <cellStyle name="Warnender Text 2" xfId="500" xr:uid="{00000000-0005-0000-0000-00004A170000}"/>
    <cellStyle name="Warnender Text 3" xfId="391" xr:uid="{00000000-0005-0000-0000-00004B170000}"/>
    <cellStyle name="Warnender Text 4" xfId="3576" hidden="1" xr:uid="{00000000-0005-0000-0000-00004C170000}"/>
    <cellStyle name="Warnender Text 4" xfId="3776" hidden="1" xr:uid="{00000000-0005-0000-0000-00004D170000}"/>
    <cellStyle name="Warnender Text 4" xfId="4281" hidden="1" xr:uid="{00000000-0005-0000-0000-00004E170000}"/>
    <cellStyle name="Warnender Text 4" xfId="4372" hidden="1" xr:uid="{00000000-0005-0000-0000-00004F170000}"/>
    <cellStyle name="Warnender Text 4" xfId="4401" hidden="1" xr:uid="{00000000-0005-0000-0000-000050170000}"/>
    <cellStyle name="Warnender Text 4" xfId="4464" hidden="1" xr:uid="{00000000-0005-0000-0000-000051170000}"/>
    <cellStyle name="Warnender Text 4" xfId="4552" hidden="1" xr:uid="{00000000-0005-0000-0000-000052170000}"/>
    <cellStyle name="Warnender Text 4" xfId="4644" hidden="1" xr:uid="{00000000-0005-0000-0000-000053170000}"/>
    <cellStyle name="Warnender Text 4" xfId="5441" hidden="1" xr:uid="{00000000-0005-0000-0000-000054170000}"/>
    <cellStyle name="Warning Text" xfId="108" xr:uid="{00000000-0005-0000-0000-000055170000}"/>
    <cellStyle name="Warning Text 2" xfId="287" xr:uid="{00000000-0005-0000-0000-000056170000}"/>
    <cellStyle name="Warning Text 3" xfId="343" xr:uid="{00000000-0005-0000-0000-000057170000}"/>
    <cellStyle name="Zelle überprüfen" xfId="288" xr:uid="{00000000-0005-0000-0000-000058170000}"/>
    <cellStyle name="Гиперссылка" xfId="109" xr:uid="{00000000-0005-0000-0000-000059170000}"/>
    <cellStyle name="Гиперссылка 2" xfId="289" xr:uid="{00000000-0005-0000-0000-00005A170000}"/>
    <cellStyle name="Гиперссылка 3" xfId="298" xr:uid="{00000000-0005-0000-0000-00005B170000}"/>
    <cellStyle name="Гиперссылка 4" xfId="474" xr:uid="{00000000-0005-0000-0000-00005C170000}"/>
    <cellStyle name="Обычный 2" xfId="110" xr:uid="{00000000-0005-0000-0000-00005D170000}"/>
    <cellStyle name="Обычный 3" xfId="111" xr:uid="{00000000-0005-0000-0000-00005E170000}"/>
    <cellStyle name="Обычный_2++" xfId="112" xr:uid="{00000000-0005-0000-0000-00005F170000}"/>
    <cellStyle name="Обычный_CRF2002 (1)" xfId="113" xr:uid="{00000000-0005-0000-0000-000060170000}"/>
    <cellStyle name="パーセント" xfId="3547" builtinId="5"/>
    <cellStyle name="パーセント 2" xfId="114" xr:uid="{00000000-0005-0000-0000-000062170000}"/>
    <cellStyle name="パーセント 3" xfId="115" xr:uid="{00000000-0005-0000-0000-000063170000}"/>
    <cellStyle name="ハイパーリンク" xfId="116" builtinId="8"/>
    <cellStyle name="ハイパーリンク 10" xfId="117" xr:uid="{00000000-0005-0000-0000-000065170000}"/>
    <cellStyle name="ハイパーリンク 11" xfId="344" xr:uid="{00000000-0005-0000-0000-000066170000}"/>
    <cellStyle name="ハイパーリンク 2" xfId="118" xr:uid="{00000000-0005-0000-0000-000067170000}"/>
    <cellStyle name="ハイパーリンク 3" xfId="119" xr:uid="{00000000-0005-0000-0000-000068170000}"/>
    <cellStyle name="ハイパーリンク 4" xfId="120" xr:uid="{00000000-0005-0000-0000-000069170000}"/>
    <cellStyle name="ハイパーリンク 5" xfId="121" xr:uid="{00000000-0005-0000-0000-00006A170000}"/>
    <cellStyle name="ハイパーリンク 6" xfId="122" xr:uid="{00000000-0005-0000-0000-00006B170000}"/>
    <cellStyle name="ハイパーリンク 7" xfId="123" xr:uid="{00000000-0005-0000-0000-00006C170000}"/>
    <cellStyle name="ハイパーリンク 8" xfId="124" xr:uid="{00000000-0005-0000-0000-00006D170000}"/>
    <cellStyle name="ハイパーリンク 9" xfId="125" xr:uid="{00000000-0005-0000-0000-00006E170000}"/>
    <cellStyle name="桁区切り" xfId="6015" builtinId="6"/>
    <cellStyle name="桁区切り [0.00]" xfId="3546" builtinId="3"/>
    <cellStyle name="桁区切り 2" xfId="126" xr:uid="{00000000-0005-0000-0000-000070170000}"/>
    <cellStyle name="桁区切り 3" xfId="127" xr:uid="{00000000-0005-0000-0000-000071170000}"/>
    <cellStyle name="入力 2" xfId="141" xr:uid="{00000000-0005-0000-0000-000072170000}"/>
    <cellStyle name="標準" xfId="0" builtinId="0"/>
    <cellStyle name="標準 10" xfId="128" xr:uid="{00000000-0005-0000-0000-000074170000}"/>
    <cellStyle name="標準 11" xfId="129" xr:uid="{00000000-0005-0000-0000-000075170000}"/>
    <cellStyle name="標準 12" xfId="130" xr:uid="{00000000-0005-0000-0000-000076170000}"/>
    <cellStyle name="標準 13" xfId="131" xr:uid="{00000000-0005-0000-0000-000077170000}"/>
    <cellStyle name="標準 14" xfId="140" xr:uid="{00000000-0005-0000-0000-000078170000}"/>
    <cellStyle name="標準 15" xfId="5437" xr:uid="{00000000-0005-0000-0000-000079170000}"/>
    <cellStyle name="標準 2" xfId="132" xr:uid="{00000000-0005-0000-0000-00007A170000}"/>
    <cellStyle name="標準 3" xfId="133" xr:uid="{00000000-0005-0000-0000-00007B170000}"/>
    <cellStyle name="標準 4" xfId="134" xr:uid="{00000000-0005-0000-0000-00007C170000}"/>
    <cellStyle name="標準 5" xfId="135" xr:uid="{00000000-0005-0000-0000-00007D170000}"/>
    <cellStyle name="標準 6" xfId="136" xr:uid="{00000000-0005-0000-0000-00007E170000}"/>
    <cellStyle name="標準 7" xfId="137" xr:uid="{00000000-0005-0000-0000-00007F170000}"/>
    <cellStyle name="標準 8" xfId="138" xr:uid="{00000000-0005-0000-0000-000080170000}"/>
    <cellStyle name="標準 9" xfId="139" xr:uid="{00000000-0005-0000-0000-000081170000}"/>
  </cellStyles>
  <dxfs count="0"/>
  <tableStyles count="0" defaultTableStyle="TableStyleMedium9" defaultPivotStyle="PivotStyleLight16"/>
  <colors>
    <mruColors>
      <color rgb="FFBAD48C"/>
      <color rgb="FFFFFFCC"/>
      <color rgb="FFA0C361"/>
      <color rgb="FF344952"/>
      <color rgb="FF4A6976"/>
      <color rgb="FF517381"/>
      <color rgb="FF7B9FAD"/>
      <color rgb="FFF6CF60"/>
      <color rgb="FFAEC5CE"/>
      <color rgb="FFB6D1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GHG emissions without LULUCF</c:v>
          </c:tx>
          <c:spPr>
            <a:ln w="28575" cap="rnd">
              <a:solidFill>
                <a:schemeClr val="accent1"/>
              </a:solidFill>
              <a:round/>
            </a:ln>
            <a:effectLst/>
          </c:spPr>
          <c:marker>
            <c:symbol val="none"/>
          </c:marker>
          <c:cat>
            <c:numRef>
              <c:f>'GHG &amp; CO2 EMISSIONS'!$E$2:$AK$2</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'GHG &amp; CO2 EMISSIONS'!$E$179:$AK$179</c:f>
              <c:numCache>
                <c:formatCode>#,##0</c:formatCode>
                <c:ptCount val="33"/>
                <c:pt idx="0">
                  <c:v>19563812.71167795</c:v>
                </c:pt>
                <c:pt idx="1">
                  <c:v>19155048.303826347</c:v>
                </c:pt>
                <c:pt idx="2">
                  <c:v>18552669.722560104</c:v>
                </c:pt>
                <c:pt idx="3">
                  <c:v>18297694.109503105</c:v>
                </c:pt>
                <c:pt idx="4">
                  <c:v>18007674.66437922</c:v>
                </c:pt>
                <c:pt idx="5">
                  <c:v>18073801.237166271</c:v>
                </c:pt>
                <c:pt idx="6">
                  <c:v>18332579.187498078</c:v>
                </c:pt>
                <c:pt idx="7">
                  <c:v>18179115.759322759</c:v>
                </c:pt>
                <c:pt idx="8">
                  <c:v>18137235.38849362</c:v>
                </c:pt>
                <c:pt idx="9">
                  <c:v>18074528.043986205</c:v>
                </c:pt>
                <c:pt idx="10">
                  <c:v>18328073.38530314</c:v>
                </c:pt>
                <c:pt idx="11">
                  <c:v>18255725.410407383</c:v>
                </c:pt>
                <c:pt idx="12">
                  <c:v>18285094.330495838</c:v>
                </c:pt>
                <c:pt idx="13">
                  <c:v>18534322.533389762</c:v>
                </c:pt>
                <c:pt idx="14">
                  <c:v>18683618.775265366</c:v>
                </c:pt>
                <c:pt idx="15">
                  <c:v>18722548.276914366</c:v>
                </c:pt>
                <c:pt idx="16">
                  <c:v>18752905.153926417</c:v>
                </c:pt>
                <c:pt idx="17">
                  <c:v>18887366.0095728</c:v>
                </c:pt>
                <c:pt idx="18">
                  <c:v>18497411.120195586</c:v>
                </c:pt>
                <c:pt idx="19">
                  <c:v>17345893.021741923</c:v>
                </c:pt>
                <c:pt idx="20">
                  <c:v>17842865.951173302</c:v>
                </c:pt>
                <c:pt idx="21">
                  <c:v>17683148.898132306</c:v>
                </c:pt>
                <c:pt idx="22">
                  <c:v>17467883.189078249</c:v>
                </c:pt>
                <c:pt idx="23">
                  <c:v>17480207.208764583</c:v>
                </c:pt>
                <c:pt idx="24">
                  <c:v>17306034.861196525</c:v>
                </c:pt>
                <c:pt idx="25">
                  <c:v>17098669.719978325</c:v>
                </c:pt>
                <c:pt idx="26">
                  <c:v>17121650.259624787</c:v>
                </c:pt>
                <c:pt idx="27">
                  <c:v>16978245.815351672</c:v>
                </c:pt>
                <c:pt idx="28">
                  <c:v>17154288.352644205</c:v>
                </c:pt>
                <c:pt idx="29">
                  <c:v>16708287.057862932</c:v>
                </c:pt>
                <c:pt idx="30">
                  <c:v>15530624.728502601</c:v>
                </c:pt>
                <c:pt idx="31">
                  <c:v>16193492.554243743</c:v>
                </c:pt>
                <c:pt idx="32">
                  <c:v>15929430.75124405</c:v>
                </c:pt>
              </c:numCache>
            </c:numRef>
          </c:val>
          <c:smooth val="0"/>
          <c:extLst>
            <c:ext xmlns:c16="http://schemas.microsoft.com/office/drawing/2014/chart" uri="{C3380CC4-5D6E-409C-BE32-E72D297353CC}">
              <c16:uniqueId val="{00000000-0171-4B76-A1FD-5C31F4999362}"/>
            </c:ext>
          </c:extLst>
        </c:ser>
        <c:ser>
          <c:idx val="1"/>
          <c:order val="1"/>
          <c:tx>
            <c:v>GHG emissions with LULUCF</c:v>
          </c:tx>
          <c:spPr>
            <a:ln w="28575" cap="rnd">
              <a:solidFill>
                <a:schemeClr val="accent3"/>
              </a:solidFill>
              <a:round/>
            </a:ln>
            <a:effectLst/>
          </c:spPr>
          <c:marker>
            <c:symbol val="none"/>
          </c:marker>
          <c:cat>
            <c:numRef>
              <c:f>'GHG &amp; CO2 EMISSIONS'!$E$2:$AK$2</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'GHG &amp; CO2 EMISSIONS'!$E$180:$AK$180</c:f>
              <c:numCache>
                <c:formatCode>#,##0</c:formatCode>
                <c:ptCount val="33"/>
                <c:pt idx="0">
                  <c:v>17824447.221695438</c:v>
                </c:pt>
                <c:pt idx="1">
                  <c:v>17189888.072549373</c:v>
                </c:pt>
                <c:pt idx="2">
                  <c:v>16519035.872782007</c:v>
                </c:pt>
                <c:pt idx="3">
                  <c:v>16063759.029737569</c:v>
                </c:pt>
                <c:pt idx="4">
                  <c:v>15587843.212859308</c:v>
                </c:pt>
                <c:pt idx="5">
                  <c:v>15559485.797741435</c:v>
                </c:pt>
                <c:pt idx="6">
                  <c:v>15728355.816079317</c:v>
                </c:pt>
                <c:pt idx="7">
                  <c:v>15540493.571560897</c:v>
                </c:pt>
                <c:pt idx="8">
                  <c:v>15440868.198783584</c:v>
                </c:pt>
                <c:pt idx="9">
                  <c:v>15321036.727939339</c:v>
                </c:pt>
                <c:pt idx="10">
                  <c:v>15660675.473800894</c:v>
                </c:pt>
                <c:pt idx="11">
                  <c:v>15409374.821932333</c:v>
                </c:pt>
                <c:pt idx="12">
                  <c:v>15517240.797669627</c:v>
                </c:pt>
                <c:pt idx="13">
                  <c:v>15638020.728685353</c:v>
                </c:pt>
                <c:pt idx="14">
                  <c:v>15677468.678387698</c:v>
                </c:pt>
                <c:pt idx="15">
                  <c:v>15719674.471268361</c:v>
                </c:pt>
                <c:pt idx="16">
                  <c:v>15805341.061253846</c:v>
                </c:pt>
                <c:pt idx="17">
                  <c:v>15901358.740907185</c:v>
                </c:pt>
                <c:pt idx="18">
                  <c:v>15499623.604160286</c:v>
                </c:pt>
                <c:pt idx="19">
                  <c:v>14299649.017081827</c:v>
                </c:pt>
                <c:pt idx="20">
                  <c:v>14700517.259946287</c:v>
                </c:pt>
                <c:pt idx="21">
                  <c:v>14832333.416765664</c:v>
                </c:pt>
                <c:pt idx="22">
                  <c:v>15001548.88463838</c:v>
                </c:pt>
                <c:pt idx="23">
                  <c:v>14675304.938778134</c:v>
                </c:pt>
                <c:pt idx="24">
                  <c:v>14594041.553714586</c:v>
                </c:pt>
                <c:pt idx="25">
                  <c:v>14575690.039492689</c:v>
                </c:pt>
                <c:pt idx="26">
                  <c:v>15314765.016219679</c:v>
                </c:pt>
                <c:pt idx="27">
                  <c:v>14408786.260219308</c:v>
                </c:pt>
                <c:pt idx="28">
                  <c:v>14704352.87398638</c:v>
                </c:pt>
                <c:pt idx="29">
                  <c:v>14472583.067593347</c:v>
                </c:pt>
                <c:pt idx="30">
                  <c:v>12984326.598446349</c:v>
                </c:pt>
                <c:pt idx="31">
                  <c:v>13841264.884818193</c:v>
                </c:pt>
                <c:pt idx="32">
                  <c:v>13396702.346827799</c:v>
                </c:pt>
              </c:numCache>
            </c:numRef>
          </c:val>
          <c:smooth val="0"/>
          <c:extLst>
            <c:ext xmlns:c16="http://schemas.microsoft.com/office/drawing/2014/chart" uri="{C3380CC4-5D6E-409C-BE32-E72D297353CC}">
              <c16:uniqueId val="{00000001-0171-4B76-A1FD-5C31F4999362}"/>
            </c:ext>
          </c:extLst>
        </c:ser>
        <c:ser>
          <c:idx val="2"/>
          <c:order val="2"/>
          <c:tx>
            <c:v>CO2 emissions without LULUCF</c:v>
          </c:tx>
          <c:spPr>
            <a:ln w="28575" cap="rnd">
              <a:solidFill>
                <a:schemeClr val="accent5"/>
              </a:solidFill>
              <a:round/>
            </a:ln>
            <a:effectLst/>
          </c:spPr>
          <c:marker>
            <c:symbol val="none"/>
          </c:marker>
          <c:cat>
            <c:numRef>
              <c:f>'GHG &amp; CO2 EMISSIONS'!$E$2:$AK$2</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'GHG &amp; CO2 EMISSIONS'!$E$181:$AK$181</c:f>
              <c:numCache>
                <c:formatCode>#,##0</c:formatCode>
                <c:ptCount val="33"/>
                <c:pt idx="0">
                  <c:v>15379753.945024243</c:v>
                </c:pt>
                <c:pt idx="1">
                  <c:v>15065769.521554854</c:v>
                </c:pt>
                <c:pt idx="2">
                  <c:v>14541699.03459578</c:v>
                </c:pt>
                <c:pt idx="3">
                  <c:v>14345918.631990582</c:v>
                </c:pt>
                <c:pt idx="4">
                  <c:v>14119922.72219207</c:v>
                </c:pt>
                <c:pt idx="5">
                  <c:v>14203525.169148996</c:v>
                </c:pt>
                <c:pt idx="6">
                  <c:v>14460292.237591214</c:v>
                </c:pt>
                <c:pt idx="7">
                  <c:v>14347636.836135104</c:v>
                </c:pt>
                <c:pt idx="8">
                  <c:v>14357344.536081798</c:v>
                </c:pt>
                <c:pt idx="9">
                  <c:v>14387000.509145861</c:v>
                </c:pt>
                <c:pt idx="10">
                  <c:v>14693818.085838256</c:v>
                </c:pt>
                <c:pt idx="11">
                  <c:v>14664890.766436361</c:v>
                </c:pt>
                <c:pt idx="12">
                  <c:v>14738763.322549324</c:v>
                </c:pt>
                <c:pt idx="13">
                  <c:v>15001112.69282667</c:v>
                </c:pt>
                <c:pt idx="14">
                  <c:v>15155351.103442706</c:v>
                </c:pt>
                <c:pt idx="15">
                  <c:v>15220604.236305369</c:v>
                </c:pt>
                <c:pt idx="16">
                  <c:v>15253520.381613053</c:v>
                </c:pt>
                <c:pt idx="17">
                  <c:v>15378164.303393802</c:v>
                </c:pt>
                <c:pt idx="18">
                  <c:v>15021876.936101716</c:v>
                </c:pt>
                <c:pt idx="19">
                  <c:v>13983061.8538348</c:v>
                </c:pt>
                <c:pt idx="20">
                  <c:v>14474270.270654706</c:v>
                </c:pt>
                <c:pt idx="21">
                  <c:v>14338408.050740458</c:v>
                </c:pt>
                <c:pt idx="22">
                  <c:v>14160575.729669653</c:v>
                </c:pt>
                <c:pt idx="23">
                  <c:v>14143269.154154785</c:v>
                </c:pt>
                <c:pt idx="24">
                  <c:v>13982273.371516414</c:v>
                </c:pt>
                <c:pt idx="25">
                  <c:v>13815572.407546967</c:v>
                </c:pt>
                <c:pt idx="26">
                  <c:v>13510049.627538592</c:v>
                </c:pt>
                <c:pt idx="27">
                  <c:v>13691732.947240075</c:v>
                </c:pt>
                <c:pt idx="28">
                  <c:v>13813135.760868676</c:v>
                </c:pt>
                <c:pt idx="29">
                  <c:v>13421108.295989092</c:v>
                </c:pt>
                <c:pt idx="30">
                  <c:v>12318053.441573944</c:v>
                </c:pt>
                <c:pt idx="31">
                  <c:v>12960772.296391837</c:v>
                </c:pt>
                <c:pt idx="32">
                  <c:v>12780667.302255623</c:v>
                </c:pt>
              </c:numCache>
            </c:numRef>
          </c:val>
          <c:smooth val="0"/>
          <c:extLst>
            <c:ext xmlns:c16="http://schemas.microsoft.com/office/drawing/2014/chart" uri="{C3380CC4-5D6E-409C-BE32-E72D297353CC}">
              <c16:uniqueId val="{00000002-0171-4B76-A1FD-5C31F4999362}"/>
            </c:ext>
          </c:extLst>
        </c:ser>
        <c:ser>
          <c:idx val="3"/>
          <c:order val="3"/>
          <c:tx>
            <c:v>CO2 emissions with LULUCF</c:v>
          </c:tx>
          <c:spPr>
            <a:ln w="28575" cap="rnd">
              <a:solidFill>
                <a:schemeClr val="accent1">
                  <a:lumMod val="60000"/>
                </a:schemeClr>
              </a:solidFill>
              <a:round/>
            </a:ln>
            <a:effectLst/>
          </c:spPr>
          <c:marker>
            <c:symbol val="none"/>
          </c:marker>
          <c:cat>
            <c:numRef>
              <c:f>'GHG &amp; CO2 EMISSIONS'!$E$2:$AK$2</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'GHG &amp; CO2 EMISSIONS'!$E$182:$AK$182</c:f>
              <c:numCache>
                <c:formatCode>#,##0</c:formatCode>
                <c:ptCount val="33"/>
                <c:pt idx="0">
                  <c:v>13498788.563823272</c:v>
                </c:pt>
                <c:pt idx="1">
                  <c:v>12958630.335904501</c:v>
                </c:pt>
                <c:pt idx="2">
                  <c:v>12370920.209936485</c:v>
                </c:pt>
                <c:pt idx="3">
                  <c:v>11975502.319306049</c:v>
                </c:pt>
                <c:pt idx="4">
                  <c:v>11558714.401824336</c:v>
                </c:pt>
                <c:pt idx="5">
                  <c:v>11553649.043306919</c:v>
                </c:pt>
                <c:pt idx="6">
                  <c:v>11714211.055345092</c:v>
                </c:pt>
                <c:pt idx="7">
                  <c:v>11573186.986955877</c:v>
                </c:pt>
                <c:pt idx="8">
                  <c:v>11520369.239979006</c:v>
                </c:pt>
                <c:pt idx="9">
                  <c:v>11492417.585242776</c:v>
                </c:pt>
                <c:pt idx="10">
                  <c:v>11874679.034869347</c:v>
                </c:pt>
                <c:pt idx="11">
                  <c:v>11674182.82566773</c:v>
                </c:pt>
                <c:pt idx="12">
                  <c:v>11813543.182676468</c:v>
                </c:pt>
                <c:pt idx="13">
                  <c:v>11944907.921191107</c:v>
                </c:pt>
                <c:pt idx="14">
                  <c:v>11984940.410848318</c:v>
                </c:pt>
                <c:pt idx="15">
                  <c:v>12053975.80892336</c:v>
                </c:pt>
                <c:pt idx="16">
                  <c:v>12146797.168846745</c:v>
                </c:pt>
                <c:pt idx="17">
                  <c:v>12233789.327275191</c:v>
                </c:pt>
                <c:pt idx="18">
                  <c:v>11860594.773346104</c:v>
                </c:pt>
                <c:pt idx="19">
                  <c:v>10776515.814174384</c:v>
                </c:pt>
                <c:pt idx="20">
                  <c:v>11190790.112416252</c:v>
                </c:pt>
                <c:pt idx="21">
                  <c:v>11335548.018390536</c:v>
                </c:pt>
                <c:pt idx="22">
                  <c:v>11517815.962742047</c:v>
                </c:pt>
                <c:pt idx="23">
                  <c:v>11192092.913073821</c:v>
                </c:pt>
                <c:pt idx="24">
                  <c:v>11124714.02175495</c:v>
                </c:pt>
                <c:pt idx="25">
                  <c:v>11130536.796634026</c:v>
                </c:pt>
                <c:pt idx="26">
                  <c:v>12212604.600744963</c:v>
                </c:pt>
                <c:pt idx="27">
                  <c:v>10970187.482251696</c:v>
                </c:pt>
                <c:pt idx="28">
                  <c:v>11210802.016223822</c:v>
                </c:pt>
                <c:pt idx="29">
                  <c:v>11040520.89078309</c:v>
                </c:pt>
                <c:pt idx="30">
                  <c:v>9622519.0416493472</c:v>
                </c:pt>
                <c:pt idx="31">
                  <c:v>10434370.596668109</c:v>
                </c:pt>
                <c:pt idx="32">
                  <c:v>10108288.131615732</c:v>
                </c:pt>
              </c:numCache>
            </c:numRef>
          </c:val>
          <c:smooth val="0"/>
          <c:extLst>
            <c:ext xmlns:c16="http://schemas.microsoft.com/office/drawing/2014/chart" uri="{C3380CC4-5D6E-409C-BE32-E72D297353CC}">
              <c16:uniqueId val="{00000003-0171-4B76-A1FD-5C31F4999362}"/>
            </c:ext>
          </c:extLst>
        </c:ser>
        <c:dLbls>
          <c:showLegendKey val="0"/>
          <c:showVal val="0"/>
          <c:showCatName val="0"/>
          <c:showSerName val="0"/>
          <c:showPercent val="0"/>
          <c:showBubbleSize val="0"/>
        </c:dLbls>
        <c:smooth val="0"/>
        <c:axId val="223546640"/>
        <c:axId val="223675776"/>
      </c:lineChart>
      <c:catAx>
        <c:axId val="22354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23675776"/>
        <c:crosses val="autoZero"/>
        <c:auto val="1"/>
        <c:lblAlgn val="ctr"/>
        <c:lblOffset val="100"/>
        <c:noMultiLvlLbl val="0"/>
      </c:catAx>
      <c:valAx>
        <c:axId val="223675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23546640"/>
        <c:crosses val="autoZero"/>
        <c:crossBetween val="between"/>
      </c:valAx>
      <c:spPr>
        <a:noFill/>
        <a:ln>
          <a:noFill/>
        </a:ln>
        <a:effectLst/>
      </c:spPr>
    </c:plotArea>
    <c:legend>
      <c:legendPos val="b"/>
      <c:layout>
        <c:manualLayout>
          <c:xMode val="edge"/>
          <c:yMode val="edge"/>
          <c:x val="0"/>
          <c:y val="0.86235197700828781"/>
          <c:w val="0.98919210319131257"/>
          <c:h val="0.11792930710968394"/>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48915581992752E-2"/>
          <c:y val="3.9679845847917401E-2"/>
          <c:w val="0.69483456195654358"/>
          <c:h val="0.88752335037675822"/>
        </c:manualLayout>
      </c:layout>
      <c:barChart>
        <c:barDir val="bar"/>
        <c:grouping val="clustered"/>
        <c:varyColors val="0"/>
        <c:ser>
          <c:idx val="0"/>
          <c:order val="0"/>
          <c:tx>
            <c:strRef>
              <c:f>'Working sheet'!$A$10</c:f>
              <c:strCache>
                <c:ptCount val="1"/>
                <c:pt idx="0">
                  <c:v>Ukraine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sheet'!$B$10</c:f>
              <c:numCache>
                <c:formatCode>0%</c:formatCode>
                <c:ptCount val="1"/>
                <c:pt idx="0">
                  <c:v>-0.66341625756408185</c:v>
                </c:pt>
              </c:numCache>
            </c:numRef>
          </c:val>
          <c:extLst>
            <c:ext xmlns:c16="http://schemas.microsoft.com/office/drawing/2014/chart" uri="{C3380CC4-5D6E-409C-BE32-E72D297353CC}">
              <c16:uniqueId val="{00000000-CCA8-4363-9EEA-493D71DC331C}"/>
            </c:ext>
          </c:extLst>
        </c:ser>
        <c:ser>
          <c:idx val="16"/>
          <c:order val="1"/>
          <c:tx>
            <c:strRef>
              <c:f>'Working sheet'!$A$11</c:f>
              <c:strCache>
                <c:ptCount val="1"/>
                <c:pt idx="0">
                  <c:v>United Kingdom</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sheet'!$B$11</c:f>
              <c:numCache>
                <c:formatCode>0%</c:formatCode>
                <c:ptCount val="1"/>
                <c:pt idx="0">
                  <c:v>-0.49162603342950228</c:v>
                </c:pt>
              </c:numCache>
            </c:numRef>
          </c:val>
          <c:extLst>
            <c:ext xmlns:c16="http://schemas.microsoft.com/office/drawing/2014/chart" uri="{C3380CC4-5D6E-409C-BE32-E72D297353CC}">
              <c16:uniqueId val="{00000001-4907-4CBA-91A7-70E4AC6041CE}"/>
            </c:ext>
          </c:extLst>
        </c:ser>
        <c:ser>
          <c:idx val="1"/>
          <c:order val="2"/>
          <c:tx>
            <c:strRef>
              <c:f>'Working sheet'!$A$12</c:f>
              <c:strCache>
                <c:ptCount val="1"/>
                <c:pt idx="0">
                  <c:v>Belarus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sheet'!$B$12</c:f>
              <c:numCache>
                <c:formatCode>0%</c:formatCode>
                <c:ptCount val="1"/>
                <c:pt idx="0">
                  <c:v>-0.39488485223084091</c:v>
                </c:pt>
              </c:numCache>
            </c:numRef>
          </c:val>
          <c:extLst>
            <c:ext xmlns:c16="http://schemas.microsoft.com/office/drawing/2014/chart" uri="{C3380CC4-5D6E-409C-BE32-E72D297353CC}">
              <c16:uniqueId val="{00000001-CCA8-4363-9EEA-493D71DC331C}"/>
            </c:ext>
          </c:extLst>
        </c:ser>
        <c:ser>
          <c:idx val="2"/>
          <c:order val="3"/>
          <c:tx>
            <c:strRef>
              <c:f>'Working sheet'!$A$13</c:f>
              <c:strCache>
                <c:ptCount val="1"/>
                <c:pt idx="0">
                  <c:v>Russia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sheet'!$B$13</c:f>
              <c:numCache>
                <c:formatCode>0%</c:formatCode>
                <c:ptCount val="1"/>
                <c:pt idx="0">
                  <c:v>-0.35025185582187623</c:v>
                </c:pt>
              </c:numCache>
            </c:numRef>
          </c:val>
          <c:extLst>
            <c:ext xmlns:c16="http://schemas.microsoft.com/office/drawing/2014/chart" uri="{C3380CC4-5D6E-409C-BE32-E72D297353CC}">
              <c16:uniqueId val="{00000002-CCA8-4363-9EEA-493D71DC331C}"/>
            </c:ext>
          </c:extLst>
        </c:ser>
        <c:ser>
          <c:idx val="7"/>
          <c:order val="4"/>
          <c:tx>
            <c:strRef>
              <c:f>'Working sheet'!$A$14</c:f>
              <c:strCache>
                <c:ptCount val="1"/>
                <c:pt idx="0">
                  <c:v>Switzerland</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sheet'!$B$14</c:f>
              <c:numCache>
                <c:formatCode>0%</c:formatCode>
                <c:ptCount val="1"/>
                <c:pt idx="0">
                  <c:v>-0.24017703517430622</c:v>
                </c:pt>
              </c:numCache>
            </c:numRef>
          </c:val>
          <c:extLst>
            <c:ext xmlns:c16="http://schemas.microsoft.com/office/drawing/2014/chart" uri="{C3380CC4-5D6E-409C-BE32-E72D297353CC}">
              <c16:uniqueId val="{00000007-CCA8-4363-9EEA-493D71DC331C}"/>
            </c:ext>
          </c:extLst>
        </c:ser>
        <c:ser>
          <c:idx val="3"/>
          <c:order val="5"/>
          <c:tx>
            <c:strRef>
              <c:f>'Working sheet'!$A$15</c:f>
              <c:strCache>
                <c:ptCount val="1"/>
                <c:pt idx="0">
                  <c:v>European Union (excl. UK)</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sheet'!$B$15</c:f>
              <c:numCache>
                <c:formatCode>0%</c:formatCode>
                <c:ptCount val="1"/>
                <c:pt idx="0">
                  <c:v>-0.30732469068505319</c:v>
                </c:pt>
              </c:numCache>
            </c:numRef>
          </c:val>
          <c:extLst>
            <c:ext xmlns:c16="http://schemas.microsoft.com/office/drawing/2014/chart" uri="{C3380CC4-5D6E-409C-BE32-E72D297353CC}">
              <c16:uniqueId val="{00000003-CCA8-4363-9EEA-493D71DC331C}"/>
            </c:ext>
          </c:extLst>
        </c:ser>
        <c:ser>
          <c:idx val="4"/>
          <c:order val="6"/>
          <c:tx>
            <c:strRef>
              <c:f>'Working sheet'!$A$16</c:f>
              <c:strCache>
                <c:ptCount val="1"/>
                <c:pt idx="0">
                  <c:v>Monaco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sheet'!$B$16</c:f>
              <c:numCache>
                <c:formatCode>0%</c:formatCode>
                <c:ptCount val="1"/>
                <c:pt idx="0">
                  <c:v>-0.34457578315091697</c:v>
                </c:pt>
              </c:numCache>
            </c:numRef>
          </c:val>
          <c:extLst>
            <c:ext xmlns:c16="http://schemas.microsoft.com/office/drawing/2014/chart" uri="{C3380CC4-5D6E-409C-BE32-E72D297353CC}">
              <c16:uniqueId val="{00000004-CCA8-4363-9EEA-493D71DC331C}"/>
            </c:ext>
          </c:extLst>
        </c:ser>
        <c:ser>
          <c:idx val="5"/>
          <c:order val="7"/>
          <c:tx>
            <c:strRef>
              <c:f>'Working sheet'!$A$17</c:f>
              <c:strCache>
                <c:ptCount val="1"/>
                <c:pt idx="0">
                  <c:v>Liechtenstein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sheet'!$B$17</c:f>
              <c:numCache>
                <c:formatCode>0%</c:formatCode>
                <c:ptCount val="1"/>
                <c:pt idx="0">
                  <c:v>-0.27724473119635384</c:v>
                </c:pt>
              </c:numCache>
            </c:numRef>
          </c:val>
          <c:extLst>
            <c:ext xmlns:c16="http://schemas.microsoft.com/office/drawing/2014/chart" uri="{C3380CC4-5D6E-409C-BE32-E72D297353CC}">
              <c16:uniqueId val="{00000005-CCA8-4363-9EEA-493D71DC331C}"/>
            </c:ext>
          </c:extLst>
        </c:ser>
        <c:ser>
          <c:idx val="6"/>
          <c:order val="8"/>
          <c:tx>
            <c:strRef>
              <c:f>'Working sheet'!$A$18</c:f>
              <c:strCache>
                <c:ptCount val="1"/>
                <c:pt idx="0">
                  <c:v>United States of America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sheet'!$B$18</c:f>
              <c:numCache>
                <c:formatCode>0%</c:formatCode>
                <c:ptCount val="1"/>
                <c:pt idx="0">
                  <c:v>-0.15363355886807839</c:v>
                </c:pt>
              </c:numCache>
            </c:numRef>
          </c:val>
          <c:extLst>
            <c:ext xmlns:c16="http://schemas.microsoft.com/office/drawing/2014/chart" uri="{C3380CC4-5D6E-409C-BE32-E72D297353CC}">
              <c16:uniqueId val="{00000006-CCA8-4363-9EEA-493D71DC331C}"/>
            </c:ext>
          </c:extLst>
        </c:ser>
        <c:ser>
          <c:idx val="8"/>
          <c:order val="9"/>
          <c:tx>
            <c:strRef>
              <c:f>'Working sheet'!$A$19</c:f>
              <c:strCache>
                <c:ptCount val="1"/>
                <c:pt idx="0">
                  <c:v>Japan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sheet'!$B$19</c:f>
              <c:numCache>
                <c:formatCode>0%</c:formatCode>
                <c:ptCount val="1"/>
                <c:pt idx="0">
                  <c:v>-0.1773499567067971</c:v>
                </c:pt>
              </c:numCache>
            </c:numRef>
          </c:val>
          <c:extLst>
            <c:ext xmlns:c16="http://schemas.microsoft.com/office/drawing/2014/chart" uri="{C3380CC4-5D6E-409C-BE32-E72D297353CC}">
              <c16:uniqueId val="{00000008-CCA8-4363-9EEA-493D71DC331C}"/>
            </c:ext>
          </c:extLst>
        </c:ser>
        <c:ser>
          <c:idx val="10"/>
          <c:order val="10"/>
          <c:tx>
            <c:strRef>
              <c:f>'Working sheet'!$A$20</c:f>
              <c:strCache>
                <c:ptCount val="1"/>
                <c:pt idx="0">
                  <c:v>Norway</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sheet'!$B$20</c:f>
              <c:numCache>
                <c:formatCode>0%</c:formatCode>
                <c:ptCount val="1"/>
                <c:pt idx="0">
                  <c:v>-4.0196115863042836E-2</c:v>
                </c:pt>
              </c:numCache>
            </c:numRef>
          </c:val>
          <c:extLst>
            <c:ext xmlns:c16="http://schemas.microsoft.com/office/drawing/2014/chart" uri="{C3380CC4-5D6E-409C-BE32-E72D297353CC}">
              <c16:uniqueId val="{0000000A-CCA8-4363-9EEA-493D71DC331C}"/>
            </c:ext>
          </c:extLst>
        </c:ser>
        <c:ser>
          <c:idx val="9"/>
          <c:order val="11"/>
          <c:tx>
            <c:strRef>
              <c:f>'Working sheet'!$A$21</c:f>
              <c:strCache>
                <c:ptCount val="1"/>
                <c:pt idx="0">
                  <c:v>Canada</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sheet'!$B$21</c:f>
              <c:numCache>
                <c:formatCode>0%</c:formatCode>
                <c:ptCount val="1"/>
                <c:pt idx="0">
                  <c:v>-7.0552412804162468E-2</c:v>
                </c:pt>
              </c:numCache>
            </c:numRef>
          </c:val>
          <c:extLst>
            <c:ext xmlns:c16="http://schemas.microsoft.com/office/drawing/2014/chart" uri="{C3380CC4-5D6E-409C-BE32-E72D297353CC}">
              <c16:uniqueId val="{00000009-CCA8-4363-9EEA-493D71DC331C}"/>
            </c:ext>
          </c:extLst>
        </c:ser>
        <c:ser>
          <c:idx val="11"/>
          <c:order val="12"/>
          <c:tx>
            <c:strRef>
              <c:f>'Working sheet'!$A$22</c:f>
              <c:strCache>
                <c:ptCount val="1"/>
                <c:pt idx="0">
                  <c:v>Kazakhstan</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sheet'!$B$22</c:f>
              <c:numCache>
                <c:formatCode>0%</c:formatCode>
                <c:ptCount val="1"/>
                <c:pt idx="0">
                  <c:v>1.4659477403115462E-2</c:v>
                </c:pt>
              </c:numCache>
            </c:numRef>
          </c:val>
          <c:extLst>
            <c:ext xmlns:c16="http://schemas.microsoft.com/office/drawing/2014/chart" uri="{C3380CC4-5D6E-409C-BE32-E72D297353CC}">
              <c16:uniqueId val="{0000000B-CCA8-4363-9EEA-493D71DC331C}"/>
            </c:ext>
          </c:extLst>
        </c:ser>
        <c:ser>
          <c:idx val="12"/>
          <c:order val="13"/>
          <c:tx>
            <c:strRef>
              <c:f>'Working sheet'!$A$23</c:f>
              <c:strCache>
                <c:ptCount val="1"/>
                <c:pt idx="0">
                  <c:v>Australia</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sheet'!$B$23</c:f>
              <c:numCache>
                <c:formatCode>0%</c:formatCode>
                <c:ptCount val="1"/>
                <c:pt idx="0">
                  <c:v>4.1046811588700605E-2</c:v>
                </c:pt>
              </c:numCache>
            </c:numRef>
          </c:val>
          <c:extLst>
            <c:ext xmlns:c16="http://schemas.microsoft.com/office/drawing/2014/chart" uri="{C3380CC4-5D6E-409C-BE32-E72D297353CC}">
              <c16:uniqueId val="{0000000C-CCA8-4363-9EEA-493D71DC331C}"/>
            </c:ext>
          </c:extLst>
        </c:ser>
        <c:ser>
          <c:idx val="13"/>
          <c:order val="14"/>
          <c:tx>
            <c:strRef>
              <c:f>'Working sheet'!$A$24</c:f>
              <c:strCache>
                <c:ptCount val="1"/>
                <c:pt idx="0">
                  <c:v>New Zealand</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sheet'!$B$24</c:f>
              <c:numCache>
                <c:formatCode>0%</c:formatCode>
                <c:ptCount val="1"/>
                <c:pt idx="0">
                  <c:v>0.13685368715262936</c:v>
                </c:pt>
              </c:numCache>
            </c:numRef>
          </c:val>
          <c:extLst>
            <c:ext xmlns:c16="http://schemas.microsoft.com/office/drawing/2014/chart" uri="{C3380CC4-5D6E-409C-BE32-E72D297353CC}">
              <c16:uniqueId val="{0000000D-CCA8-4363-9EEA-493D71DC331C}"/>
            </c:ext>
          </c:extLst>
        </c:ser>
        <c:ser>
          <c:idx val="14"/>
          <c:order val="15"/>
          <c:tx>
            <c:strRef>
              <c:f>'Working sheet'!$A$25</c:f>
              <c:strCache>
                <c:ptCount val="1"/>
                <c:pt idx="0">
                  <c:v>Iceland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sheet'!$B$25</c:f>
              <c:numCache>
                <c:formatCode>0%</c:formatCode>
                <c:ptCount val="1"/>
                <c:pt idx="0">
                  <c:v>0.28015004673783506</c:v>
                </c:pt>
              </c:numCache>
            </c:numRef>
          </c:val>
          <c:extLst>
            <c:ext xmlns:c16="http://schemas.microsoft.com/office/drawing/2014/chart" uri="{C3380CC4-5D6E-409C-BE32-E72D297353CC}">
              <c16:uniqueId val="{0000000E-CCA8-4363-9EEA-493D71DC331C}"/>
            </c:ext>
          </c:extLst>
        </c:ser>
        <c:ser>
          <c:idx val="15"/>
          <c:order val="16"/>
          <c:tx>
            <c:strRef>
              <c:f>'Working sheet'!$A$26</c:f>
              <c:strCache>
                <c:ptCount val="1"/>
                <c:pt idx="0">
                  <c:v>Turkey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sheet'!$B$26</c:f>
              <c:numCache>
                <c:formatCode>0%</c:formatCode>
                <c:ptCount val="1"/>
                <c:pt idx="0">
                  <c:v>1.4485341839171912</c:v>
                </c:pt>
              </c:numCache>
            </c:numRef>
          </c:val>
          <c:extLst>
            <c:ext xmlns:c16="http://schemas.microsoft.com/office/drawing/2014/chart" uri="{C3380CC4-5D6E-409C-BE32-E72D297353CC}">
              <c16:uniqueId val="{0000000F-CCA8-4363-9EEA-493D71DC331C}"/>
            </c:ext>
          </c:extLst>
        </c:ser>
        <c:dLbls>
          <c:dLblPos val="outEnd"/>
          <c:showLegendKey val="0"/>
          <c:showVal val="1"/>
          <c:showCatName val="0"/>
          <c:showSerName val="0"/>
          <c:showPercent val="0"/>
          <c:showBubbleSize val="0"/>
        </c:dLbls>
        <c:gapWidth val="182"/>
        <c:axId val="276816768"/>
        <c:axId val="276817328"/>
      </c:barChart>
      <c:catAx>
        <c:axId val="276816768"/>
        <c:scaling>
          <c:orientation val="minMax"/>
        </c:scaling>
        <c:delete val="1"/>
        <c:axPos val="l"/>
        <c:numFmt formatCode="General" sourceLinked="1"/>
        <c:majorTickMark val="none"/>
        <c:minorTickMark val="none"/>
        <c:tickLblPos val="nextTo"/>
        <c:crossAx val="276817328"/>
        <c:crosses val="autoZero"/>
        <c:auto val="1"/>
        <c:lblAlgn val="ctr"/>
        <c:lblOffset val="100"/>
        <c:noMultiLvlLbl val="0"/>
      </c:catAx>
      <c:valAx>
        <c:axId val="2768173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276816768"/>
        <c:crosses val="autoZero"/>
        <c:crossBetween val="between"/>
      </c:valAx>
      <c:spPr>
        <a:noFill/>
        <a:ln>
          <a:noFill/>
        </a:ln>
        <a:effectLst/>
      </c:spPr>
    </c:plotArea>
    <c:legend>
      <c:legendPos val="r"/>
      <c:layout>
        <c:manualLayout>
          <c:xMode val="edge"/>
          <c:yMode val="edge"/>
          <c:x val="0.78128593764593401"/>
          <c:y val="2.3599336843770077E-2"/>
          <c:w val="0.21223934205666989"/>
          <c:h val="0.8813011620685046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978201092598917E-2"/>
          <c:y val="1.7556744490534761E-2"/>
          <c:w val="0.70024285105831197"/>
          <c:h val="0.882118749586282"/>
        </c:manualLayout>
      </c:layout>
      <c:barChart>
        <c:barDir val="col"/>
        <c:grouping val="stacked"/>
        <c:varyColors val="0"/>
        <c:ser>
          <c:idx val="0"/>
          <c:order val="0"/>
          <c:tx>
            <c:strRef>
              <c:f>'Working sheet'!$A$31</c:f>
              <c:strCache>
                <c:ptCount val="1"/>
                <c:pt idx="0">
                  <c:v>Monaco</c:v>
                </c:pt>
              </c:strCache>
            </c:strRef>
          </c:tx>
          <c:spPr>
            <a:solidFill>
              <a:schemeClr val="accent1"/>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sheet'!$B$31:$AH$31</c:f>
              <c:numCache>
                <c:formatCode>#,##0</c:formatCode>
                <c:ptCount val="33"/>
                <c:pt idx="0">
                  <c:v>101.51214625353728</c:v>
                </c:pt>
                <c:pt idx="1">
                  <c:v>102.41395651644193</c:v>
                </c:pt>
                <c:pt idx="2">
                  <c:v>107.98422620511808</c:v>
                </c:pt>
                <c:pt idx="3">
                  <c:v>106.92218236322212</c:v>
                </c:pt>
                <c:pt idx="4">
                  <c:v>107.53615723102082</c:v>
                </c:pt>
                <c:pt idx="5">
                  <c:v>104.18724534412787</c:v>
                </c:pt>
                <c:pt idx="6">
                  <c:v>107.86782091561142</c:v>
                </c:pt>
                <c:pt idx="7">
                  <c:v>106.25856574128767</c:v>
                </c:pt>
                <c:pt idx="8">
                  <c:v>105.36412598375615</c:v>
                </c:pt>
                <c:pt idx="9">
                  <c:v>106.45151327470126</c:v>
                </c:pt>
                <c:pt idx="10">
                  <c:v>104.67246385342521</c:v>
                </c:pt>
                <c:pt idx="11">
                  <c:v>104.93332517662755</c:v>
                </c:pt>
                <c:pt idx="12">
                  <c:v>105.2527472746284</c:v>
                </c:pt>
                <c:pt idx="13">
                  <c:v>102.3049780093851</c:v>
                </c:pt>
                <c:pt idx="14">
                  <c:v>97.207629120082487</c:v>
                </c:pt>
                <c:pt idx="15">
                  <c:v>95.997140373605333</c:v>
                </c:pt>
                <c:pt idx="16">
                  <c:v>91.624451763597705</c:v>
                </c:pt>
                <c:pt idx="17">
                  <c:v>91.237661997251777</c:v>
                </c:pt>
                <c:pt idx="18">
                  <c:v>91.864857246447912</c:v>
                </c:pt>
                <c:pt idx="19">
                  <c:v>88.001740636896585</c:v>
                </c:pt>
                <c:pt idx="20">
                  <c:v>85.693661082046731</c:v>
                </c:pt>
                <c:pt idx="21">
                  <c:v>84.461506839006944</c:v>
                </c:pt>
                <c:pt idx="22">
                  <c:v>87.806925471515484</c:v>
                </c:pt>
                <c:pt idx="23">
                  <c:v>90.200897490492792</c:v>
                </c:pt>
                <c:pt idx="24">
                  <c:v>84.737572544713743</c:v>
                </c:pt>
                <c:pt idx="25">
                  <c:v>88.012188324416655</c:v>
                </c:pt>
                <c:pt idx="26">
                  <c:v>86.807542324278927</c:v>
                </c:pt>
                <c:pt idx="27">
                  <c:v>83.321595667325937</c:v>
                </c:pt>
                <c:pt idx="28">
                  <c:v>86.252642806949638</c:v>
                </c:pt>
                <c:pt idx="29">
                  <c:v>82.173762438998608</c:v>
                </c:pt>
                <c:pt idx="30">
                  <c:v>69.265420969230718</c:v>
                </c:pt>
                <c:pt idx="31">
                  <c:v>73.108944431502678</c:v>
                </c:pt>
                <c:pt idx="32">
                  <c:v>66.533518958894248</c:v>
                </c:pt>
              </c:numCache>
            </c:numRef>
          </c:val>
          <c:extLst>
            <c:ext xmlns:c16="http://schemas.microsoft.com/office/drawing/2014/chart" uri="{C3380CC4-5D6E-409C-BE32-E72D297353CC}">
              <c16:uniqueId val="{00000000-D41D-4CBF-A7BF-EB4E70DEF3A2}"/>
            </c:ext>
          </c:extLst>
        </c:ser>
        <c:ser>
          <c:idx val="1"/>
          <c:order val="1"/>
          <c:tx>
            <c:strRef>
              <c:f>'Working sheet'!$A$32</c:f>
              <c:strCache>
                <c:ptCount val="1"/>
                <c:pt idx="0">
                  <c:v>Liechtenstein</c:v>
                </c:pt>
              </c:strCache>
            </c:strRef>
          </c:tx>
          <c:spPr>
            <a:solidFill>
              <a:schemeClr val="accent3"/>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sheet'!$B$32:$AH$32</c:f>
              <c:numCache>
                <c:formatCode>#,##0</c:formatCode>
                <c:ptCount val="33"/>
                <c:pt idx="0">
                  <c:v>229.01310861507832</c:v>
                </c:pt>
                <c:pt idx="1">
                  <c:v>236.54326401242912</c:v>
                </c:pt>
                <c:pt idx="2">
                  <c:v>236.68937685928972</c:v>
                </c:pt>
                <c:pt idx="3">
                  <c:v>243.72602658882732</c:v>
                </c:pt>
                <c:pt idx="4">
                  <c:v>230.05526601557904</c:v>
                </c:pt>
                <c:pt idx="5">
                  <c:v>233.78978437501513</c:v>
                </c:pt>
                <c:pt idx="6">
                  <c:v>236.11182801871152</c:v>
                </c:pt>
                <c:pt idx="7">
                  <c:v>248.61112798812525</c:v>
                </c:pt>
                <c:pt idx="8">
                  <c:v>259.55943950938985</c:v>
                </c:pt>
                <c:pt idx="9">
                  <c:v>256.47310131941271</c:v>
                </c:pt>
                <c:pt idx="10">
                  <c:v>247.0108091881774</c:v>
                </c:pt>
                <c:pt idx="11">
                  <c:v>246.65883743532245</c:v>
                </c:pt>
                <c:pt idx="12">
                  <c:v>252.99876151840189</c:v>
                </c:pt>
                <c:pt idx="13">
                  <c:v>263.12471037398399</c:v>
                </c:pt>
                <c:pt idx="14">
                  <c:v>263.37407238848215</c:v>
                </c:pt>
                <c:pt idx="15">
                  <c:v>263.9490979482398</c:v>
                </c:pt>
                <c:pt idx="16">
                  <c:v>267.60444869744919</c:v>
                </c:pt>
                <c:pt idx="17">
                  <c:v>238.38966475039624</c:v>
                </c:pt>
                <c:pt idx="18">
                  <c:v>258.05229364750812</c:v>
                </c:pt>
                <c:pt idx="19">
                  <c:v>243.27107832936119</c:v>
                </c:pt>
                <c:pt idx="20">
                  <c:v>228.30831484992297</c:v>
                </c:pt>
                <c:pt idx="21">
                  <c:v>215.42848635036012</c:v>
                </c:pt>
                <c:pt idx="22">
                  <c:v>224.65397858192722</c:v>
                </c:pt>
                <c:pt idx="23">
                  <c:v>230.81538140120162</c:v>
                </c:pt>
                <c:pt idx="24">
                  <c:v>199.75494063587564</c:v>
                </c:pt>
                <c:pt idx="25">
                  <c:v>198.10821661404358</c:v>
                </c:pt>
                <c:pt idx="26">
                  <c:v>187.73580212316079</c:v>
                </c:pt>
                <c:pt idx="27">
                  <c:v>193.28158569232698</c:v>
                </c:pt>
                <c:pt idx="28">
                  <c:v>181.0357460940445</c:v>
                </c:pt>
                <c:pt idx="29">
                  <c:v>187.67127410177443</c:v>
                </c:pt>
                <c:pt idx="30">
                  <c:v>180.10863487745871</c:v>
                </c:pt>
                <c:pt idx="31">
                  <c:v>183.25545722372206</c:v>
                </c:pt>
                <c:pt idx="32">
                  <c:v>165.52043087664956</c:v>
                </c:pt>
              </c:numCache>
            </c:numRef>
          </c:val>
          <c:extLst>
            <c:ext xmlns:c16="http://schemas.microsoft.com/office/drawing/2014/chart" uri="{C3380CC4-5D6E-409C-BE32-E72D297353CC}">
              <c16:uniqueId val="{00000001-D41D-4CBF-A7BF-EB4E70DEF3A2}"/>
            </c:ext>
          </c:extLst>
        </c:ser>
        <c:ser>
          <c:idx val="2"/>
          <c:order val="2"/>
          <c:tx>
            <c:strRef>
              <c:f>'Working sheet'!$A$33</c:f>
              <c:strCache>
                <c:ptCount val="1"/>
                <c:pt idx="0">
                  <c:v>Iceland</c:v>
                </c:pt>
              </c:strCache>
            </c:strRef>
          </c:tx>
          <c:spPr>
            <a:solidFill>
              <a:schemeClr val="accent5"/>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sheet'!$B$33:$AH$33</c:f>
              <c:numCache>
                <c:formatCode>#,##0</c:formatCode>
                <c:ptCount val="33"/>
                <c:pt idx="0">
                  <c:v>3644.8859368986186</c:v>
                </c:pt>
                <c:pt idx="1">
                  <c:v>3433.537147015456</c:v>
                </c:pt>
                <c:pt idx="2">
                  <c:v>3363.3465484766302</c:v>
                </c:pt>
                <c:pt idx="3">
                  <c:v>3446.5113226484073</c:v>
                </c:pt>
                <c:pt idx="4">
                  <c:v>3376.389328513982</c:v>
                </c:pt>
                <c:pt idx="5">
                  <c:v>3503.9526441781163</c:v>
                </c:pt>
                <c:pt idx="6">
                  <c:v>3558.7029569515598</c:v>
                </c:pt>
                <c:pt idx="7">
                  <c:v>3715.6563526963928</c:v>
                </c:pt>
                <c:pt idx="8">
                  <c:v>3861.7593722990114</c:v>
                </c:pt>
                <c:pt idx="9">
                  <c:v>4077.1190712623566</c:v>
                </c:pt>
                <c:pt idx="10">
                  <c:v>4106.7194307234522</c:v>
                </c:pt>
                <c:pt idx="11">
                  <c:v>4000.7048483548824</c:v>
                </c:pt>
                <c:pt idx="12">
                  <c:v>4086.5725712519124</c:v>
                </c:pt>
                <c:pt idx="13">
                  <c:v>4056.6351976149235</c:v>
                </c:pt>
                <c:pt idx="14">
                  <c:v>4164.5623416583558</c:v>
                </c:pt>
                <c:pt idx="15">
                  <c:v>4022.3502260717096</c:v>
                </c:pt>
                <c:pt idx="16">
                  <c:v>4579.1183709031884</c:v>
                </c:pt>
                <c:pt idx="17">
                  <c:v>4884.7558090557659</c:v>
                </c:pt>
                <c:pt idx="18">
                  <c:v>5267.0252351884264</c:v>
                </c:pt>
                <c:pt idx="19">
                  <c:v>4966.7365494421174</c:v>
                </c:pt>
                <c:pt idx="20">
                  <c:v>4867.6069385407518</c:v>
                </c:pt>
                <c:pt idx="21">
                  <c:v>4655.2221958521677</c:v>
                </c:pt>
                <c:pt idx="22">
                  <c:v>4648.786958022094</c:v>
                </c:pt>
                <c:pt idx="23">
                  <c:v>4645.4648776568592</c:v>
                </c:pt>
                <c:pt idx="24">
                  <c:v>4652.6905175354068</c:v>
                </c:pt>
                <c:pt idx="25">
                  <c:v>4734.3967239557205</c:v>
                </c:pt>
                <c:pt idx="26">
                  <c:v>4687.8362333261721</c:v>
                </c:pt>
                <c:pt idx="27">
                  <c:v>4773.8292090012683</c:v>
                </c:pt>
                <c:pt idx="28">
                  <c:v>4828.4083323084515</c:v>
                </c:pt>
                <c:pt idx="29">
                  <c:v>4688.9919121745233</c:v>
                </c:pt>
                <c:pt idx="30">
                  <c:v>4495.4667171109741</c:v>
                </c:pt>
                <c:pt idx="31">
                  <c:v>4631.3896229293259</c:v>
                </c:pt>
                <c:pt idx="32">
                  <c:v>4666.0009024748442</c:v>
                </c:pt>
              </c:numCache>
            </c:numRef>
          </c:val>
          <c:extLst>
            <c:ext xmlns:c16="http://schemas.microsoft.com/office/drawing/2014/chart" uri="{C3380CC4-5D6E-409C-BE32-E72D297353CC}">
              <c16:uniqueId val="{00000002-D41D-4CBF-A7BF-EB4E70DEF3A2}"/>
            </c:ext>
          </c:extLst>
        </c:ser>
        <c:ser>
          <c:idx val="3"/>
          <c:order val="3"/>
          <c:tx>
            <c:strRef>
              <c:f>'Working sheet'!$A$34</c:f>
              <c:strCache>
                <c:ptCount val="1"/>
                <c:pt idx="0">
                  <c:v>Switzerland</c:v>
                </c:pt>
              </c:strCache>
            </c:strRef>
          </c:tx>
          <c:spPr>
            <a:solidFill>
              <a:schemeClr val="accent1">
                <a:lumMod val="6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sheet'!$B$34:$AH$34</c:f>
              <c:numCache>
                <c:formatCode>#,##0</c:formatCode>
                <c:ptCount val="33"/>
                <c:pt idx="0">
                  <c:v>54665.542967645808</c:v>
                </c:pt>
                <c:pt idx="1">
                  <c:v>56538.209108330033</c:v>
                </c:pt>
                <c:pt idx="2">
                  <c:v>56272.971649207619</c:v>
                </c:pt>
                <c:pt idx="3">
                  <c:v>53679.344906005652</c:v>
                </c:pt>
                <c:pt idx="4">
                  <c:v>52622.104027187241</c:v>
                </c:pt>
                <c:pt idx="5">
                  <c:v>53511.063992829913</c:v>
                </c:pt>
                <c:pt idx="6">
                  <c:v>54173.137658462365</c:v>
                </c:pt>
                <c:pt idx="7">
                  <c:v>52971.460223477094</c:v>
                </c:pt>
                <c:pt idx="8">
                  <c:v>54520.903365068822</c:v>
                </c:pt>
                <c:pt idx="9">
                  <c:v>54334.563596598608</c:v>
                </c:pt>
                <c:pt idx="10">
                  <c:v>53604.880991821745</c:v>
                </c:pt>
                <c:pt idx="11">
                  <c:v>55147.044445818472</c:v>
                </c:pt>
                <c:pt idx="12">
                  <c:v>53601.822432588604</c:v>
                </c:pt>
                <c:pt idx="13">
                  <c:v>54673.999241473575</c:v>
                </c:pt>
                <c:pt idx="14">
                  <c:v>55281.76856649726</c:v>
                </c:pt>
                <c:pt idx="15">
                  <c:v>55916.389751231683</c:v>
                </c:pt>
                <c:pt idx="16">
                  <c:v>55591.864309766497</c:v>
                </c:pt>
                <c:pt idx="17">
                  <c:v>53656.316881508305</c:v>
                </c:pt>
                <c:pt idx="18">
                  <c:v>55054.195767596349</c:v>
                </c:pt>
                <c:pt idx="19">
                  <c:v>53576.785556569703</c:v>
                </c:pt>
                <c:pt idx="20">
                  <c:v>55160.413723303936</c:v>
                </c:pt>
                <c:pt idx="21">
                  <c:v>51042.395434096819</c:v>
                </c:pt>
                <c:pt idx="22">
                  <c:v>52375.112735610121</c:v>
                </c:pt>
                <c:pt idx="23">
                  <c:v>53228.90402372332</c:v>
                </c:pt>
                <c:pt idx="24">
                  <c:v>49294.253782859239</c:v>
                </c:pt>
                <c:pt idx="25">
                  <c:v>48781.558231018782</c:v>
                </c:pt>
                <c:pt idx="26">
                  <c:v>49086.684553956489</c:v>
                </c:pt>
                <c:pt idx="27">
                  <c:v>48116.061904587994</c:v>
                </c:pt>
                <c:pt idx="28">
                  <c:v>46614.28078556119</c:v>
                </c:pt>
                <c:pt idx="29">
                  <c:v>46361.670801136883</c:v>
                </c:pt>
                <c:pt idx="30">
                  <c:v>43696.817568229941</c:v>
                </c:pt>
                <c:pt idx="31">
                  <c:v>45042.28937000993</c:v>
                </c:pt>
                <c:pt idx="32">
                  <c:v>41536.134931482993</c:v>
                </c:pt>
              </c:numCache>
            </c:numRef>
          </c:val>
          <c:extLst>
            <c:ext xmlns:c16="http://schemas.microsoft.com/office/drawing/2014/chart" uri="{C3380CC4-5D6E-409C-BE32-E72D297353CC}">
              <c16:uniqueId val="{00000003-D41D-4CBF-A7BF-EB4E70DEF3A2}"/>
            </c:ext>
          </c:extLst>
        </c:ser>
        <c:ser>
          <c:idx val="4"/>
          <c:order val="4"/>
          <c:tx>
            <c:strRef>
              <c:f>'Working sheet'!$A$35</c:f>
              <c:strCache>
                <c:ptCount val="1"/>
                <c:pt idx="0">
                  <c:v>Norway</c:v>
                </c:pt>
              </c:strCache>
            </c:strRef>
          </c:tx>
          <c:spPr>
            <a:solidFill>
              <a:schemeClr val="accent3">
                <a:lumMod val="6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sheet'!$B$35:$AH$35</c:f>
              <c:numCache>
                <c:formatCode>#,##0</c:formatCode>
                <c:ptCount val="33"/>
                <c:pt idx="0">
                  <c:v>50796.769249585668</c:v>
                </c:pt>
                <c:pt idx="1">
                  <c:v>48400.868079214422</c:v>
                </c:pt>
                <c:pt idx="2">
                  <c:v>46770.378949129619</c:v>
                </c:pt>
                <c:pt idx="3">
                  <c:v>48639.019526145421</c:v>
                </c:pt>
                <c:pt idx="4">
                  <c:v>50545.044552851861</c:v>
                </c:pt>
                <c:pt idx="5">
                  <c:v>50904.26843756868</c:v>
                </c:pt>
                <c:pt idx="6">
                  <c:v>53786.903044414685</c:v>
                </c:pt>
                <c:pt idx="7">
                  <c:v>53750.971830855597</c:v>
                </c:pt>
                <c:pt idx="8">
                  <c:v>53822.511424745549</c:v>
                </c:pt>
                <c:pt idx="9">
                  <c:v>54783.755305181752</c:v>
                </c:pt>
                <c:pt idx="10">
                  <c:v>54117.224863793439</c:v>
                </c:pt>
                <c:pt idx="11">
                  <c:v>55318.288359223443</c:v>
                </c:pt>
                <c:pt idx="12">
                  <c:v>54149.652444826599</c:v>
                </c:pt>
                <c:pt idx="13">
                  <c:v>54898.128139605935</c:v>
                </c:pt>
                <c:pt idx="14">
                  <c:v>55362.103859597686</c:v>
                </c:pt>
                <c:pt idx="15">
                  <c:v>54375.270500381841</c:v>
                </c:pt>
                <c:pt idx="16">
                  <c:v>54429.200784131761</c:v>
                </c:pt>
                <c:pt idx="17">
                  <c:v>56134.042022664871</c:v>
                </c:pt>
                <c:pt idx="18">
                  <c:v>54700.232611239262</c:v>
                </c:pt>
                <c:pt idx="19">
                  <c:v>52233.299511456069</c:v>
                </c:pt>
                <c:pt idx="20">
                  <c:v>54555.85326526688</c:v>
                </c:pt>
                <c:pt idx="21">
                  <c:v>53589.90588294818</c:v>
                </c:pt>
                <c:pt idx="22">
                  <c:v>53020.557054560311</c:v>
                </c:pt>
                <c:pt idx="23">
                  <c:v>53249.592529597459</c:v>
                </c:pt>
                <c:pt idx="24">
                  <c:v>53620.43933033268</c:v>
                </c:pt>
                <c:pt idx="25">
                  <c:v>54141.062564871841</c:v>
                </c:pt>
                <c:pt idx="26">
                  <c:v>53275.633887589473</c:v>
                </c:pt>
                <c:pt idx="27">
                  <c:v>52577.877823366907</c:v>
                </c:pt>
                <c:pt idx="28">
                  <c:v>52670.862422024125</c:v>
                </c:pt>
                <c:pt idx="29">
                  <c:v>50919.945130137705</c:v>
                </c:pt>
                <c:pt idx="30">
                  <c:v>49251.978755528558</c:v>
                </c:pt>
                <c:pt idx="31">
                  <c:v>49124.970386074121</c:v>
                </c:pt>
                <c:pt idx="32">
                  <c:v>48754.93642736107</c:v>
                </c:pt>
              </c:numCache>
            </c:numRef>
          </c:val>
          <c:extLst>
            <c:ext xmlns:c16="http://schemas.microsoft.com/office/drawing/2014/chart" uri="{C3380CC4-5D6E-409C-BE32-E72D297353CC}">
              <c16:uniqueId val="{00000004-D41D-4CBF-A7BF-EB4E70DEF3A2}"/>
            </c:ext>
          </c:extLst>
        </c:ser>
        <c:ser>
          <c:idx val="5"/>
          <c:order val="5"/>
          <c:tx>
            <c:strRef>
              <c:f>'Working sheet'!$A$36</c:f>
              <c:strCache>
                <c:ptCount val="1"/>
                <c:pt idx="0">
                  <c:v>New Zealand</c:v>
                </c:pt>
              </c:strCache>
            </c:strRef>
          </c:tx>
          <c:spPr>
            <a:solidFill>
              <a:schemeClr val="accent5">
                <a:lumMod val="6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sheet'!$B$36:$AH$36</c:f>
              <c:numCache>
                <c:formatCode>#,##0</c:formatCode>
                <c:ptCount val="33"/>
                <c:pt idx="0">
                  <c:v>68958.181726592331</c:v>
                </c:pt>
                <c:pt idx="1">
                  <c:v>69918.613478798536</c:v>
                </c:pt>
                <c:pt idx="2">
                  <c:v>71163.043192240526</c:v>
                </c:pt>
                <c:pt idx="3">
                  <c:v>71017.984624481804</c:v>
                </c:pt>
                <c:pt idx="4">
                  <c:v>72398.448948708668</c:v>
                </c:pt>
                <c:pt idx="5">
                  <c:v>72988.346674344051</c:v>
                </c:pt>
                <c:pt idx="6">
                  <c:v>75526.572778376896</c:v>
                </c:pt>
                <c:pt idx="7">
                  <c:v>78163.571116549516</c:v>
                </c:pt>
                <c:pt idx="8">
                  <c:v>75967.86965370593</c:v>
                </c:pt>
                <c:pt idx="9">
                  <c:v>77508.084798788157</c:v>
                </c:pt>
                <c:pt idx="10">
                  <c:v>79531.378394201616</c:v>
                </c:pt>
                <c:pt idx="11">
                  <c:v>82441.795710136736</c:v>
                </c:pt>
                <c:pt idx="12">
                  <c:v>82361.963073147446</c:v>
                </c:pt>
                <c:pt idx="13">
                  <c:v>84660.384645025071</c:v>
                </c:pt>
                <c:pt idx="14">
                  <c:v>84691.058963192962</c:v>
                </c:pt>
                <c:pt idx="15">
                  <c:v>86615.377459050011</c:v>
                </c:pt>
                <c:pt idx="16">
                  <c:v>86726.863364364559</c:v>
                </c:pt>
                <c:pt idx="17">
                  <c:v>84260.940688153496</c:v>
                </c:pt>
                <c:pt idx="18">
                  <c:v>84268.353237288189</c:v>
                </c:pt>
                <c:pt idx="19">
                  <c:v>81413.892035055993</c:v>
                </c:pt>
                <c:pt idx="20">
                  <c:v>82097.531433064098</c:v>
                </c:pt>
                <c:pt idx="21">
                  <c:v>81723.811853400213</c:v>
                </c:pt>
                <c:pt idx="22">
                  <c:v>84065.666675183558</c:v>
                </c:pt>
                <c:pt idx="23">
                  <c:v>83248.072687952488</c:v>
                </c:pt>
                <c:pt idx="24">
                  <c:v>84107.417336913903</c:v>
                </c:pt>
                <c:pt idx="25">
                  <c:v>83894.632561662424</c:v>
                </c:pt>
                <c:pt idx="26">
                  <c:v>81656.181167390474</c:v>
                </c:pt>
                <c:pt idx="27">
                  <c:v>83073.082610106358</c:v>
                </c:pt>
                <c:pt idx="28">
                  <c:v>83434.604331181879</c:v>
                </c:pt>
                <c:pt idx="29">
                  <c:v>84586.236538461744</c:v>
                </c:pt>
                <c:pt idx="30">
                  <c:v>81881.845501149437</c:v>
                </c:pt>
                <c:pt idx="31">
                  <c:v>81808.919800596952</c:v>
                </c:pt>
                <c:pt idx="32">
                  <c:v>78395.363155217565</c:v>
                </c:pt>
              </c:numCache>
            </c:numRef>
          </c:val>
          <c:extLst>
            <c:ext xmlns:c16="http://schemas.microsoft.com/office/drawing/2014/chart" uri="{C3380CC4-5D6E-409C-BE32-E72D297353CC}">
              <c16:uniqueId val="{00000005-D41D-4CBF-A7BF-EB4E70DEF3A2}"/>
            </c:ext>
          </c:extLst>
        </c:ser>
        <c:ser>
          <c:idx val="6"/>
          <c:order val="6"/>
          <c:tx>
            <c:strRef>
              <c:f>'Working sheet'!$A$37</c:f>
              <c:strCache>
                <c:ptCount val="1"/>
                <c:pt idx="0">
                  <c:v>Belarus</c:v>
                </c:pt>
              </c:strCache>
            </c:strRef>
          </c:tx>
          <c:spPr>
            <a:solidFill>
              <a:schemeClr val="accent1">
                <a:lumMod val="80000"/>
                <a:lumOff val="2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sheet'!$B$37:$AH$37</c:f>
              <c:numCache>
                <c:formatCode>#,##0</c:formatCode>
                <c:ptCount val="33"/>
                <c:pt idx="0">
                  <c:v>146017.39674747791</c:v>
                </c:pt>
                <c:pt idx="1">
                  <c:v>140280.31255995255</c:v>
                </c:pt>
                <c:pt idx="2">
                  <c:v>126622.57387992073</c:v>
                </c:pt>
                <c:pt idx="3">
                  <c:v>112913.07224138058</c:v>
                </c:pt>
                <c:pt idx="4">
                  <c:v>97041.080022557609</c:v>
                </c:pt>
                <c:pt idx="5">
                  <c:v>88585.630343110592</c:v>
                </c:pt>
                <c:pt idx="6">
                  <c:v>89273.855310795567</c:v>
                </c:pt>
                <c:pt idx="7">
                  <c:v>89488.082886593969</c:v>
                </c:pt>
                <c:pt idx="8">
                  <c:v>88248.484802827021</c:v>
                </c:pt>
                <c:pt idx="9">
                  <c:v>84738.827718571309</c:v>
                </c:pt>
                <c:pt idx="10">
                  <c:v>81594.486214268982</c:v>
                </c:pt>
                <c:pt idx="11">
                  <c:v>80277.211131886346</c:v>
                </c:pt>
                <c:pt idx="12">
                  <c:v>79609.543614631955</c:v>
                </c:pt>
                <c:pt idx="13">
                  <c:v>81338.269508075085</c:v>
                </c:pt>
                <c:pt idx="14">
                  <c:v>84962.014290211446</c:v>
                </c:pt>
                <c:pt idx="15">
                  <c:v>86916.64074303364</c:v>
                </c:pt>
                <c:pt idx="16">
                  <c:v>90224.742654332964</c:v>
                </c:pt>
                <c:pt idx="17">
                  <c:v>88655.261854059208</c:v>
                </c:pt>
                <c:pt idx="18">
                  <c:v>92082.616250806459</c:v>
                </c:pt>
                <c:pt idx="19">
                  <c:v>90071.633848031066</c:v>
                </c:pt>
                <c:pt idx="20">
                  <c:v>92325.186645973925</c:v>
                </c:pt>
                <c:pt idx="21">
                  <c:v>91629.619041174679</c:v>
                </c:pt>
                <c:pt idx="22">
                  <c:v>92781.425007289741</c:v>
                </c:pt>
                <c:pt idx="23">
                  <c:v>94773.345353007811</c:v>
                </c:pt>
                <c:pt idx="24">
                  <c:v>93715.947131051274</c:v>
                </c:pt>
                <c:pt idx="25">
                  <c:v>88595.921134964476</c:v>
                </c:pt>
                <c:pt idx="26">
                  <c:v>87817.885405278503</c:v>
                </c:pt>
                <c:pt idx="27">
                  <c:v>89465.982861779674</c:v>
                </c:pt>
                <c:pt idx="28">
                  <c:v>92398.999331154613</c:v>
                </c:pt>
                <c:pt idx="29">
                  <c:v>92546.86980072163</c:v>
                </c:pt>
                <c:pt idx="30">
                  <c:v>90095.943040208658</c:v>
                </c:pt>
                <c:pt idx="31">
                  <c:v>92147.074887508847</c:v>
                </c:pt>
                <c:pt idx="32">
                  <c:v>88357.338609718019</c:v>
                </c:pt>
              </c:numCache>
            </c:numRef>
          </c:val>
          <c:extLst>
            <c:ext xmlns:c16="http://schemas.microsoft.com/office/drawing/2014/chart" uri="{C3380CC4-5D6E-409C-BE32-E72D297353CC}">
              <c16:uniqueId val="{00000006-D41D-4CBF-A7BF-EB4E70DEF3A2}"/>
            </c:ext>
          </c:extLst>
        </c:ser>
        <c:ser>
          <c:idx val="7"/>
          <c:order val="7"/>
          <c:tx>
            <c:strRef>
              <c:f>'Working sheet'!$A$38</c:f>
              <c:strCache>
                <c:ptCount val="1"/>
                <c:pt idx="0">
                  <c:v>Ukraine</c:v>
                </c:pt>
              </c:strCache>
            </c:strRef>
          </c:tx>
          <c:spPr>
            <a:solidFill>
              <a:schemeClr val="accent3">
                <a:lumMod val="80000"/>
                <a:lumOff val="2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sheet'!$B$38:$AH$38</c:f>
              <c:numCache>
                <c:formatCode>#,##0</c:formatCode>
                <c:ptCount val="33"/>
                <c:pt idx="0">
                  <c:v>962527.74592499365</c:v>
                </c:pt>
                <c:pt idx="1">
                  <c:v>875728.9217880168</c:v>
                </c:pt>
                <c:pt idx="2">
                  <c:v>819946.96668049169</c:v>
                </c:pt>
                <c:pt idx="3">
                  <c:v>728907.09019378724</c:v>
                </c:pt>
                <c:pt idx="4">
                  <c:v>622241.87909136305</c:v>
                </c:pt>
                <c:pt idx="5">
                  <c:v>578197.70361357927</c:v>
                </c:pt>
                <c:pt idx="6">
                  <c:v>531404.52958574193</c:v>
                </c:pt>
                <c:pt idx="7">
                  <c:v>513839.96897152287</c:v>
                </c:pt>
                <c:pt idx="8">
                  <c:v>495605.2756830423</c:v>
                </c:pt>
                <c:pt idx="9">
                  <c:v>464710.18919496605</c:v>
                </c:pt>
                <c:pt idx="10">
                  <c:v>441129.19266873924</c:v>
                </c:pt>
                <c:pt idx="11">
                  <c:v>459229.08572165552</c:v>
                </c:pt>
                <c:pt idx="12">
                  <c:v>443289.705219016</c:v>
                </c:pt>
                <c:pt idx="13">
                  <c:v>452604.49247362436</c:v>
                </c:pt>
                <c:pt idx="14">
                  <c:v>454850.50673553493</c:v>
                </c:pt>
                <c:pt idx="15">
                  <c:v>453541.15848061128</c:v>
                </c:pt>
                <c:pt idx="16">
                  <c:v>470659.43087687419</c:v>
                </c:pt>
                <c:pt idx="17">
                  <c:v>474135.56100864062</c:v>
                </c:pt>
                <c:pt idx="18">
                  <c:v>460158.18711400859</c:v>
                </c:pt>
                <c:pt idx="19">
                  <c:v>399806.13999057154</c:v>
                </c:pt>
                <c:pt idx="20">
                  <c:v>416608.40769814164</c:v>
                </c:pt>
                <c:pt idx="21">
                  <c:v>437108.71610924171</c:v>
                </c:pt>
                <c:pt idx="22">
                  <c:v>425553.61198622611</c:v>
                </c:pt>
                <c:pt idx="23">
                  <c:v>415825.38186507823</c:v>
                </c:pt>
                <c:pt idx="24">
                  <c:v>368251.17972142907</c:v>
                </c:pt>
                <c:pt idx="25">
                  <c:v>323971.19092184294</c:v>
                </c:pt>
                <c:pt idx="26">
                  <c:v>342484.12554424099</c:v>
                </c:pt>
                <c:pt idx="27">
                  <c:v>328144.92893472291</c:v>
                </c:pt>
                <c:pt idx="28">
                  <c:v>344327.97880557523</c:v>
                </c:pt>
                <c:pt idx="29">
                  <c:v>339605.08753625146</c:v>
                </c:pt>
                <c:pt idx="30">
                  <c:v>324525.07090937532</c:v>
                </c:pt>
                <c:pt idx="31">
                  <c:v>332893.96157714847</c:v>
                </c:pt>
                <c:pt idx="32">
                  <c:v>238262.87086296052</c:v>
                </c:pt>
              </c:numCache>
            </c:numRef>
          </c:val>
          <c:extLst>
            <c:ext xmlns:c16="http://schemas.microsoft.com/office/drawing/2014/chart" uri="{C3380CC4-5D6E-409C-BE32-E72D297353CC}">
              <c16:uniqueId val="{00000007-D41D-4CBF-A7BF-EB4E70DEF3A2}"/>
            </c:ext>
          </c:extLst>
        </c:ser>
        <c:ser>
          <c:idx val="8"/>
          <c:order val="8"/>
          <c:tx>
            <c:strRef>
              <c:f>'Working sheet'!$A$39</c:f>
              <c:strCache>
                <c:ptCount val="1"/>
                <c:pt idx="0">
                  <c:v>Kazakhstan</c:v>
                </c:pt>
              </c:strCache>
            </c:strRef>
          </c:tx>
          <c:spPr>
            <a:solidFill>
              <a:schemeClr val="accent5">
                <a:lumMod val="80000"/>
                <a:lumOff val="2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sheet'!$B$39:$AH$39</c:f>
              <c:numCache>
                <c:formatCode>#,##0</c:formatCode>
                <c:ptCount val="33"/>
                <c:pt idx="0">
                  <c:v>390526.062496937</c:v>
                </c:pt>
                <c:pt idx="1">
                  <c:v>372803.85843495553</c:v>
                </c:pt>
                <c:pt idx="2">
                  <c:v>343803.84685058176</c:v>
                </c:pt>
                <c:pt idx="3">
                  <c:v>308738.64398706501</c:v>
                </c:pt>
                <c:pt idx="4">
                  <c:v>261032.15550928639</c:v>
                </c:pt>
                <c:pt idx="5">
                  <c:v>244480.300966034</c:v>
                </c:pt>
                <c:pt idx="6">
                  <c:v>228515.08692593389</c:v>
                </c:pt>
                <c:pt idx="7">
                  <c:v>221863.40089565367</c:v>
                </c:pt>
                <c:pt idx="8">
                  <c:v>227732.96777977317</c:v>
                </c:pt>
                <c:pt idx="9">
                  <c:v>193057.63001147876</c:v>
                </c:pt>
                <c:pt idx="10">
                  <c:v>219119.44538328791</c:v>
                </c:pt>
                <c:pt idx="11">
                  <c:v>213273.50781150616</c:v>
                </c:pt>
                <c:pt idx="12">
                  <c:v>235768.54400248657</c:v>
                </c:pt>
                <c:pt idx="13">
                  <c:v>256260.70045960936</c:v>
                </c:pt>
                <c:pt idx="14">
                  <c:v>267794.77035817096</c:v>
                </c:pt>
                <c:pt idx="15">
                  <c:v>278091.01995331986</c:v>
                </c:pt>
                <c:pt idx="16">
                  <c:v>299189.29891562881</c:v>
                </c:pt>
                <c:pt idx="17">
                  <c:v>301538.26563631085</c:v>
                </c:pt>
                <c:pt idx="18">
                  <c:v>298362.22092614113</c:v>
                </c:pt>
                <c:pt idx="19">
                  <c:v>291770.88377975131</c:v>
                </c:pt>
                <c:pt idx="20">
                  <c:v>313537.73644338973</c:v>
                </c:pt>
                <c:pt idx="21">
                  <c:v>303771.56341710704</c:v>
                </c:pt>
                <c:pt idx="22">
                  <c:v>308830.70003381051</c:v>
                </c:pt>
                <c:pt idx="23">
                  <c:v>317316.27128449618</c:v>
                </c:pt>
                <c:pt idx="24">
                  <c:v>365663.76974305772</c:v>
                </c:pt>
                <c:pt idx="25">
                  <c:v>369467.09856534615</c:v>
                </c:pt>
                <c:pt idx="26">
                  <c:v>368870.63608176215</c:v>
                </c:pt>
                <c:pt idx="27">
                  <c:v>388929.01332748908</c:v>
                </c:pt>
                <c:pt idx="28">
                  <c:v>404229.31321734359</c:v>
                </c:pt>
                <c:pt idx="29">
                  <c:v>371825.51226698549</c:v>
                </c:pt>
                <c:pt idx="30">
                  <c:v>351993.28359552915</c:v>
                </c:pt>
                <c:pt idx="31">
                  <c:v>323734.28999595658</c:v>
                </c:pt>
                <c:pt idx="32">
                  <c:v>348843.83157459204</c:v>
                </c:pt>
              </c:numCache>
            </c:numRef>
          </c:val>
          <c:extLst>
            <c:ext xmlns:c16="http://schemas.microsoft.com/office/drawing/2014/chart" uri="{C3380CC4-5D6E-409C-BE32-E72D297353CC}">
              <c16:uniqueId val="{00000008-D41D-4CBF-A7BF-EB4E70DEF3A2}"/>
            </c:ext>
          </c:extLst>
        </c:ser>
        <c:ser>
          <c:idx val="9"/>
          <c:order val="9"/>
          <c:tx>
            <c:strRef>
              <c:f>'Working sheet'!$A$40</c:f>
              <c:strCache>
                <c:ptCount val="1"/>
                <c:pt idx="0">
                  <c:v>Turkey</c:v>
                </c:pt>
              </c:strCache>
            </c:strRef>
          </c:tx>
          <c:spPr>
            <a:solidFill>
              <a:schemeClr val="accent1">
                <a:lumMod val="8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sheet'!$B$40:$AH$40</c:f>
              <c:numCache>
                <c:formatCode>#,##0</c:formatCode>
                <c:ptCount val="33"/>
                <c:pt idx="0">
                  <c:v>228001.91456962004</c:v>
                </c:pt>
                <c:pt idx="1">
                  <c:v>235398.91965143115</c:v>
                </c:pt>
                <c:pt idx="2">
                  <c:v>241811.60520891403</c:v>
                </c:pt>
                <c:pt idx="3">
                  <c:v>249142.27068982238</c:v>
                </c:pt>
                <c:pt idx="4">
                  <c:v>242768.8328251004</c:v>
                </c:pt>
                <c:pt idx="5">
                  <c:v>256494.33664505032</c:v>
                </c:pt>
                <c:pt idx="6">
                  <c:v>275852.24796439777</c:v>
                </c:pt>
                <c:pt idx="7">
                  <c:v>286738.15721656074</c:v>
                </c:pt>
                <c:pt idx="8">
                  <c:v>288138.1240926343</c:v>
                </c:pt>
                <c:pt idx="9">
                  <c:v>285633.04697860853</c:v>
                </c:pt>
                <c:pt idx="10">
                  <c:v>306388.30970814382</c:v>
                </c:pt>
                <c:pt idx="11">
                  <c:v>287554.81961191579</c:v>
                </c:pt>
                <c:pt idx="12">
                  <c:v>292465.16096905171</c:v>
                </c:pt>
                <c:pt idx="13">
                  <c:v>312138.82771102816</c:v>
                </c:pt>
                <c:pt idx="14">
                  <c:v>321689.75324339152</c:v>
                </c:pt>
                <c:pt idx="15">
                  <c:v>344782.21451462765</c:v>
                </c:pt>
                <c:pt idx="16">
                  <c:v>365229.65980722883</c:v>
                </c:pt>
                <c:pt idx="17">
                  <c:v>399028.02102807467</c:v>
                </c:pt>
                <c:pt idx="18">
                  <c:v>394923.57828298444</c:v>
                </c:pt>
                <c:pt idx="19">
                  <c:v>401316.72969552054</c:v>
                </c:pt>
                <c:pt idx="20">
                  <c:v>405269.24171703646</c:v>
                </c:pt>
                <c:pt idx="21">
                  <c:v>434770.7522395025</c:v>
                </c:pt>
                <c:pt idx="22">
                  <c:v>455164.66278975358</c:v>
                </c:pt>
                <c:pt idx="23">
                  <c:v>447307.51112375275</c:v>
                </c:pt>
                <c:pt idx="24">
                  <c:v>466379.72999859281</c:v>
                </c:pt>
                <c:pt idx="25">
                  <c:v>480074.59319849312</c:v>
                </c:pt>
                <c:pt idx="26">
                  <c:v>504088.95172459917</c:v>
                </c:pt>
                <c:pt idx="27">
                  <c:v>531107.53373882268</c:v>
                </c:pt>
                <c:pt idx="28">
                  <c:v>528079.17335718521</c:v>
                </c:pt>
                <c:pt idx="29">
                  <c:v>515582.21671163727</c:v>
                </c:pt>
                <c:pt idx="30">
                  <c:v>530175.40525344573</c:v>
                </c:pt>
                <c:pt idx="31">
                  <c:v>571987.74333260825</c:v>
                </c:pt>
                <c:pt idx="32">
                  <c:v>558270.48182228173</c:v>
                </c:pt>
              </c:numCache>
            </c:numRef>
          </c:val>
          <c:extLst>
            <c:ext xmlns:c16="http://schemas.microsoft.com/office/drawing/2014/chart" uri="{C3380CC4-5D6E-409C-BE32-E72D297353CC}">
              <c16:uniqueId val="{00000009-D41D-4CBF-A7BF-EB4E70DEF3A2}"/>
            </c:ext>
          </c:extLst>
        </c:ser>
        <c:ser>
          <c:idx val="10"/>
          <c:order val="10"/>
          <c:tx>
            <c:strRef>
              <c:f>'Working sheet'!$A$41</c:f>
              <c:strCache>
                <c:ptCount val="1"/>
                <c:pt idx="0">
                  <c:v>Australia</c:v>
                </c:pt>
              </c:strCache>
            </c:strRef>
          </c:tx>
          <c:spPr>
            <a:solidFill>
              <a:schemeClr val="accent3">
                <a:lumMod val="8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sheet'!$B$41:$AH$41</c:f>
              <c:numCache>
                <c:formatCode>#,##0</c:formatCode>
                <c:ptCount val="33"/>
                <c:pt idx="0">
                  <c:v>437120</c:v>
                </c:pt>
                <c:pt idx="1">
                  <c:v>437222</c:v>
                </c:pt>
                <c:pt idx="2">
                  <c:v>441027</c:v>
                </c:pt>
                <c:pt idx="3">
                  <c:v>441346</c:v>
                </c:pt>
                <c:pt idx="4">
                  <c:v>441583</c:v>
                </c:pt>
                <c:pt idx="5">
                  <c:v>450276</c:v>
                </c:pt>
                <c:pt idx="6">
                  <c:v>456436</c:v>
                </c:pt>
                <c:pt idx="7">
                  <c:v>468506</c:v>
                </c:pt>
                <c:pt idx="8">
                  <c:v>482954</c:v>
                </c:pt>
                <c:pt idx="9">
                  <c:v>488857</c:v>
                </c:pt>
                <c:pt idx="10">
                  <c:v>500453</c:v>
                </c:pt>
                <c:pt idx="11">
                  <c:v>508411</c:v>
                </c:pt>
                <c:pt idx="12">
                  <c:v>512028</c:v>
                </c:pt>
                <c:pt idx="13">
                  <c:v>511249</c:v>
                </c:pt>
                <c:pt idx="14">
                  <c:v>527977</c:v>
                </c:pt>
                <c:pt idx="15">
                  <c:v>534477</c:v>
                </c:pt>
                <c:pt idx="16">
                  <c:v>538698</c:v>
                </c:pt>
                <c:pt idx="17">
                  <c:v>545915</c:v>
                </c:pt>
                <c:pt idx="18">
                  <c:v>548837</c:v>
                </c:pt>
                <c:pt idx="19">
                  <c:v>550629</c:v>
                </c:pt>
                <c:pt idx="20">
                  <c:v>545875</c:v>
                </c:pt>
                <c:pt idx="21">
                  <c:v>547539</c:v>
                </c:pt>
                <c:pt idx="22">
                  <c:v>550596</c:v>
                </c:pt>
                <c:pt idx="23">
                  <c:v>542519</c:v>
                </c:pt>
                <c:pt idx="24">
                  <c:v>534092</c:v>
                </c:pt>
                <c:pt idx="25">
                  <c:v>543340</c:v>
                </c:pt>
                <c:pt idx="26">
                  <c:v>551589</c:v>
                </c:pt>
                <c:pt idx="27">
                  <c:v>558300</c:v>
                </c:pt>
                <c:pt idx="28">
                  <c:v>560031</c:v>
                </c:pt>
                <c:pt idx="29">
                  <c:v>554209</c:v>
                </c:pt>
                <c:pt idx="30">
                  <c:v>535776</c:v>
                </c:pt>
                <c:pt idx="31">
                  <c:v>527276</c:v>
                </c:pt>
                <c:pt idx="32">
                  <c:v>520995</c:v>
                </c:pt>
              </c:numCache>
            </c:numRef>
          </c:val>
          <c:extLst>
            <c:ext xmlns:c16="http://schemas.microsoft.com/office/drawing/2014/chart" uri="{C3380CC4-5D6E-409C-BE32-E72D297353CC}">
              <c16:uniqueId val="{0000000A-D41D-4CBF-A7BF-EB4E70DEF3A2}"/>
            </c:ext>
          </c:extLst>
        </c:ser>
        <c:ser>
          <c:idx val="11"/>
          <c:order val="11"/>
          <c:tx>
            <c:strRef>
              <c:f>'Working sheet'!$A$42</c:f>
              <c:strCache>
                <c:ptCount val="1"/>
                <c:pt idx="0">
                  <c:v>Canada</c:v>
                </c:pt>
              </c:strCache>
            </c:strRef>
          </c:tx>
          <c:spPr>
            <a:solidFill>
              <a:schemeClr val="accent5">
                <a:lumMod val="8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sheet'!$B$42:$AH$42</c:f>
              <c:numCache>
                <c:formatCode>#,##0</c:formatCode>
                <c:ptCount val="33"/>
                <c:pt idx="0">
                  <c:v>607748.75544612901</c:v>
                </c:pt>
                <c:pt idx="1">
                  <c:v>603138.22528745886</c:v>
                </c:pt>
                <c:pt idx="2">
                  <c:v>621534.92821716284</c:v>
                </c:pt>
                <c:pt idx="3">
                  <c:v>626611.05327568296</c:v>
                </c:pt>
                <c:pt idx="4">
                  <c:v>649033.63759113185</c:v>
                </c:pt>
                <c:pt idx="5">
                  <c:v>667914.70678717794</c:v>
                </c:pt>
                <c:pt idx="6">
                  <c:v>689261.8862737118</c:v>
                </c:pt>
                <c:pt idx="7">
                  <c:v>705539.08656566974</c:v>
                </c:pt>
                <c:pt idx="8">
                  <c:v>712157.94597128138</c:v>
                </c:pt>
                <c:pt idx="9">
                  <c:v>722853.4518593743</c:v>
                </c:pt>
                <c:pt idx="10">
                  <c:v>747738.55802425323</c:v>
                </c:pt>
                <c:pt idx="11">
                  <c:v>738885.29375832726</c:v>
                </c:pt>
                <c:pt idx="12">
                  <c:v>744657.3924466694</c:v>
                </c:pt>
                <c:pt idx="13">
                  <c:v>763142.98248201737</c:v>
                </c:pt>
                <c:pt idx="14">
                  <c:v>766724.22051172797</c:v>
                </c:pt>
                <c:pt idx="15">
                  <c:v>761492.70593701443</c:v>
                </c:pt>
                <c:pt idx="16">
                  <c:v>756771.99628981901</c:v>
                </c:pt>
                <c:pt idx="17">
                  <c:v>776521.15388411214</c:v>
                </c:pt>
                <c:pt idx="18">
                  <c:v>759573.39699560369</c:v>
                </c:pt>
                <c:pt idx="19">
                  <c:v>716134.72748034785</c:v>
                </c:pt>
                <c:pt idx="20">
                  <c:v>728504.46324892098</c:v>
                </c:pt>
                <c:pt idx="21">
                  <c:v>738322.90169395809</c:v>
                </c:pt>
                <c:pt idx="22">
                  <c:v>743856.56428306072</c:v>
                </c:pt>
                <c:pt idx="23">
                  <c:v>750970.15160735743</c:v>
                </c:pt>
                <c:pt idx="24">
                  <c:v>749706.29305378441</c:v>
                </c:pt>
                <c:pt idx="25">
                  <c:v>745717.81273694767</c:v>
                </c:pt>
                <c:pt idx="26">
                  <c:v>731279.75293753587</c:v>
                </c:pt>
                <c:pt idx="27">
                  <c:v>742011.65539151209</c:v>
                </c:pt>
                <c:pt idx="28">
                  <c:v>752631.23093201627</c:v>
                </c:pt>
                <c:pt idx="29">
                  <c:v>752024.57675372623</c:v>
                </c:pt>
                <c:pt idx="30">
                  <c:v>686362.15753213922</c:v>
                </c:pt>
                <c:pt idx="31">
                  <c:v>698441.74224171112</c:v>
                </c:pt>
                <c:pt idx="32">
                  <c:v>707767.55820038752</c:v>
                </c:pt>
              </c:numCache>
            </c:numRef>
          </c:val>
          <c:extLst>
            <c:ext xmlns:c16="http://schemas.microsoft.com/office/drawing/2014/chart" uri="{C3380CC4-5D6E-409C-BE32-E72D297353CC}">
              <c16:uniqueId val="{0000000B-D41D-4CBF-A7BF-EB4E70DEF3A2}"/>
            </c:ext>
          </c:extLst>
        </c:ser>
        <c:ser>
          <c:idx val="12"/>
          <c:order val="12"/>
          <c:tx>
            <c:strRef>
              <c:f>'Working sheet'!$A$43</c:f>
              <c:strCache>
                <c:ptCount val="1"/>
                <c:pt idx="0">
                  <c:v>Japan</c:v>
                </c:pt>
              </c:strCache>
            </c:strRef>
          </c:tx>
          <c:spPr>
            <a:solidFill>
              <a:schemeClr val="accent1">
                <a:lumMod val="60000"/>
                <a:lumOff val="4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sheet'!$B$43:$AH$43</c:f>
              <c:numCache>
                <c:formatCode>#,##0</c:formatCode>
                <c:ptCount val="33"/>
                <c:pt idx="0">
                  <c:v>1269430.6322014432</c:v>
                </c:pt>
                <c:pt idx="1">
                  <c:v>1283622.8771759272</c:v>
                </c:pt>
                <c:pt idx="2">
                  <c:v>1295413.0293839129</c:v>
                </c:pt>
                <c:pt idx="3">
                  <c:v>1290874.0472512813</c:v>
                </c:pt>
                <c:pt idx="4">
                  <c:v>1351092.0232529247</c:v>
                </c:pt>
                <c:pt idx="5">
                  <c:v>1371412.5317875964</c:v>
                </c:pt>
                <c:pt idx="6">
                  <c:v>1384052.3634711681</c:v>
                </c:pt>
                <c:pt idx="7">
                  <c:v>1375902.7329194997</c:v>
                </c:pt>
                <c:pt idx="8">
                  <c:v>1327823.7307702771</c:v>
                </c:pt>
                <c:pt idx="9">
                  <c:v>1351773.8860427472</c:v>
                </c:pt>
                <c:pt idx="10">
                  <c:v>1371338.7018497712</c:v>
                </c:pt>
                <c:pt idx="11">
                  <c:v>1346361.7133259026</c:v>
                </c:pt>
                <c:pt idx="12">
                  <c:v>1371006.4355929806</c:v>
                </c:pt>
                <c:pt idx="13">
                  <c:v>1378193.3336292186</c:v>
                </c:pt>
                <c:pt idx="14">
                  <c:v>1370385.2425706722</c:v>
                </c:pt>
                <c:pt idx="15">
                  <c:v>1378031.5256946911</c:v>
                </c:pt>
                <c:pt idx="16">
                  <c:v>1356458.656503486</c:v>
                </c:pt>
                <c:pt idx="17">
                  <c:v>1391809.2198724723</c:v>
                </c:pt>
                <c:pt idx="18">
                  <c:v>1318894.5480210325</c:v>
                </c:pt>
                <c:pt idx="19">
                  <c:v>1246948.029526829</c:v>
                </c:pt>
                <c:pt idx="20">
                  <c:v>1300198.14770784</c:v>
                </c:pt>
                <c:pt idx="21">
                  <c:v>1350700.4279910435</c:v>
                </c:pt>
                <c:pt idx="22">
                  <c:v>1393327.1980531099</c:v>
                </c:pt>
                <c:pt idx="23">
                  <c:v>1405048.8039318663</c:v>
                </c:pt>
                <c:pt idx="24">
                  <c:v>1355557.0081102166</c:v>
                </c:pt>
                <c:pt idx="25">
                  <c:v>1317077.1152542473</c:v>
                </c:pt>
                <c:pt idx="26">
                  <c:v>1299078.7238705272</c:v>
                </c:pt>
                <c:pt idx="27">
                  <c:v>1284787.8882195514</c:v>
                </c:pt>
                <c:pt idx="28">
                  <c:v>1240000.1101839773</c:v>
                </c:pt>
                <c:pt idx="29">
                  <c:v>1204214.7752044662</c:v>
                </c:pt>
                <c:pt idx="30">
                  <c:v>1140469.0233979998</c:v>
                </c:pt>
                <c:pt idx="31">
                  <c:v>1162195.7653705785</c:v>
                </c:pt>
                <c:pt idx="32">
                  <c:v>1133637.6942721361</c:v>
                </c:pt>
              </c:numCache>
            </c:numRef>
          </c:val>
          <c:extLst>
            <c:ext xmlns:c16="http://schemas.microsoft.com/office/drawing/2014/chart" uri="{C3380CC4-5D6E-409C-BE32-E72D297353CC}">
              <c16:uniqueId val="{0000000C-D41D-4CBF-A7BF-EB4E70DEF3A2}"/>
            </c:ext>
          </c:extLst>
        </c:ser>
        <c:ser>
          <c:idx val="13"/>
          <c:order val="13"/>
          <c:tx>
            <c:strRef>
              <c:f>'Working sheet'!$A$44</c:f>
              <c:strCache>
                <c:ptCount val="1"/>
                <c:pt idx="0">
                  <c:v>Russia</c:v>
                </c:pt>
              </c:strCache>
            </c:strRef>
          </c:tx>
          <c:spPr>
            <a:solidFill>
              <a:schemeClr val="accent3">
                <a:lumMod val="60000"/>
                <a:lumOff val="4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sheet'!$B$44:$AH$44</c:f>
              <c:numCache>
                <c:formatCode>#,##0</c:formatCode>
                <c:ptCount val="33"/>
                <c:pt idx="0">
                  <c:v>3142797.4668935938</c:v>
                </c:pt>
                <c:pt idx="1">
                  <c:v>2987852.7589312261</c:v>
                </c:pt>
                <c:pt idx="2">
                  <c:v>2512071.4568659402</c:v>
                </c:pt>
                <c:pt idx="3">
                  <c:v>2378462.680180856</c:v>
                </c:pt>
                <c:pt idx="4">
                  <c:v>2117939.3946075412</c:v>
                </c:pt>
                <c:pt idx="5">
                  <c:v>2065422.633895864</c:v>
                </c:pt>
                <c:pt idx="6">
                  <c:v>2014841.1694391072</c:v>
                </c:pt>
                <c:pt idx="7">
                  <c:v>1895331.9403199404</c:v>
                </c:pt>
                <c:pt idx="8">
                  <c:v>1863352.3297372933</c:v>
                </c:pt>
                <c:pt idx="9">
                  <c:v>1893792.4963747538</c:v>
                </c:pt>
                <c:pt idx="10">
                  <c:v>1880426.7124194461</c:v>
                </c:pt>
                <c:pt idx="11">
                  <c:v>1916832.391446946</c:v>
                </c:pt>
                <c:pt idx="12">
                  <c:v>1896399.301260476</c:v>
                </c:pt>
                <c:pt idx="13">
                  <c:v>1927579.8442089872</c:v>
                </c:pt>
                <c:pt idx="14">
                  <c:v>1936302.3435028975</c:v>
                </c:pt>
                <c:pt idx="15">
                  <c:v>1953629.4875827809</c:v>
                </c:pt>
                <c:pt idx="16">
                  <c:v>2012876.1729748596</c:v>
                </c:pt>
                <c:pt idx="17">
                  <c:v>2010018.1807905533</c:v>
                </c:pt>
                <c:pt idx="18">
                  <c:v>2037071.7586961421</c:v>
                </c:pt>
                <c:pt idx="19">
                  <c:v>1902898.0884484232</c:v>
                </c:pt>
                <c:pt idx="20">
                  <c:v>1997139.5675057301</c:v>
                </c:pt>
                <c:pt idx="21">
                  <c:v>2049760.3757819906</c:v>
                </c:pt>
                <c:pt idx="22">
                  <c:v>2071103.3392923996</c:v>
                </c:pt>
                <c:pt idx="23">
                  <c:v>2006947.4782644487</c:v>
                </c:pt>
                <c:pt idx="24">
                  <c:v>1997208.2779226825</c:v>
                </c:pt>
                <c:pt idx="25">
                  <c:v>1988440.7124297374</c:v>
                </c:pt>
                <c:pt idx="26">
                  <c:v>1984451.1743962693</c:v>
                </c:pt>
                <c:pt idx="27">
                  <c:v>2024861.1647146121</c:v>
                </c:pt>
                <c:pt idx="28">
                  <c:v>2087290.0291074389</c:v>
                </c:pt>
                <c:pt idx="29">
                  <c:v>2077266.3769343956</c:v>
                </c:pt>
                <c:pt idx="30">
                  <c:v>2001271.3451281297</c:v>
                </c:pt>
                <c:pt idx="31">
                  <c:v>2098145.7607690077</c:v>
                </c:pt>
                <c:pt idx="32">
                  <c:v>2042026.8216418209</c:v>
                </c:pt>
              </c:numCache>
            </c:numRef>
          </c:val>
          <c:extLst>
            <c:ext xmlns:c16="http://schemas.microsoft.com/office/drawing/2014/chart" uri="{C3380CC4-5D6E-409C-BE32-E72D297353CC}">
              <c16:uniqueId val="{0000000D-D41D-4CBF-A7BF-EB4E70DEF3A2}"/>
            </c:ext>
          </c:extLst>
        </c:ser>
        <c:ser>
          <c:idx val="14"/>
          <c:order val="14"/>
          <c:tx>
            <c:strRef>
              <c:f>'Working sheet'!$A$45</c:f>
              <c:strCache>
                <c:ptCount val="1"/>
                <c:pt idx="0">
                  <c:v>European Union (excl. UK)</c:v>
                </c:pt>
              </c:strCache>
            </c:strRef>
          </c:tx>
          <c:spPr>
            <a:solidFill>
              <a:schemeClr val="accent5">
                <a:lumMod val="60000"/>
                <a:lumOff val="4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sheet'!$B$45:$AH$45</c:f>
              <c:numCache>
                <c:formatCode>#,##0</c:formatCode>
                <c:ptCount val="33"/>
                <c:pt idx="0">
                  <c:v>4858721.7461183947</c:v>
                </c:pt>
                <c:pt idx="1">
                  <c:v>4753235.6175495479</c:v>
                </c:pt>
                <c:pt idx="2">
                  <c:v>4602044.3048363477</c:v>
                </c:pt>
                <c:pt idx="3">
                  <c:v>4522014.9052005336</c:v>
                </c:pt>
                <c:pt idx="4">
                  <c:v>4500096.8468097374</c:v>
                </c:pt>
                <c:pt idx="5">
                  <c:v>4550599.9005432324</c:v>
                </c:pt>
                <c:pt idx="6">
                  <c:v>4641592.2045008708</c:v>
                </c:pt>
                <c:pt idx="7">
                  <c:v>4570484.1590949129</c:v>
                </c:pt>
                <c:pt idx="8">
                  <c:v>4531703.7342188023</c:v>
                </c:pt>
                <c:pt idx="9">
                  <c:v>4456534.2567076925</c:v>
                </c:pt>
                <c:pt idx="10">
                  <c:v>4445278.2092112163</c:v>
                </c:pt>
                <c:pt idx="11">
                  <c:v>4494091.7851530304</c:v>
                </c:pt>
                <c:pt idx="12">
                  <c:v>4480290.868138806</c:v>
                </c:pt>
                <c:pt idx="13">
                  <c:v>4555586.5243921857</c:v>
                </c:pt>
                <c:pt idx="14">
                  <c:v>4553475.1721104626</c:v>
                </c:pt>
                <c:pt idx="15">
                  <c:v>4536750.0437631505</c:v>
                </c:pt>
                <c:pt idx="16">
                  <c:v>4540454.9968389142</c:v>
                </c:pt>
                <c:pt idx="17">
                  <c:v>4491363.9388945224</c:v>
                </c:pt>
                <c:pt idx="18">
                  <c:v>4403507.8998998059</c:v>
                </c:pt>
                <c:pt idx="19">
                  <c:v>4085898.5100680646</c:v>
                </c:pt>
                <c:pt idx="20">
                  <c:v>4165463.2770020375</c:v>
                </c:pt>
                <c:pt idx="21">
                  <c:v>4057129.8912292519</c:v>
                </c:pt>
                <c:pt idx="22">
                  <c:v>3985798.5339388349</c:v>
                </c:pt>
                <c:pt idx="23">
                  <c:v>3889371.0404556082</c:v>
                </c:pt>
                <c:pt idx="24">
                  <c:v>3748899.8666302091</c:v>
                </c:pt>
                <c:pt idx="25">
                  <c:v>3802730.4327750322</c:v>
                </c:pt>
                <c:pt idx="26">
                  <c:v>3796348.0309752002</c:v>
                </c:pt>
                <c:pt idx="27">
                  <c:v>3818158.2028292525</c:v>
                </c:pt>
                <c:pt idx="28">
                  <c:v>3739536.1905328799</c:v>
                </c:pt>
                <c:pt idx="29">
                  <c:v>3573616.1246909243</c:v>
                </c:pt>
                <c:pt idx="30">
                  <c:v>3282155.2041407051</c:v>
                </c:pt>
                <c:pt idx="31">
                  <c:v>3453091.8123090873</c:v>
                </c:pt>
                <c:pt idx="32">
                  <c:v>3365516.5883678175</c:v>
                </c:pt>
              </c:numCache>
            </c:numRef>
          </c:val>
          <c:extLst>
            <c:ext xmlns:c16="http://schemas.microsoft.com/office/drawing/2014/chart" uri="{C3380CC4-5D6E-409C-BE32-E72D297353CC}">
              <c16:uniqueId val="{0000000E-D41D-4CBF-A7BF-EB4E70DEF3A2}"/>
            </c:ext>
          </c:extLst>
        </c:ser>
        <c:ser>
          <c:idx val="15"/>
          <c:order val="15"/>
          <c:tx>
            <c:strRef>
              <c:f>'Working sheet'!$A$46</c:f>
              <c:strCache>
                <c:ptCount val="1"/>
                <c:pt idx="0">
                  <c:v>United States of America</c:v>
                </c:pt>
              </c:strCache>
            </c:strRef>
          </c:tx>
          <c:spPr>
            <a:solidFill>
              <a:schemeClr val="accent1">
                <a:lumMod val="5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sheet'!$B$46:$AH$46</c:f>
              <c:numCache>
                <c:formatCode>#,##0</c:formatCode>
                <c:ptCount val="33"/>
                <c:pt idx="0">
                  <c:v>6536914.6797930636</c:v>
                </c:pt>
                <c:pt idx="1">
                  <c:v>6472689.3518884191</c:v>
                </c:pt>
                <c:pt idx="2">
                  <c:v>6576351.6936139883</c:v>
                </c:pt>
                <c:pt idx="3">
                  <c:v>6686455.5372199845</c:v>
                </c:pt>
                <c:pt idx="4">
                  <c:v>6782638.781299673</c:v>
                </c:pt>
                <c:pt idx="5">
                  <c:v>6862137.292178221</c:v>
                </c:pt>
                <c:pt idx="6">
                  <c:v>7056258.3775752159</c:v>
                </c:pt>
                <c:pt idx="7">
                  <c:v>7108979.9652857324</c:v>
                </c:pt>
                <c:pt idx="8">
                  <c:v>7178986.2880283399</c:v>
                </c:pt>
                <c:pt idx="9">
                  <c:v>7218632.9666135358</c:v>
                </c:pt>
                <c:pt idx="10">
                  <c:v>7419881.1122579444</c:v>
                </c:pt>
                <c:pt idx="11">
                  <c:v>7287316.9534539031</c:v>
                </c:pt>
                <c:pt idx="12">
                  <c:v>7329898.1137895538</c:v>
                </c:pt>
                <c:pt idx="13">
                  <c:v>7386887.0427374924</c:v>
                </c:pt>
                <c:pt idx="14">
                  <c:v>7492328.7569057671</c:v>
                </c:pt>
                <c:pt idx="15">
                  <c:v>7494637.1004351787</c:v>
                </c:pt>
                <c:pt idx="16">
                  <c:v>7429178.1398755172</c:v>
                </c:pt>
                <c:pt idx="17">
                  <c:v>7529904.7443570793</c:v>
                </c:pt>
                <c:pt idx="18">
                  <c:v>7326352.5874689966</c:v>
                </c:pt>
                <c:pt idx="19">
                  <c:v>6866918.7256182758</c:v>
                </c:pt>
                <c:pt idx="20">
                  <c:v>7066007.4087265087</c:v>
                </c:pt>
                <c:pt idx="21">
                  <c:v>6911768.4826680692</c:v>
                </c:pt>
                <c:pt idx="22">
                  <c:v>6660905.1235916503</c:v>
                </c:pt>
                <c:pt idx="23">
                  <c:v>6845403.0743498141</c:v>
                </c:pt>
                <c:pt idx="24">
                  <c:v>6905851.3419710565</c:v>
                </c:pt>
                <c:pt idx="25">
                  <c:v>6736216.7832995113</c:v>
                </c:pt>
                <c:pt idx="26">
                  <c:v>6580035.9711100031</c:v>
                </c:pt>
                <c:pt idx="27">
                  <c:v>6551027.1463901987</c:v>
                </c:pt>
                <c:pt idx="28">
                  <c:v>6752749.7220774842</c:v>
                </c:pt>
                <c:pt idx="29">
                  <c:v>6590128.917246636</c:v>
                </c:pt>
                <c:pt idx="30">
                  <c:v>6001807.2754546683</c:v>
                </c:pt>
                <c:pt idx="31">
                  <c:v>6328794.3530199779</c:v>
                </c:pt>
                <c:pt idx="32">
                  <c:v>6343209.3302705865</c:v>
                </c:pt>
              </c:numCache>
            </c:numRef>
          </c:val>
          <c:extLst>
            <c:ext xmlns:c16="http://schemas.microsoft.com/office/drawing/2014/chart" uri="{C3380CC4-5D6E-409C-BE32-E72D297353CC}">
              <c16:uniqueId val="{0000000F-D41D-4CBF-A7BF-EB4E70DEF3A2}"/>
            </c:ext>
          </c:extLst>
        </c:ser>
        <c:ser>
          <c:idx val="16"/>
          <c:order val="16"/>
          <c:tx>
            <c:strRef>
              <c:f>'Working sheet'!$A$47</c:f>
              <c:strCache>
                <c:ptCount val="1"/>
                <c:pt idx="0">
                  <c:v>United Kingdom</c:v>
                </c:pt>
              </c:strCache>
            </c:strRef>
          </c:tx>
          <c:spPr>
            <a:solidFill>
              <a:schemeClr val="accent3">
                <a:lumMod val="50000"/>
              </a:schemeClr>
            </a:solidFill>
            <a:ln>
              <a:noFill/>
            </a:ln>
            <a:effectLst/>
          </c:spPr>
          <c:invertIfNegative val="0"/>
          <c:cat>
            <c:numRef>
              <c:f>'Working sheet'!$B$30:$AH$30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sheet'!$B$47:$AH$47</c:f>
              <c:numCache>
                <c:formatCode>#,##0_);[Red]\(#,##0\)</c:formatCode>
                <c:ptCount val="33"/>
                <c:pt idx="0">
                  <c:v>805610.85043472145</c:v>
                </c:pt>
                <c:pt idx="1">
                  <c:v>814428.74390115147</c:v>
                </c:pt>
                <c:pt idx="2">
                  <c:v>794096.75139463844</c:v>
                </c:pt>
                <c:pt idx="3">
                  <c:v>775060.91145130724</c:v>
                </c:pt>
                <c:pt idx="4">
                  <c:v>762886.95123865909</c:v>
                </c:pt>
                <c:pt idx="5">
                  <c:v>756780.0480092651</c:v>
                </c:pt>
                <c:pt idx="6">
                  <c:v>777414.37154482247</c:v>
                </c:pt>
                <c:pt idx="7">
                  <c:v>753198.84760564333</c:v>
                </c:pt>
                <c:pt idx="8">
                  <c:v>751677.95483105327</c:v>
                </c:pt>
                <c:pt idx="9">
                  <c:v>722572.24009482434</c:v>
                </c:pt>
                <c:pt idx="10">
                  <c:v>722644.1781178586</c:v>
                </c:pt>
                <c:pt idx="11">
                  <c:v>725811.66395253653</c:v>
                </c:pt>
                <c:pt idx="12">
                  <c:v>704706.81096560881</c:v>
                </c:pt>
                <c:pt idx="13">
                  <c:v>710267.08739829704</c:v>
                </c:pt>
                <c:pt idx="14">
                  <c:v>706847.80640710099</c:v>
                </c:pt>
                <c:pt idx="15">
                  <c:v>698481.29824488051</c:v>
                </c:pt>
                <c:pt idx="16">
                  <c:v>691100.88167338574</c:v>
                </c:pt>
                <c:pt idx="17">
                  <c:v>678936.80846278428</c:v>
                </c:pt>
                <c:pt idx="18">
                  <c:v>657755.09696652868</c:v>
                </c:pt>
                <c:pt idx="19">
                  <c:v>600794.79156791547</c:v>
                </c:pt>
                <c:pt idx="20">
                  <c:v>614637.87812504999</c:v>
                </c:pt>
                <c:pt idx="21">
                  <c:v>569042.69538846146</c:v>
                </c:pt>
                <c:pt idx="22">
                  <c:v>585241.17895513203</c:v>
                </c:pt>
                <c:pt idx="23">
                  <c:v>570675.69113213266</c:v>
                </c:pt>
                <c:pt idx="24">
                  <c:v>529459.06752827938</c:v>
                </c:pt>
                <c:pt idx="25">
                  <c:v>511812.28003796196</c:v>
                </c:pt>
                <c:pt idx="26">
                  <c:v>484467.28989936115</c:v>
                </c:pt>
                <c:pt idx="27">
                  <c:v>473198.62340815947</c:v>
                </c:pt>
                <c:pt idx="28">
                  <c:v>465920.02251783462</c:v>
                </c:pt>
                <c:pt idx="29">
                  <c:v>451127.94444457866</c:v>
                </c:pt>
                <c:pt idx="30">
                  <c:v>407084.43394011102</c:v>
                </c:pt>
                <c:pt idx="31">
                  <c:v>424545.69362459483</c:v>
                </c:pt>
                <c:pt idx="32">
                  <c:v>409551.58354773134</c:v>
                </c:pt>
              </c:numCache>
            </c:numRef>
          </c:val>
          <c:extLst>
            <c:ext xmlns:c16="http://schemas.microsoft.com/office/drawing/2014/chart" uri="{C3380CC4-5D6E-409C-BE32-E72D297353CC}">
              <c16:uniqueId val="{00000001-F506-4647-A81D-3D0F3D905690}"/>
            </c:ext>
          </c:extLst>
        </c:ser>
        <c:dLbls>
          <c:showLegendKey val="0"/>
          <c:showVal val="0"/>
          <c:showCatName val="0"/>
          <c:showSerName val="0"/>
          <c:showPercent val="0"/>
          <c:showBubbleSize val="0"/>
        </c:dLbls>
        <c:gapWidth val="150"/>
        <c:overlap val="100"/>
        <c:axId val="279435056"/>
        <c:axId val="279435616"/>
      </c:barChart>
      <c:catAx>
        <c:axId val="2794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435616"/>
        <c:crosses val="autoZero"/>
        <c:auto val="1"/>
        <c:lblAlgn val="ctr"/>
        <c:lblOffset val="100"/>
        <c:noMultiLvlLbl val="0"/>
      </c:catAx>
      <c:valAx>
        <c:axId val="27943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435056"/>
        <c:crosses val="autoZero"/>
        <c:crossBetween val="between"/>
      </c:valAx>
      <c:spPr>
        <a:noFill/>
        <a:ln>
          <a:noFill/>
        </a:ln>
        <a:effectLst/>
      </c:spPr>
    </c:plotArea>
    <c:legend>
      <c:legendPos val="r"/>
      <c:layout>
        <c:manualLayout>
          <c:xMode val="edge"/>
          <c:yMode val="edge"/>
          <c:x val="0.78962452575838871"/>
          <c:y val="4.2573885645581303E-2"/>
          <c:w val="0.21037547424161127"/>
          <c:h val="0.9574261143544187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23187665143675E-2"/>
          <c:y val="3.4726097594503083E-2"/>
          <c:w val="0.70618293524112652"/>
          <c:h val="0.86147941130191541"/>
        </c:manualLayout>
      </c:layout>
      <c:barChart>
        <c:barDir val="col"/>
        <c:grouping val="stacked"/>
        <c:varyColors val="0"/>
        <c:ser>
          <c:idx val="0"/>
          <c:order val="0"/>
          <c:tx>
            <c:strRef>
              <c:f>'Working sheet'!$A$51</c:f>
              <c:strCache>
                <c:ptCount val="1"/>
                <c:pt idx="0">
                  <c:v>Monaco</c:v>
                </c:pt>
              </c:strCache>
            </c:strRef>
          </c:tx>
          <c:spPr>
            <a:solidFill>
              <a:schemeClr val="accent2"/>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sheet'!$B$51:$AH$51</c:f>
              <c:numCache>
                <c:formatCode>#,##0</c:formatCode>
                <c:ptCount val="33"/>
                <c:pt idx="0">
                  <c:v>101.39884102738999</c:v>
                </c:pt>
                <c:pt idx="1">
                  <c:v>102.30047703565991</c:v>
                </c:pt>
                <c:pt idx="2">
                  <c:v>107.86868475772988</c:v>
                </c:pt>
                <c:pt idx="3">
                  <c:v>106.8061437404133</c:v>
                </c:pt>
                <c:pt idx="4">
                  <c:v>107.41741757582402</c:v>
                </c:pt>
                <c:pt idx="5">
                  <c:v>104.06855829297319</c:v>
                </c:pt>
                <c:pt idx="6">
                  <c:v>107.75191209699025</c:v>
                </c:pt>
                <c:pt idx="7">
                  <c:v>106.14537291784379</c:v>
                </c:pt>
                <c:pt idx="8">
                  <c:v>105.25448509670194</c:v>
                </c:pt>
                <c:pt idx="9">
                  <c:v>106.34418756818434</c:v>
                </c:pt>
                <c:pt idx="10">
                  <c:v>104.56865233533578</c:v>
                </c:pt>
                <c:pt idx="11">
                  <c:v>104.83184449966035</c:v>
                </c:pt>
                <c:pt idx="12">
                  <c:v>105.16398877850457</c:v>
                </c:pt>
                <c:pt idx="13">
                  <c:v>102.22071401001736</c:v>
                </c:pt>
                <c:pt idx="14">
                  <c:v>97.128903293569323</c:v>
                </c:pt>
                <c:pt idx="15">
                  <c:v>95.911700403624366</c:v>
                </c:pt>
                <c:pt idx="16">
                  <c:v>91.538668844574147</c:v>
                </c:pt>
                <c:pt idx="17">
                  <c:v>91.146476312183509</c:v>
                </c:pt>
                <c:pt idx="18">
                  <c:v>91.77960438400747</c:v>
                </c:pt>
                <c:pt idx="19">
                  <c:v>87.914436594412848</c:v>
                </c:pt>
                <c:pt idx="20">
                  <c:v>85.610067965352215</c:v>
                </c:pt>
                <c:pt idx="21">
                  <c:v>84.375860240938792</c:v>
                </c:pt>
                <c:pt idx="22">
                  <c:v>87.726787316585089</c:v>
                </c:pt>
                <c:pt idx="23">
                  <c:v>90.126429130445217</c:v>
                </c:pt>
                <c:pt idx="24">
                  <c:v>84.669175167395366</c:v>
                </c:pt>
                <c:pt idx="25">
                  <c:v>87.948737535469419</c:v>
                </c:pt>
                <c:pt idx="26">
                  <c:v>86.743996840935068</c:v>
                </c:pt>
                <c:pt idx="27">
                  <c:v>83.259050573416019</c:v>
                </c:pt>
                <c:pt idx="28">
                  <c:v>86.186494096900319</c:v>
                </c:pt>
                <c:pt idx="29">
                  <c:v>82.11580852536602</c:v>
                </c:pt>
                <c:pt idx="30">
                  <c:v>69.198036225884223</c:v>
                </c:pt>
                <c:pt idx="31">
                  <c:v>73.035991339100008</c:v>
                </c:pt>
                <c:pt idx="32">
                  <c:v>66.459559575843642</c:v>
                </c:pt>
              </c:numCache>
            </c:numRef>
          </c:val>
          <c:extLst>
            <c:ext xmlns:c16="http://schemas.microsoft.com/office/drawing/2014/chart" uri="{C3380CC4-5D6E-409C-BE32-E72D297353CC}">
              <c16:uniqueId val="{00000000-19EA-4A7B-8D3B-110015FF1044}"/>
            </c:ext>
          </c:extLst>
        </c:ser>
        <c:ser>
          <c:idx val="1"/>
          <c:order val="1"/>
          <c:tx>
            <c:strRef>
              <c:f>'Working sheet'!$A$52</c:f>
              <c:strCache>
                <c:ptCount val="1"/>
                <c:pt idx="0">
                  <c:v>Liechtenstein</c:v>
                </c:pt>
              </c:strCache>
            </c:strRef>
          </c:tx>
          <c:spPr>
            <a:solidFill>
              <a:schemeClr val="accent4"/>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sheet'!$B$52:$AH$52</c:f>
              <c:numCache>
                <c:formatCode>#,##0</c:formatCode>
                <c:ptCount val="33"/>
                <c:pt idx="0">
                  <c:v>235.80995946610992</c:v>
                </c:pt>
                <c:pt idx="1">
                  <c:v>227.11790701012009</c:v>
                </c:pt>
                <c:pt idx="2">
                  <c:v>238.49893176920881</c:v>
                </c:pt>
                <c:pt idx="3">
                  <c:v>242.16137353792345</c:v>
                </c:pt>
                <c:pt idx="4">
                  <c:v>248.32916171417102</c:v>
                </c:pt>
                <c:pt idx="5">
                  <c:v>238.24198876684076</c:v>
                </c:pt>
                <c:pt idx="6">
                  <c:v>232.00781899184472</c:v>
                </c:pt>
                <c:pt idx="7">
                  <c:v>261.39496213584226</c:v>
                </c:pt>
                <c:pt idx="8">
                  <c:v>264.17552083554023</c:v>
                </c:pt>
                <c:pt idx="9">
                  <c:v>259.72489920738485</c:v>
                </c:pt>
                <c:pt idx="10">
                  <c:v>276.36263506207592</c:v>
                </c:pt>
                <c:pt idx="11">
                  <c:v>252.112906768996</c:v>
                </c:pt>
                <c:pt idx="12">
                  <c:v>259.18702082481701</c:v>
                </c:pt>
                <c:pt idx="13">
                  <c:v>269.95656944596897</c:v>
                </c:pt>
                <c:pt idx="14">
                  <c:v>272.3615500380306</c:v>
                </c:pt>
                <c:pt idx="15">
                  <c:v>272.91051210482584</c:v>
                </c:pt>
                <c:pt idx="16">
                  <c:v>281.40956503082731</c:v>
                </c:pt>
                <c:pt idx="17">
                  <c:v>261.41823383029077</c:v>
                </c:pt>
                <c:pt idx="18">
                  <c:v>283.1583083485649</c:v>
                </c:pt>
                <c:pt idx="19">
                  <c:v>264.79065679377425</c:v>
                </c:pt>
                <c:pt idx="20">
                  <c:v>248.20733649329523</c:v>
                </c:pt>
                <c:pt idx="21">
                  <c:v>238.99705868573037</c:v>
                </c:pt>
                <c:pt idx="22">
                  <c:v>248.35022717049753</c:v>
                </c:pt>
                <c:pt idx="23">
                  <c:v>246.67726997184218</c:v>
                </c:pt>
                <c:pt idx="24">
                  <c:v>215.3777045862644</c:v>
                </c:pt>
                <c:pt idx="25">
                  <c:v>210.47708061387883</c:v>
                </c:pt>
                <c:pt idx="26">
                  <c:v>197.98895451099347</c:v>
                </c:pt>
                <c:pt idx="27">
                  <c:v>204.77435625550459</c:v>
                </c:pt>
                <c:pt idx="28">
                  <c:v>203.39043497246189</c:v>
                </c:pt>
                <c:pt idx="29">
                  <c:v>199.64672190553912</c:v>
                </c:pt>
                <c:pt idx="30">
                  <c:v>181.63261680014699</c:v>
                </c:pt>
                <c:pt idx="31">
                  <c:v>180.14057396081316</c:v>
                </c:pt>
                <c:pt idx="32">
                  <c:v>164.37743011829727</c:v>
                </c:pt>
              </c:numCache>
            </c:numRef>
          </c:val>
          <c:extLst>
            <c:ext xmlns:c16="http://schemas.microsoft.com/office/drawing/2014/chart" uri="{C3380CC4-5D6E-409C-BE32-E72D297353CC}">
              <c16:uniqueId val="{00000001-19EA-4A7B-8D3B-110015FF1044}"/>
            </c:ext>
          </c:extLst>
        </c:ser>
        <c:ser>
          <c:idx val="2"/>
          <c:order val="2"/>
          <c:tx>
            <c:strRef>
              <c:f>'Working sheet'!$A$53</c:f>
              <c:strCache>
                <c:ptCount val="1"/>
                <c:pt idx="0">
                  <c:v>Iceland</c:v>
                </c:pt>
              </c:strCache>
            </c:strRef>
          </c:tx>
          <c:spPr>
            <a:solidFill>
              <a:schemeClr val="accent6"/>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sheet'!$B$53:$AH$53</c:f>
              <c:numCache>
                <c:formatCode>#,##0</c:formatCode>
                <c:ptCount val="33"/>
                <c:pt idx="0">
                  <c:v>11376.863535140366</c:v>
                </c:pt>
                <c:pt idx="1">
                  <c:v>11172.935103647256</c:v>
                </c:pt>
                <c:pt idx="2">
                  <c:v>11092.764812606079</c:v>
                </c:pt>
                <c:pt idx="3">
                  <c:v>11185.204597849875</c:v>
                </c:pt>
                <c:pt idx="4">
                  <c:v>11105.288060776353</c:v>
                </c:pt>
                <c:pt idx="5">
                  <c:v>11218.928302439825</c:v>
                </c:pt>
                <c:pt idx="6">
                  <c:v>11266.917246644041</c:v>
                </c:pt>
                <c:pt idx="7">
                  <c:v>11419.170005489268</c:v>
                </c:pt>
                <c:pt idx="8">
                  <c:v>11566.724732399633</c:v>
                </c:pt>
                <c:pt idx="9">
                  <c:v>11788.744671476052</c:v>
                </c:pt>
                <c:pt idx="10">
                  <c:v>11829.617657910965</c:v>
                </c:pt>
                <c:pt idx="11">
                  <c:v>11733.45201602178</c:v>
                </c:pt>
                <c:pt idx="12">
                  <c:v>11837.028473843036</c:v>
                </c:pt>
                <c:pt idx="13">
                  <c:v>11803.412575479166</c:v>
                </c:pt>
                <c:pt idx="14">
                  <c:v>11910.763467094297</c:v>
                </c:pt>
                <c:pt idx="15">
                  <c:v>11768.326470097581</c:v>
                </c:pt>
                <c:pt idx="16">
                  <c:v>12377.655583624872</c:v>
                </c:pt>
                <c:pt idx="17">
                  <c:v>12585.030606168304</c:v>
                </c:pt>
                <c:pt idx="18">
                  <c:v>13008.936854736279</c:v>
                </c:pt>
                <c:pt idx="19">
                  <c:v>12752.496719262455</c:v>
                </c:pt>
                <c:pt idx="20">
                  <c:v>12634.955692589885</c:v>
                </c:pt>
                <c:pt idx="21">
                  <c:v>12402.484719310229</c:v>
                </c:pt>
                <c:pt idx="22">
                  <c:v>12402.064256075611</c:v>
                </c:pt>
                <c:pt idx="23">
                  <c:v>12399.256399099755</c:v>
                </c:pt>
                <c:pt idx="24">
                  <c:v>12400.703437852679</c:v>
                </c:pt>
                <c:pt idx="25">
                  <c:v>12473.612677161776</c:v>
                </c:pt>
                <c:pt idx="26">
                  <c:v>12408.163527110619</c:v>
                </c:pt>
                <c:pt idx="27">
                  <c:v>12466.955795467178</c:v>
                </c:pt>
                <c:pt idx="28">
                  <c:v>12508.66027668009</c:v>
                </c:pt>
                <c:pt idx="29">
                  <c:v>12382.358015812288</c:v>
                </c:pt>
                <c:pt idx="30">
                  <c:v>12197.16448259193</c:v>
                </c:pt>
                <c:pt idx="31">
                  <c:v>12330.426480366383</c:v>
                </c:pt>
                <c:pt idx="32">
                  <c:v>12423.021052710374</c:v>
                </c:pt>
              </c:numCache>
            </c:numRef>
          </c:val>
          <c:extLst>
            <c:ext xmlns:c16="http://schemas.microsoft.com/office/drawing/2014/chart" uri="{C3380CC4-5D6E-409C-BE32-E72D297353CC}">
              <c16:uniqueId val="{00000002-19EA-4A7B-8D3B-110015FF1044}"/>
            </c:ext>
          </c:extLst>
        </c:ser>
        <c:ser>
          <c:idx val="3"/>
          <c:order val="3"/>
          <c:tx>
            <c:strRef>
              <c:f>'Working sheet'!$A$54</c:f>
              <c:strCache>
                <c:ptCount val="1"/>
                <c:pt idx="0">
                  <c:v>Norway</c:v>
                </c:pt>
              </c:strCache>
            </c:strRef>
          </c:tx>
          <c:spPr>
            <a:solidFill>
              <a:schemeClr val="accent2">
                <a:lumMod val="6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sheet'!$B$54:$AH$54</c:f>
              <c:numCache>
                <c:formatCode>#,##0</c:formatCode>
                <c:ptCount val="33"/>
                <c:pt idx="0">
                  <c:v>39022.225082278659</c:v>
                </c:pt>
                <c:pt idx="1">
                  <c:v>35569.108209576982</c:v>
                </c:pt>
                <c:pt idx="2">
                  <c:v>34433.865123081567</c:v>
                </c:pt>
                <c:pt idx="3">
                  <c:v>35407.262121345142</c:v>
                </c:pt>
                <c:pt idx="4">
                  <c:v>38490.903608288521</c:v>
                </c:pt>
                <c:pt idx="5">
                  <c:v>36373.314535880643</c:v>
                </c:pt>
                <c:pt idx="6">
                  <c:v>43675.682296831044</c:v>
                </c:pt>
                <c:pt idx="7">
                  <c:v>40815.072349550668</c:v>
                </c:pt>
                <c:pt idx="8">
                  <c:v>39610.057142440695</c:v>
                </c:pt>
                <c:pt idx="9">
                  <c:v>35184.758084201334</c:v>
                </c:pt>
                <c:pt idx="10">
                  <c:v>37145.23352318105</c:v>
                </c:pt>
                <c:pt idx="11">
                  <c:v>33581.901552739815</c:v>
                </c:pt>
                <c:pt idx="12">
                  <c:v>31029.301834518272</c:v>
                </c:pt>
                <c:pt idx="13">
                  <c:v>32558.549943822054</c:v>
                </c:pt>
                <c:pt idx="14">
                  <c:v>32513.648483309615</c:v>
                </c:pt>
                <c:pt idx="15">
                  <c:v>29567.920154121217</c:v>
                </c:pt>
                <c:pt idx="16">
                  <c:v>34501.057508858619</c:v>
                </c:pt>
                <c:pt idx="17">
                  <c:v>34678.446567833023</c:v>
                </c:pt>
                <c:pt idx="18">
                  <c:v>28293.578041812892</c:v>
                </c:pt>
                <c:pt idx="19">
                  <c:v>27235.429078828762</c:v>
                </c:pt>
                <c:pt idx="20">
                  <c:v>28266.21376717788</c:v>
                </c:pt>
                <c:pt idx="21">
                  <c:v>28029.845025100734</c:v>
                </c:pt>
                <c:pt idx="22">
                  <c:v>28372.720611314176</c:v>
                </c:pt>
                <c:pt idx="23">
                  <c:v>32047.560077728598</c:v>
                </c:pt>
                <c:pt idx="24">
                  <c:v>34760.516875421177</c:v>
                </c:pt>
                <c:pt idx="25">
                  <c:v>39089.607256258503</c:v>
                </c:pt>
                <c:pt idx="26">
                  <c:v>39588.74312780465</c:v>
                </c:pt>
                <c:pt idx="27">
                  <c:v>36613.537787752895</c:v>
                </c:pt>
                <c:pt idx="28">
                  <c:v>39665.949072216245</c:v>
                </c:pt>
                <c:pt idx="29">
                  <c:v>42167.121450504354</c:v>
                </c:pt>
                <c:pt idx="30">
                  <c:v>33136.81896792652</c:v>
                </c:pt>
                <c:pt idx="31">
                  <c:v>37382.395609021529</c:v>
                </c:pt>
                <c:pt idx="32">
                  <c:v>35008.839498041205</c:v>
                </c:pt>
              </c:numCache>
            </c:numRef>
          </c:val>
          <c:extLst>
            <c:ext xmlns:c16="http://schemas.microsoft.com/office/drawing/2014/chart" uri="{C3380CC4-5D6E-409C-BE32-E72D297353CC}">
              <c16:uniqueId val="{00000003-19EA-4A7B-8D3B-110015FF1044}"/>
            </c:ext>
          </c:extLst>
        </c:ser>
        <c:ser>
          <c:idx val="4"/>
          <c:order val="4"/>
          <c:tx>
            <c:strRef>
              <c:f>'Working sheet'!$A$55</c:f>
              <c:strCache>
                <c:ptCount val="1"/>
                <c:pt idx="0">
                  <c:v>Switzerland</c:v>
                </c:pt>
              </c:strCache>
            </c:strRef>
          </c:tx>
          <c:spPr>
            <a:solidFill>
              <a:schemeClr val="accent4">
                <a:lumMod val="6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sheet'!$B$55:$AH$55</c:f>
              <c:numCache>
                <c:formatCode>#,##0</c:formatCode>
                <c:ptCount val="33"/>
                <c:pt idx="0">
                  <c:v>51706.297431540312</c:v>
                </c:pt>
                <c:pt idx="1">
                  <c:v>50518.093140490484</c:v>
                </c:pt>
                <c:pt idx="2">
                  <c:v>51867.146242882212</c:v>
                </c:pt>
                <c:pt idx="3">
                  <c:v>48369.977721551149</c:v>
                </c:pt>
                <c:pt idx="4">
                  <c:v>49669.586624281998</c:v>
                </c:pt>
                <c:pt idx="5">
                  <c:v>49203.66362048631</c:v>
                </c:pt>
                <c:pt idx="6">
                  <c:v>47926.321119526947</c:v>
                </c:pt>
                <c:pt idx="7">
                  <c:v>49064.938443857187</c:v>
                </c:pt>
                <c:pt idx="8">
                  <c:v>51360.168143192015</c:v>
                </c:pt>
                <c:pt idx="9">
                  <c:v>52577.292945768015</c:v>
                </c:pt>
                <c:pt idx="10">
                  <c:v>58015.810580934471</c:v>
                </c:pt>
                <c:pt idx="11">
                  <c:v>54402.956379599978</c:v>
                </c:pt>
                <c:pt idx="12">
                  <c:v>51068.75451392986</c:v>
                </c:pt>
                <c:pt idx="13">
                  <c:v>52732.901141219001</c:v>
                </c:pt>
                <c:pt idx="14">
                  <c:v>51850.207518757306</c:v>
                </c:pt>
                <c:pt idx="15">
                  <c:v>52705.482003933917</c:v>
                </c:pt>
                <c:pt idx="16">
                  <c:v>55081.666348831226</c:v>
                </c:pt>
                <c:pt idx="17">
                  <c:v>52843.614127910267</c:v>
                </c:pt>
                <c:pt idx="18">
                  <c:v>53006.558315396651</c:v>
                </c:pt>
                <c:pt idx="19">
                  <c:v>51185.42210325475</c:v>
                </c:pt>
                <c:pt idx="20">
                  <c:v>52041.953536147368</c:v>
                </c:pt>
                <c:pt idx="21">
                  <c:v>49904.239911408105</c:v>
                </c:pt>
                <c:pt idx="22">
                  <c:v>50731.904449488968</c:v>
                </c:pt>
                <c:pt idx="23">
                  <c:v>51419.050383887399</c:v>
                </c:pt>
                <c:pt idx="24">
                  <c:v>48590.632530733026</c:v>
                </c:pt>
                <c:pt idx="25">
                  <c:v>47238.511741704802</c:v>
                </c:pt>
                <c:pt idx="26">
                  <c:v>47050.156467734356</c:v>
                </c:pt>
                <c:pt idx="27">
                  <c:v>46786.694089094308</c:v>
                </c:pt>
                <c:pt idx="28">
                  <c:v>46730.71874036485</c:v>
                </c:pt>
                <c:pt idx="29">
                  <c:v>45733.084701316206</c:v>
                </c:pt>
                <c:pt idx="30">
                  <c:v>43046.436156357056</c:v>
                </c:pt>
                <c:pt idx="31">
                  <c:v>43768.580918710199</c:v>
                </c:pt>
                <c:pt idx="32">
                  <c:v>41969.230765461114</c:v>
                </c:pt>
              </c:numCache>
            </c:numRef>
          </c:val>
          <c:extLst>
            <c:ext xmlns:c16="http://schemas.microsoft.com/office/drawing/2014/chart" uri="{C3380CC4-5D6E-409C-BE32-E72D297353CC}">
              <c16:uniqueId val="{00000004-19EA-4A7B-8D3B-110015FF1044}"/>
            </c:ext>
          </c:extLst>
        </c:ser>
        <c:ser>
          <c:idx val="5"/>
          <c:order val="5"/>
          <c:tx>
            <c:strRef>
              <c:f>'Working sheet'!$A$56</c:f>
              <c:strCache>
                <c:ptCount val="1"/>
                <c:pt idx="0">
                  <c:v>New Zealand</c:v>
                </c:pt>
              </c:strCache>
            </c:strRef>
          </c:tx>
          <c:spPr>
            <a:solidFill>
              <a:schemeClr val="accent6">
                <a:lumMod val="6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sheet'!$B$56:$AH$56</c:f>
              <c:numCache>
                <c:formatCode>#,##0</c:formatCode>
                <c:ptCount val="33"/>
                <c:pt idx="0">
                  <c:v>44633.557741729077</c:v>
                </c:pt>
                <c:pt idx="1">
                  <c:v>43704.486853019524</c:v>
                </c:pt>
                <c:pt idx="2">
                  <c:v>45703.11120383368</c:v>
                </c:pt>
                <c:pt idx="3">
                  <c:v>45158.323890706597</c:v>
                </c:pt>
                <c:pt idx="4">
                  <c:v>47239.686823180455</c:v>
                </c:pt>
                <c:pt idx="5">
                  <c:v>49258.299833093384</c:v>
                </c:pt>
                <c:pt idx="6">
                  <c:v>52570.415203586628</c:v>
                </c:pt>
                <c:pt idx="7">
                  <c:v>54553.454726681994</c:v>
                </c:pt>
                <c:pt idx="8">
                  <c:v>51760.363174374572</c:v>
                </c:pt>
                <c:pt idx="9">
                  <c:v>50840.504991286638</c:v>
                </c:pt>
                <c:pt idx="10">
                  <c:v>52177.524166992363</c:v>
                </c:pt>
                <c:pt idx="11">
                  <c:v>54822.381372512005</c:v>
                </c:pt>
                <c:pt idx="12">
                  <c:v>56298.899298672237</c:v>
                </c:pt>
                <c:pt idx="13">
                  <c:v>57846.131713758135</c:v>
                </c:pt>
                <c:pt idx="14">
                  <c:v>58097.242164525342</c:v>
                </c:pt>
                <c:pt idx="15">
                  <c:v>62364.442722453939</c:v>
                </c:pt>
                <c:pt idx="16">
                  <c:v>64582.021993762479</c:v>
                </c:pt>
                <c:pt idx="17">
                  <c:v>64215.476435082019</c:v>
                </c:pt>
                <c:pt idx="18">
                  <c:v>55476.86442270827</c:v>
                </c:pt>
                <c:pt idx="19">
                  <c:v>53779.057485418569</c:v>
                </c:pt>
                <c:pt idx="20">
                  <c:v>53524.422501967187</c:v>
                </c:pt>
                <c:pt idx="21">
                  <c:v>52989.069753459094</c:v>
                </c:pt>
                <c:pt idx="22">
                  <c:v>58565.12445017758</c:v>
                </c:pt>
                <c:pt idx="23">
                  <c:v>57702.484830449095</c:v>
                </c:pt>
                <c:pt idx="24">
                  <c:v>58598.186574712352</c:v>
                </c:pt>
                <c:pt idx="25">
                  <c:v>58307.564954035151</c:v>
                </c:pt>
                <c:pt idx="26">
                  <c:v>56713.12563317654</c:v>
                </c:pt>
                <c:pt idx="27">
                  <c:v>59616.01730603235</c:v>
                </c:pt>
                <c:pt idx="28">
                  <c:v>61009.227838365718</c:v>
                </c:pt>
                <c:pt idx="29">
                  <c:v>62991.824989152832</c:v>
                </c:pt>
                <c:pt idx="30">
                  <c:v>60821.286169874547</c:v>
                </c:pt>
                <c:pt idx="31">
                  <c:v>61303.355720994427</c:v>
                </c:pt>
                <c:pt idx="32">
                  <c:v>59156.568833087433</c:v>
                </c:pt>
              </c:numCache>
            </c:numRef>
          </c:val>
          <c:extLst>
            <c:ext xmlns:c16="http://schemas.microsoft.com/office/drawing/2014/chart" uri="{C3380CC4-5D6E-409C-BE32-E72D297353CC}">
              <c16:uniqueId val="{00000005-19EA-4A7B-8D3B-110015FF1044}"/>
            </c:ext>
          </c:extLst>
        </c:ser>
        <c:ser>
          <c:idx val="6"/>
          <c:order val="6"/>
          <c:tx>
            <c:strRef>
              <c:f>'Working sheet'!$A$57</c:f>
              <c:strCache>
                <c:ptCount val="1"/>
                <c:pt idx="0">
                  <c:v>Belarus</c:v>
                </c:pt>
              </c:strCache>
            </c:strRef>
          </c:tx>
          <c:spPr>
            <a:solidFill>
              <a:schemeClr val="accent2">
                <a:lumMod val="80000"/>
                <a:lumOff val="2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sheet'!$B$57:$AH$57</c:f>
              <c:numCache>
                <c:formatCode>#,##0</c:formatCode>
                <c:ptCount val="33"/>
                <c:pt idx="0">
                  <c:v>126181.93168080939</c:v>
                </c:pt>
                <c:pt idx="1">
                  <c:v>118124.47082661715</c:v>
                </c:pt>
                <c:pt idx="2">
                  <c:v>105042.3082132519</c:v>
                </c:pt>
                <c:pt idx="3">
                  <c:v>96958.175608045727</c:v>
                </c:pt>
                <c:pt idx="4">
                  <c:v>71798.641222555249</c:v>
                </c:pt>
                <c:pt idx="5">
                  <c:v>62632.792743108148</c:v>
                </c:pt>
                <c:pt idx="6">
                  <c:v>63991.515177459842</c:v>
                </c:pt>
                <c:pt idx="7">
                  <c:v>65064.736819925027</c:v>
                </c:pt>
                <c:pt idx="8">
                  <c:v>65354.693402824865</c:v>
                </c:pt>
                <c:pt idx="9">
                  <c:v>55947.135518568612</c:v>
                </c:pt>
                <c:pt idx="10">
                  <c:v>51594.870880932853</c:v>
                </c:pt>
                <c:pt idx="11">
                  <c:v>51469.845698550329</c:v>
                </c:pt>
                <c:pt idx="12">
                  <c:v>52455.720581296031</c:v>
                </c:pt>
                <c:pt idx="13">
                  <c:v>56777.461974739417</c:v>
                </c:pt>
                <c:pt idx="14">
                  <c:v>57930.292890208904</c:v>
                </c:pt>
                <c:pt idx="15">
                  <c:v>58225.960776364293</c:v>
                </c:pt>
                <c:pt idx="16">
                  <c:v>58771.738487663351</c:v>
                </c:pt>
                <c:pt idx="17">
                  <c:v>55138.093854056082</c:v>
                </c:pt>
                <c:pt idx="18">
                  <c:v>58558.483750803331</c:v>
                </c:pt>
                <c:pt idx="19">
                  <c:v>52607.405714694243</c:v>
                </c:pt>
                <c:pt idx="20">
                  <c:v>51471.311679303486</c:v>
                </c:pt>
                <c:pt idx="21">
                  <c:v>51763.60267450432</c:v>
                </c:pt>
                <c:pt idx="22">
                  <c:v>54566.284907286179</c:v>
                </c:pt>
                <c:pt idx="23">
                  <c:v>54499.772019670745</c:v>
                </c:pt>
                <c:pt idx="24">
                  <c:v>54323.067864380937</c:v>
                </c:pt>
                <c:pt idx="25">
                  <c:v>51655.672301627652</c:v>
                </c:pt>
                <c:pt idx="26">
                  <c:v>55196.217538608791</c:v>
                </c:pt>
                <c:pt idx="27">
                  <c:v>62034.907628443776</c:v>
                </c:pt>
                <c:pt idx="28">
                  <c:v>63567.201197818569</c:v>
                </c:pt>
                <c:pt idx="29">
                  <c:v>68041.236400719281</c:v>
                </c:pt>
                <c:pt idx="30">
                  <c:v>63075.623940206089</c:v>
                </c:pt>
                <c:pt idx="31">
                  <c:v>59686.063754172486</c:v>
                </c:pt>
                <c:pt idx="32">
                  <c:v>56276.112109715054</c:v>
                </c:pt>
              </c:numCache>
            </c:numRef>
          </c:val>
          <c:extLst>
            <c:ext xmlns:c16="http://schemas.microsoft.com/office/drawing/2014/chart" uri="{C3380CC4-5D6E-409C-BE32-E72D297353CC}">
              <c16:uniqueId val="{00000006-19EA-4A7B-8D3B-110015FF1044}"/>
            </c:ext>
          </c:extLst>
        </c:ser>
        <c:ser>
          <c:idx val="7"/>
          <c:order val="7"/>
          <c:tx>
            <c:strRef>
              <c:f>'Working sheet'!$A$58</c:f>
              <c:strCache>
                <c:ptCount val="1"/>
                <c:pt idx="0">
                  <c:v>Ukraine</c:v>
                </c:pt>
              </c:strCache>
            </c:strRef>
          </c:tx>
          <c:spPr>
            <a:solidFill>
              <a:schemeClr val="accent4">
                <a:lumMod val="80000"/>
                <a:lumOff val="2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sheet'!$B$58:$AH$58</c:f>
              <c:numCache>
                <c:formatCode>#,##0</c:formatCode>
                <c:ptCount val="33"/>
                <c:pt idx="0">
                  <c:v>915477.38803790056</c:v>
                </c:pt>
                <c:pt idx="1">
                  <c:v>820910.08976516128</c:v>
                </c:pt>
                <c:pt idx="2">
                  <c:v>766657.2369330083</c:v>
                </c:pt>
                <c:pt idx="3">
                  <c:v>681605.39693167084</c:v>
                </c:pt>
                <c:pt idx="4">
                  <c:v>573042.18365960661</c:v>
                </c:pt>
                <c:pt idx="5">
                  <c:v>532873.85868985637</c:v>
                </c:pt>
                <c:pt idx="6">
                  <c:v>492477.48976367398</c:v>
                </c:pt>
                <c:pt idx="7">
                  <c:v>480765.16282150871</c:v>
                </c:pt>
                <c:pt idx="8">
                  <c:v>458318.38008939452</c:v>
                </c:pt>
                <c:pt idx="9">
                  <c:v>425444.3712427757</c:v>
                </c:pt>
                <c:pt idx="10">
                  <c:v>408305.81339715928</c:v>
                </c:pt>
                <c:pt idx="11">
                  <c:v>434785.33978324052</c:v>
                </c:pt>
                <c:pt idx="12">
                  <c:v>421175.96687361575</c:v>
                </c:pt>
                <c:pt idx="13">
                  <c:v>420835.94915313076</c:v>
                </c:pt>
                <c:pt idx="14">
                  <c:v>436539.26015347469</c:v>
                </c:pt>
                <c:pt idx="15">
                  <c:v>435798.42320988682</c:v>
                </c:pt>
                <c:pt idx="16">
                  <c:v>448867.09532481642</c:v>
                </c:pt>
                <c:pt idx="17">
                  <c:v>451229.78475401923</c:v>
                </c:pt>
                <c:pt idx="18">
                  <c:v>450137.13255269581</c:v>
                </c:pt>
                <c:pt idx="19">
                  <c:v>384546.98551931209</c:v>
                </c:pt>
                <c:pt idx="20">
                  <c:v>395988.200516593</c:v>
                </c:pt>
                <c:pt idx="21">
                  <c:v>430481.01336027024</c:v>
                </c:pt>
                <c:pt idx="22">
                  <c:v>415161.2433354205</c:v>
                </c:pt>
                <c:pt idx="23">
                  <c:v>417669.35052675277</c:v>
                </c:pt>
                <c:pt idx="24">
                  <c:v>371296.41002329963</c:v>
                </c:pt>
                <c:pt idx="25">
                  <c:v>328364.14371852617</c:v>
                </c:pt>
                <c:pt idx="26">
                  <c:v>348753.29931335134</c:v>
                </c:pt>
                <c:pt idx="27">
                  <c:v>325844.17287190113</c:v>
                </c:pt>
                <c:pt idx="28">
                  <c:v>351665.83215739543</c:v>
                </c:pt>
                <c:pt idx="29">
                  <c:v>344893.51340118254</c:v>
                </c:pt>
                <c:pt idx="30">
                  <c:v>309282.13596334512</c:v>
                </c:pt>
                <c:pt idx="31">
                  <c:v>327861.27885230875</c:v>
                </c:pt>
                <c:pt idx="32">
                  <c:v>223169.19450175448</c:v>
                </c:pt>
              </c:numCache>
            </c:numRef>
          </c:val>
          <c:extLst>
            <c:ext xmlns:c16="http://schemas.microsoft.com/office/drawing/2014/chart" uri="{C3380CC4-5D6E-409C-BE32-E72D297353CC}">
              <c16:uniqueId val="{00000007-19EA-4A7B-8D3B-110015FF1044}"/>
            </c:ext>
          </c:extLst>
        </c:ser>
        <c:ser>
          <c:idx val="8"/>
          <c:order val="8"/>
          <c:tx>
            <c:strRef>
              <c:f>'Working sheet'!$A$59</c:f>
              <c:strCache>
                <c:ptCount val="1"/>
                <c:pt idx="0">
                  <c:v>Kazakhstan</c:v>
                </c:pt>
              </c:strCache>
            </c:strRef>
          </c:tx>
          <c:spPr>
            <a:solidFill>
              <a:schemeClr val="accent6">
                <a:lumMod val="80000"/>
                <a:lumOff val="2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sheet'!$B$59:$AH$59</c:f>
              <c:numCache>
                <c:formatCode>#,##0</c:formatCode>
                <c:ptCount val="33"/>
                <c:pt idx="0">
                  <c:v>385736.50116360321</c:v>
                </c:pt>
                <c:pt idx="1">
                  <c:v>368209.8604349551</c:v>
                </c:pt>
                <c:pt idx="2">
                  <c:v>339393.76351724804</c:v>
                </c:pt>
                <c:pt idx="3">
                  <c:v>304515.24298706464</c:v>
                </c:pt>
                <c:pt idx="4">
                  <c:v>265815.37117595348</c:v>
                </c:pt>
                <c:pt idx="5">
                  <c:v>258536.48863270192</c:v>
                </c:pt>
                <c:pt idx="6">
                  <c:v>251277.01992593595</c:v>
                </c:pt>
                <c:pt idx="7">
                  <c:v>254478.48856232321</c:v>
                </c:pt>
                <c:pt idx="8">
                  <c:v>268458.02744644351</c:v>
                </c:pt>
                <c:pt idx="9">
                  <c:v>230600.89467814879</c:v>
                </c:pt>
                <c:pt idx="10">
                  <c:v>253161.94504995763</c:v>
                </c:pt>
                <c:pt idx="11">
                  <c:v>247017.69614484254</c:v>
                </c:pt>
                <c:pt idx="12">
                  <c:v>269019.85166915623</c:v>
                </c:pt>
                <c:pt idx="13">
                  <c:v>289491.00945961231</c:v>
                </c:pt>
                <c:pt idx="14">
                  <c:v>306844.11269150779</c:v>
                </c:pt>
                <c:pt idx="15">
                  <c:v>323279.03528665728</c:v>
                </c:pt>
                <c:pt idx="16">
                  <c:v>350749.39724896679</c:v>
                </c:pt>
                <c:pt idx="17">
                  <c:v>350785.3126363153</c:v>
                </c:pt>
                <c:pt idx="18">
                  <c:v>345186.69392614538</c:v>
                </c:pt>
                <c:pt idx="19">
                  <c:v>333925.78644642181</c:v>
                </c:pt>
                <c:pt idx="20">
                  <c:v>351437.68277672649</c:v>
                </c:pt>
                <c:pt idx="21">
                  <c:v>329890.75408377609</c:v>
                </c:pt>
                <c:pt idx="22">
                  <c:v>323353.8807004785</c:v>
                </c:pt>
                <c:pt idx="23">
                  <c:v>320283.99528449646</c:v>
                </c:pt>
                <c:pt idx="24">
                  <c:v>372303.85140972497</c:v>
                </c:pt>
                <c:pt idx="25">
                  <c:v>380052.54689868045</c:v>
                </c:pt>
                <c:pt idx="26">
                  <c:v>382962.55641509674</c:v>
                </c:pt>
                <c:pt idx="27">
                  <c:v>407202.10066082404</c:v>
                </c:pt>
                <c:pt idx="28">
                  <c:v>425908.01688401221</c:v>
                </c:pt>
                <c:pt idx="29">
                  <c:v>391068.08260032057</c:v>
                </c:pt>
                <c:pt idx="30">
                  <c:v>368098.55026219727</c:v>
                </c:pt>
                <c:pt idx="31">
                  <c:v>328422.26666262368</c:v>
                </c:pt>
                <c:pt idx="32">
                  <c:v>352973.02534125908</c:v>
                </c:pt>
              </c:numCache>
            </c:numRef>
          </c:val>
          <c:extLst>
            <c:ext xmlns:c16="http://schemas.microsoft.com/office/drawing/2014/chart" uri="{C3380CC4-5D6E-409C-BE32-E72D297353CC}">
              <c16:uniqueId val="{00000008-19EA-4A7B-8D3B-110015FF1044}"/>
            </c:ext>
          </c:extLst>
        </c:ser>
        <c:ser>
          <c:idx val="9"/>
          <c:order val="9"/>
          <c:tx>
            <c:strRef>
              <c:f>'Working sheet'!$A$60</c:f>
              <c:strCache>
                <c:ptCount val="1"/>
                <c:pt idx="0">
                  <c:v>Turkey</c:v>
                </c:pt>
              </c:strCache>
            </c:strRef>
          </c:tx>
          <c:spPr>
            <a:solidFill>
              <a:schemeClr val="accent2">
                <a:lumMod val="8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sheet'!$B$60:$AH$60</c:f>
              <c:numCache>
                <c:formatCode>#,##0</c:formatCode>
                <c:ptCount val="33"/>
                <c:pt idx="0">
                  <c:v>161572.22516237735</c:v>
                </c:pt>
                <c:pt idx="1">
                  <c:v>167975.40622203809</c:v>
                </c:pt>
                <c:pt idx="2">
                  <c:v>174342.0469620401</c:v>
                </c:pt>
                <c:pt idx="3">
                  <c:v>182471.14439640974</c:v>
                </c:pt>
                <c:pt idx="4">
                  <c:v>174735.38574970167</c:v>
                </c:pt>
                <c:pt idx="5">
                  <c:v>188549.54359110954</c:v>
                </c:pt>
                <c:pt idx="6">
                  <c:v>208568.95997706088</c:v>
                </c:pt>
                <c:pt idx="7">
                  <c:v>216284.23326678923</c:v>
                </c:pt>
                <c:pt idx="8">
                  <c:v>217547.4864912203</c:v>
                </c:pt>
                <c:pt idx="9">
                  <c:v>214413.62369355169</c:v>
                </c:pt>
                <c:pt idx="10">
                  <c:v>238232.64597052705</c:v>
                </c:pt>
                <c:pt idx="11">
                  <c:v>216826.94569749385</c:v>
                </c:pt>
                <c:pt idx="12">
                  <c:v>223110.64949668746</c:v>
                </c:pt>
                <c:pt idx="13">
                  <c:v>240852.48209722544</c:v>
                </c:pt>
                <c:pt idx="14">
                  <c:v>251752.48829391046</c:v>
                </c:pt>
                <c:pt idx="15">
                  <c:v>272559.77909141721</c:v>
                </c:pt>
                <c:pt idx="16">
                  <c:v>293628.31128892821</c:v>
                </c:pt>
                <c:pt idx="17">
                  <c:v>327086.29234994896</c:v>
                </c:pt>
                <c:pt idx="18">
                  <c:v>327070.91078037419</c:v>
                </c:pt>
                <c:pt idx="19">
                  <c:v>330556.58039614011</c:v>
                </c:pt>
                <c:pt idx="20">
                  <c:v>333211.20740917098</c:v>
                </c:pt>
                <c:pt idx="21">
                  <c:v>359211.47684234963</c:v>
                </c:pt>
                <c:pt idx="22">
                  <c:v>381743.09263242973</c:v>
                </c:pt>
                <c:pt idx="23">
                  <c:v>370901.73693462141</c:v>
                </c:pt>
                <c:pt idx="24">
                  <c:v>389527.5972096764</c:v>
                </c:pt>
                <c:pt idx="25">
                  <c:v>407217.62807609397</c:v>
                </c:pt>
                <c:pt idx="26">
                  <c:v>430352.5154866926</c:v>
                </c:pt>
                <c:pt idx="27">
                  <c:v>455073.4502882667</c:v>
                </c:pt>
                <c:pt idx="28">
                  <c:v>457677.32337850734</c:v>
                </c:pt>
                <c:pt idx="29">
                  <c:v>451280.42424972606</c:v>
                </c:pt>
                <c:pt idx="30">
                  <c:v>472534.16373850848</c:v>
                </c:pt>
                <c:pt idx="31">
                  <c:v>524113.10597406409</c:v>
                </c:pt>
                <c:pt idx="32">
                  <c:v>502174.97217642935</c:v>
                </c:pt>
              </c:numCache>
            </c:numRef>
          </c:val>
          <c:extLst>
            <c:ext xmlns:c16="http://schemas.microsoft.com/office/drawing/2014/chart" uri="{C3380CC4-5D6E-409C-BE32-E72D297353CC}">
              <c16:uniqueId val="{00000009-19EA-4A7B-8D3B-110015FF1044}"/>
            </c:ext>
          </c:extLst>
        </c:ser>
        <c:ser>
          <c:idx val="10"/>
          <c:order val="10"/>
          <c:tx>
            <c:strRef>
              <c:f>'Working sheet'!$A$61</c:f>
              <c:strCache>
                <c:ptCount val="1"/>
                <c:pt idx="0">
                  <c:v>Australia</c:v>
                </c:pt>
              </c:strCache>
            </c:strRef>
          </c:tx>
          <c:spPr>
            <a:solidFill>
              <a:schemeClr val="accent4">
                <a:lumMod val="8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sheet'!$B$61:$AH$61</c:f>
              <c:numCache>
                <c:formatCode>#,##0</c:formatCode>
                <c:ptCount val="33"/>
                <c:pt idx="0">
                  <c:v>615387</c:v>
                </c:pt>
                <c:pt idx="1">
                  <c:v>594992</c:v>
                </c:pt>
                <c:pt idx="2">
                  <c:v>554506</c:v>
                </c:pt>
                <c:pt idx="3">
                  <c:v>533504</c:v>
                </c:pt>
                <c:pt idx="4">
                  <c:v>523368</c:v>
                </c:pt>
                <c:pt idx="5">
                  <c:v>510973</c:v>
                </c:pt>
                <c:pt idx="6">
                  <c:v>512169</c:v>
                </c:pt>
                <c:pt idx="7">
                  <c:v>510321</c:v>
                </c:pt>
                <c:pt idx="8">
                  <c:v>527929</c:v>
                </c:pt>
                <c:pt idx="9">
                  <c:v>548328</c:v>
                </c:pt>
                <c:pt idx="10">
                  <c:v>569826</c:v>
                </c:pt>
                <c:pt idx="11">
                  <c:v>586480</c:v>
                </c:pt>
                <c:pt idx="12">
                  <c:v>590984</c:v>
                </c:pt>
                <c:pt idx="13">
                  <c:v>590523</c:v>
                </c:pt>
                <c:pt idx="14">
                  <c:v>574702</c:v>
                </c:pt>
                <c:pt idx="15">
                  <c:v>609446</c:v>
                </c:pt>
                <c:pt idx="16">
                  <c:v>644924</c:v>
                </c:pt>
                <c:pt idx="17">
                  <c:v>626120</c:v>
                </c:pt>
                <c:pt idx="18">
                  <c:v>614649</c:v>
                </c:pt>
                <c:pt idx="19">
                  <c:v>607868</c:v>
                </c:pt>
                <c:pt idx="20">
                  <c:v>609169</c:v>
                </c:pt>
                <c:pt idx="21">
                  <c:v>577598</c:v>
                </c:pt>
                <c:pt idx="22">
                  <c:v>554652</c:v>
                </c:pt>
                <c:pt idx="23">
                  <c:v>557099</c:v>
                </c:pt>
                <c:pt idx="24">
                  <c:v>538319</c:v>
                </c:pt>
                <c:pt idx="25">
                  <c:v>533688</c:v>
                </c:pt>
                <c:pt idx="26">
                  <c:v>491065</c:v>
                </c:pt>
                <c:pt idx="27">
                  <c:v>528911</c:v>
                </c:pt>
                <c:pt idx="28">
                  <c:v>501666</c:v>
                </c:pt>
                <c:pt idx="29">
                  <c:v>490706</c:v>
                </c:pt>
                <c:pt idx="30">
                  <c:v>474544</c:v>
                </c:pt>
                <c:pt idx="31">
                  <c:v>438745</c:v>
                </c:pt>
                <c:pt idx="32">
                  <c:v>432621</c:v>
                </c:pt>
              </c:numCache>
            </c:numRef>
          </c:val>
          <c:extLst>
            <c:ext xmlns:c16="http://schemas.microsoft.com/office/drawing/2014/chart" uri="{C3380CC4-5D6E-409C-BE32-E72D297353CC}">
              <c16:uniqueId val="{0000000A-19EA-4A7B-8D3B-110015FF1044}"/>
            </c:ext>
          </c:extLst>
        </c:ser>
        <c:ser>
          <c:idx val="11"/>
          <c:order val="11"/>
          <c:tx>
            <c:strRef>
              <c:f>'Working sheet'!$A$62</c:f>
              <c:strCache>
                <c:ptCount val="1"/>
                <c:pt idx="0">
                  <c:v>Canada</c:v>
                </c:pt>
              </c:strCache>
            </c:strRef>
          </c:tx>
          <c:spPr>
            <a:solidFill>
              <a:schemeClr val="accent6">
                <a:lumMod val="8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sheet'!$B$62:$AH$62</c:f>
              <c:numCache>
                <c:formatCode>#,##0</c:formatCode>
                <c:ptCount val="33"/>
                <c:pt idx="0">
                  <c:v>656932.93118143734</c:v>
                </c:pt>
                <c:pt idx="1">
                  <c:v>646378.94397798553</c:v>
                </c:pt>
                <c:pt idx="2">
                  <c:v>675696.90108220978</c:v>
                </c:pt>
                <c:pt idx="3">
                  <c:v>693741.51228257793</c:v>
                </c:pt>
                <c:pt idx="4">
                  <c:v>703895.42861299217</c:v>
                </c:pt>
                <c:pt idx="5">
                  <c:v>733004.72902357904</c:v>
                </c:pt>
                <c:pt idx="6">
                  <c:v>744635.14973169228</c:v>
                </c:pt>
                <c:pt idx="7">
                  <c:v>759372.66215985734</c:v>
                </c:pt>
                <c:pt idx="8">
                  <c:v>759256.4591627589</c:v>
                </c:pt>
                <c:pt idx="9">
                  <c:v>774335.24802522128</c:v>
                </c:pt>
                <c:pt idx="10">
                  <c:v>804854.75931728352</c:v>
                </c:pt>
                <c:pt idx="11">
                  <c:v>778699.7507311115</c:v>
                </c:pt>
                <c:pt idx="12">
                  <c:v>814217.25928686245</c:v>
                </c:pt>
                <c:pt idx="13">
                  <c:v>829499.09529483411</c:v>
                </c:pt>
                <c:pt idx="14">
                  <c:v>829892.01101326267</c:v>
                </c:pt>
                <c:pt idx="15">
                  <c:v>827486.67584141577</c:v>
                </c:pt>
                <c:pt idx="16">
                  <c:v>803901.26132009667</c:v>
                </c:pt>
                <c:pt idx="17">
                  <c:v>822310.84640959662</c:v>
                </c:pt>
                <c:pt idx="18">
                  <c:v>798765.76454559807</c:v>
                </c:pt>
                <c:pt idx="19">
                  <c:v>727181.59877535352</c:v>
                </c:pt>
                <c:pt idx="20">
                  <c:v>767961.23848875158</c:v>
                </c:pt>
                <c:pt idx="21">
                  <c:v>780410.30954252835</c:v>
                </c:pt>
                <c:pt idx="22">
                  <c:v>770687.33149704023</c:v>
                </c:pt>
                <c:pt idx="23">
                  <c:v>780126.73706523655</c:v>
                </c:pt>
                <c:pt idx="24">
                  <c:v>755367.90066711768</c:v>
                </c:pt>
                <c:pt idx="25">
                  <c:v>789069.85176230839</c:v>
                </c:pt>
                <c:pt idx="26">
                  <c:v>758210.84839314513</c:v>
                </c:pt>
                <c:pt idx="27">
                  <c:v>761111.24279110017</c:v>
                </c:pt>
                <c:pt idx="28">
                  <c:v>775618.72362183523</c:v>
                </c:pt>
                <c:pt idx="29">
                  <c:v>765655.73717530898</c:v>
                </c:pt>
                <c:pt idx="30">
                  <c:v>712004.41366455506</c:v>
                </c:pt>
                <c:pt idx="31">
                  <c:v>711978.63216929638</c:v>
                </c:pt>
                <c:pt idx="32">
                  <c:v>759226.96735131624</c:v>
                </c:pt>
              </c:numCache>
            </c:numRef>
          </c:val>
          <c:extLst>
            <c:ext xmlns:c16="http://schemas.microsoft.com/office/drawing/2014/chart" uri="{C3380CC4-5D6E-409C-BE32-E72D297353CC}">
              <c16:uniqueId val="{0000000B-19EA-4A7B-8D3B-110015FF1044}"/>
            </c:ext>
          </c:extLst>
        </c:ser>
        <c:ser>
          <c:idx val="12"/>
          <c:order val="12"/>
          <c:tx>
            <c:strRef>
              <c:f>'Working sheet'!$A$63</c:f>
              <c:strCache>
                <c:ptCount val="1"/>
                <c:pt idx="0">
                  <c:v>Japan</c:v>
                </c:pt>
              </c:strCache>
            </c:strRef>
          </c:tx>
          <c:spPr>
            <a:solidFill>
              <a:schemeClr val="accent2">
                <a:lumMod val="60000"/>
                <a:lumOff val="4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sheet'!$B$63:$AH$63</c:f>
              <c:numCache>
                <c:formatCode>#,##0</c:formatCode>
                <c:ptCount val="33"/>
                <c:pt idx="0">
                  <c:v>1196722.7246326499</c:v>
                </c:pt>
                <c:pt idx="1">
                  <c:v>1205344.1306954089</c:v>
                </c:pt>
                <c:pt idx="2">
                  <c:v>1213326.6945115146</c:v>
                </c:pt>
                <c:pt idx="3">
                  <c:v>1205563.7665426875</c:v>
                </c:pt>
                <c:pt idx="4">
                  <c:v>1265840.7189296675</c:v>
                </c:pt>
                <c:pt idx="5">
                  <c:v>1286411.1891496719</c:v>
                </c:pt>
                <c:pt idx="6">
                  <c:v>1297889.2496545573</c:v>
                </c:pt>
                <c:pt idx="7">
                  <c:v>1288930.6238740233</c:v>
                </c:pt>
                <c:pt idx="8">
                  <c:v>1240707.3382092989</c:v>
                </c:pt>
                <c:pt idx="9">
                  <c:v>1265185.1842877262</c:v>
                </c:pt>
                <c:pt idx="10">
                  <c:v>1283676.3164079965</c:v>
                </c:pt>
                <c:pt idx="11">
                  <c:v>1257979.1198022694</c:v>
                </c:pt>
                <c:pt idx="12">
                  <c:v>1280981.9834729198</c:v>
                </c:pt>
                <c:pt idx="13">
                  <c:v>1278378.3202567841</c:v>
                </c:pt>
                <c:pt idx="14">
                  <c:v>1273926.1970644349</c:v>
                </c:pt>
                <c:pt idx="15">
                  <c:v>1287167.6512530956</c:v>
                </c:pt>
                <c:pt idx="16">
                  <c:v>1270166.6517791359</c:v>
                </c:pt>
                <c:pt idx="17">
                  <c:v>1310191.6119043676</c:v>
                </c:pt>
                <c:pt idx="18">
                  <c:v>1241919.5582787574</c:v>
                </c:pt>
                <c:pt idx="19">
                  <c:v>1172537.4290035637</c:v>
                </c:pt>
                <c:pt idx="20">
                  <c:v>1221481.903403389</c:v>
                </c:pt>
                <c:pt idx="21">
                  <c:v>1273010.7013665305</c:v>
                </c:pt>
                <c:pt idx="22">
                  <c:v>1312714.6408506825</c:v>
                </c:pt>
                <c:pt idx="23">
                  <c:v>1331689.3138840494</c:v>
                </c:pt>
                <c:pt idx="24">
                  <c:v>1285843.5501252774</c:v>
                </c:pt>
                <c:pt idx="25">
                  <c:v>1253222.6720583029</c:v>
                </c:pt>
                <c:pt idx="26">
                  <c:v>1239069.0583738075</c:v>
                </c:pt>
                <c:pt idx="27">
                  <c:v>1221274.7689428343</c:v>
                </c:pt>
                <c:pt idx="28">
                  <c:v>1177165.066801402</c:v>
                </c:pt>
                <c:pt idx="29">
                  <c:v>1146953.7157948625</c:v>
                </c:pt>
                <c:pt idx="30">
                  <c:v>1082162.6560287098</c:v>
                </c:pt>
                <c:pt idx="31">
                  <c:v>1103923.7536224052</c:v>
                </c:pt>
                <c:pt idx="32">
                  <c:v>1080462.8884610895</c:v>
                </c:pt>
              </c:numCache>
            </c:numRef>
          </c:val>
          <c:extLst>
            <c:ext xmlns:c16="http://schemas.microsoft.com/office/drawing/2014/chart" uri="{C3380CC4-5D6E-409C-BE32-E72D297353CC}">
              <c16:uniqueId val="{0000000C-19EA-4A7B-8D3B-110015FF1044}"/>
            </c:ext>
          </c:extLst>
        </c:ser>
        <c:ser>
          <c:idx val="13"/>
          <c:order val="13"/>
          <c:tx>
            <c:strRef>
              <c:f>'Working sheet'!$A$64</c:f>
              <c:strCache>
                <c:ptCount val="1"/>
                <c:pt idx="0">
                  <c:v>Russia</c:v>
                </c:pt>
              </c:strCache>
            </c:strRef>
          </c:tx>
          <c:spPr>
            <a:solidFill>
              <a:schemeClr val="accent4">
                <a:lumMod val="60000"/>
                <a:lumOff val="4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sheet'!$B$64:$AH$64</c:f>
              <c:numCache>
                <c:formatCode>#,##0</c:formatCode>
                <c:ptCount val="33"/>
                <c:pt idx="0">
                  <c:v>2601458.4390345477</c:v>
                </c:pt>
                <c:pt idx="1">
                  <c:v>2381934.3607589505</c:v>
                </c:pt>
                <c:pt idx="2">
                  <c:v>1861499.8370140605</c:v>
                </c:pt>
                <c:pt idx="3">
                  <c:v>1527086.2928599573</c:v>
                </c:pt>
                <c:pt idx="4">
                  <c:v>1107497.1230788084</c:v>
                </c:pt>
                <c:pt idx="5">
                  <c:v>959535.85359735135</c:v>
                </c:pt>
                <c:pt idx="6">
                  <c:v>875006.61336071277</c:v>
                </c:pt>
                <c:pt idx="7">
                  <c:v>692258.4550938165</c:v>
                </c:pt>
                <c:pt idx="8">
                  <c:v>625002.78573790751</c:v>
                </c:pt>
                <c:pt idx="9">
                  <c:v>581800.61136439152</c:v>
                </c:pt>
                <c:pt idx="10">
                  <c:v>591828.27734088467</c:v>
                </c:pt>
                <c:pt idx="11">
                  <c:v>506476.7254018145</c:v>
                </c:pt>
                <c:pt idx="12">
                  <c:v>447423.99196849403</c:v>
                </c:pt>
                <c:pt idx="13">
                  <c:v>392852.81952782883</c:v>
                </c:pt>
                <c:pt idx="14">
                  <c:v>247341.97987242593</c:v>
                </c:pt>
                <c:pt idx="15">
                  <c:v>271468.58874109347</c:v>
                </c:pt>
                <c:pt idx="16">
                  <c:v>408961.51116532361</c:v>
                </c:pt>
                <c:pt idx="17">
                  <c:v>295245.37557926861</c:v>
                </c:pt>
                <c:pt idx="18">
                  <c:v>388946.97451714135</c:v>
                </c:pt>
                <c:pt idx="19">
                  <c:v>190104.26735527092</c:v>
                </c:pt>
                <c:pt idx="20">
                  <c:v>212848.54774058168</c:v>
                </c:pt>
                <c:pt idx="21">
                  <c:v>634025.30434004392</c:v>
                </c:pt>
                <c:pt idx="22">
                  <c:v>1073752.0364229265</c:v>
                </c:pt>
                <c:pt idx="23">
                  <c:v>617710.5800769974</c:v>
                </c:pt>
                <c:pt idx="24">
                  <c:v>743937.51342979039</c:v>
                </c:pt>
                <c:pt idx="25">
                  <c:v>769042.33047260949</c:v>
                </c:pt>
                <c:pt idx="26">
                  <c:v>871033.76303817169</c:v>
                </c:pt>
                <c:pt idx="27">
                  <c:v>823727.95824095025</c:v>
                </c:pt>
                <c:pt idx="28">
                  <c:v>1004062.9374205406</c:v>
                </c:pt>
                <c:pt idx="29">
                  <c:v>1139489.2463092653</c:v>
                </c:pt>
                <c:pt idx="30">
                  <c:v>807205.65491548879</c:v>
                </c:pt>
                <c:pt idx="31">
                  <c:v>1136609.2380735099</c:v>
                </c:pt>
                <c:pt idx="32">
                  <c:v>813188.77523438807</c:v>
                </c:pt>
              </c:numCache>
            </c:numRef>
          </c:val>
          <c:extLst>
            <c:ext xmlns:c16="http://schemas.microsoft.com/office/drawing/2014/chart" uri="{C3380CC4-5D6E-409C-BE32-E72D297353CC}">
              <c16:uniqueId val="{0000000D-19EA-4A7B-8D3B-110015FF1044}"/>
            </c:ext>
          </c:extLst>
        </c:ser>
        <c:ser>
          <c:idx val="14"/>
          <c:order val="14"/>
          <c:tx>
            <c:strRef>
              <c:f>'Working sheet'!$A$65</c:f>
              <c:strCache>
                <c:ptCount val="1"/>
                <c:pt idx="0">
                  <c:v>European Union (excl. UK)</c:v>
                </c:pt>
              </c:strCache>
            </c:strRef>
          </c:tx>
          <c:spPr>
            <a:solidFill>
              <a:schemeClr val="accent6">
                <a:lumMod val="60000"/>
                <a:lumOff val="4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sheet'!$B$65:$AH$65</c:f>
              <c:numCache>
                <c:formatCode>#,##0</c:formatCode>
                <c:ptCount val="33"/>
                <c:pt idx="0">
                  <c:v>4641267.5811383268</c:v>
                </c:pt>
                <c:pt idx="1">
                  <c:v>4436277.8234802512</c:v>
                </c:pt>
                <c:pt idx="2">
                  <c:v>4312585.1766806981</c:v>
                </c:pt>
                <c:pt idx="3">
                  <c:v>4218778.822271009</c:v>
                </c:pt>
                <c:pt idx="4">
                  <c:v>4206188.9053313592</c:v>
                </c:pt>
                <c:pt idx="5">
                  <c:v>4233156.9846094437</c:v>
                </c:pt>
                <c:pt idx="6">
                  <c:v>4296320.0862008268</c:v>
                </c:pt>
                <c:pt idx="7">
                  <c:v>4232628.5394530138</c:v>
                </c:pt>
                <c:pt idx="8">
                  <c:v>4182882.8705076948</c:v>
                </c:pt>
                <c:pt idx="9">
                  <c:v>4094967.1091219047</c:v>
                </c:pt>
                <c:pt idx="10">
                  <c:v>4134469.1262888503</c:v>
                </c:pt>
                <c:pt idx="11">
                  <c:v>4135616.1144574354</c:v>
                </c:pt>
                <c:pt idx="12">
                  <c:v>4152573.9150471105</c:v>
                </c:pt>
                <c:pt idx="13">
                  <c:v>4239472.3875671839</c:v>
                </c:pt>
                <c:pt idx="14">
                  <c:v>4200873.7310447786</c:v>
                </c:pt>
                <c:pt idx="15">
                  <c:v>4188474.9469451387</c:v>
                </c:pt>
                <c:pt idx="16">
                  <c:v>4187006.3588606431</c:v>
                </c:pt>
                <c:pt idx="17">
                  <c:v>4187399.4600460106</c:v>
                </c:pt>
                <c:pt idx="18">
                  <c:v>4051126.1735098087</c:v>
                </c:pt>
                <c:pt idx="19">
                  <c:v>3736543.9392411774</c:v>
                </c:pt>
                <c:pt idx="20">
                  <c:v>3814136.7460841653</c:v>
                </c:pt>
                <c:pt idx="21">
                  <c:v>3712138.0014127637</c:v>
                </c:pt>
                <c:pt idx="22">
                  <c:v>3646351.0170126525</c:v>
                </c:pt>
                <c:pt idx="23">
                  <c:v>3541754.6942749699</c:v>
                </c:pt>
                <c:pt idx="24">
                  <c:v>3417103.0008736639</c:v>
                </c:pt>
                <c:pt idx="25">
                  <c:v>3478129.6135367826</c:v>
                </c:pt>
                <c:pt idx="26">
                  <c:v>3477360.5693814</c:v>
                </c:pt>
                <c:pt idx="27">
                  <c:v>3569768.1306128623</c:v>
                </c:pt>
                <c:pt idx="28">
                  <c:v>3483399.7007088508</c:v>
                </c:pt>
                <c:pt idx="29">
                  <c:v>3332573.1425664285</c:v>
                </c:pt>
                <c:pt idx="30">
                  <c:v>3041320.1796648353</c:v>
                </c:pt>
                <c:pt idx="31">
                  <c:v>3212146.3354485286</c:v>
                </c:pt>
                <c:pt idx="32">
                  <c:v>3129062.5457779216</c:v>
                </c:pt>
              </c:numCache>
            </c:numRef>
          </c:val>
          <c:extLst>
            <c:ext xmlns:c16="http://schemas.microsoft.com/office/drawing/2014/chart" uri="{C3380CC4-5D6E-409C-BE32-E72D297353CC}">
              <c16:uniqueId val="{0000000E-19EA-4A7B-8D3B-110015FF1044}"/>
            </c:ext>
          </c:extLst>
        </c:ser>
        <c:ser>
          <c:idx val="15"/>
          <c:order val="15"/>
          <c:tx>
            <c:strRef>
              <c:f>'Working sheet'!$A$66</c:f>
              <c:strCache>
                <c:ptCount val="1"/>
                <c:pt idx="0">
                  <c:v>United States of America</c:v>
                </c:pt>
              </c:strCache>
            </c:strRef>
          </c:tx>
          <c:spPr>
            <a:solidFill>
              <a:schemeClr val="accent2">
                <a:lumMod val="5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sheet'!$B$66:$AH$66</c:f>
              <c:numCache>
                <c:formatCode>#,##0</c:formatCode>
                <c:ptCount val="33"/>
                <c:pt idx="0">
                  <c:v>5560219.921339374</c:v>
                </c:pt>
                <c:pt idx="1">
                  <c:v>5483708.2833548114</c:v>
                </c:pt>
                <c:pt idx="2">
                  <c:v>5568966.448885384</c:v>
                </c:pt>
                <c:pt idx="3">
                  <c:v>5695109.0123030301</c:v>
                </c:pt>
                <c:pt idx="4">
                  <c:v>5777417.2531236727</c:v>
                </c:pt>
                <c:pt idx="5">
                  <c:v>5881906.0644246535</c:v>
                </c:pt>
                <c:pt idx="6">
                  <c:v>6045083.798512727</c:v>
                </c:pt>
                <c:pt idx="7">
                  <c:v>6123785.1517567085</c:v>
                </c:pt>
                <c:pt idx="8">
                  <c:v>6182651.6079145242</c:v>
                </c:pt>
                <c:pt idx="9">
                  <c:v>6250157.3504340518</c:v>
                </c:pt>
                <c:pt idx="10">
                  <c:v>6436193.3943910534</c:v>
                </c:pt>
                <c:pt idx="11">
                  <c:v>6307564.5814820696</c:v>
                </c:pt>
                <c:pt idx="12">
                  <c:v>6405071.5777506353</c:v>
                </c:pt>
                <c:pt idx="13">
                  <c:v>6428978.7422777647</c:v>
                </c:pt>
                <c:pt idx="14">
                  <c:v>6632145.0051488848</c:v>
                </c:pt>
                <c:pt idx="15">
                  <c:v>6586940.4914999306</c:v>
                </c:pt>
                <c:pt idx="16">
                  <c:v>6477242.4021924604</c:v>
                </c:pt>
                <c:pt idx="17">
                  <c:v>6629583.3848272832</c:v>
                </c:pt>
                <c:pt idx="18">
                  <c:v>6413546.347095754</c:v>
                </c:pt>
                <c:pt idx="19">
                  <c:v>6016041.0281849373</c:v>
                </c:pt>
                <c:pt idx="20">
                  <c:v>6179682.6543026082</c:v>
                </c:pt>
                <c:pt idx="21">
                  <c:v>5970037.6860452807</c:v>
                </c:pt>
                <c:pt idx="22">
                  <c:v>5731671.2079582531</c:v>
                </c:pt>
                <c:pt idx="23">
                  <c:v>5958790.7228037845</c:v>
                </c:pt>
                <c:pt idx="24">
                  <c:v>5982190.9588713143</c:v>
                </c:pt>
                <c:pt idx="25">
                  <c:v>5916024.3387806127</c:v>
                </c:pt>
                <c:pt idx="26">
                  <c:v>5663237.4803487668</c:v>
                </c:pt>
                <c:pt idx="27">
                  <c:v>5625024.8923016172</c:v>
                </c:pt>
                <c:pt idx="28">
                  <c:v>5837250.0177993532</c:v>
                </c:pt>
                <c:pt idx="29">
                  <c:v>5726552.9107768973</c:v>
                </c:pt>
                <c:pt idx="30">
                  <c:v>5097412.546179967</c:v>
                </c:pt>
                <c:pt idx="31">
                  <c:v>5418240.6300558215</c:v>
                </c:pt>
                <c:pt idx="32">
                  <c:v>5488970.7535049785</c:v>
                </c:pt>
              </c:numCache>
            </c:numRef>
          </c:val>
          <c:extLst>
            <c:ext xmlns:c16="http://schemas.microsoft.com/office/drawing/2014/chart" uri="{C3380CC4-5D6E-409C-BE32-E72D297353CC}">
              <c16:uniqueId val="{0000000F-19EA-4A7B-8D3B-110015FF1044}"/>
            </c:ext>
          </c:extLst>
        </c:ser>
        <c:ser>
          <c:idx val="16"/>
          <c:order val="16"/>
          <c:tx>
            <c:strRef>
              <c:f>'Working sheet'!$A$67</c:f>
              <c:strCache>
                <c:ptCount val="1"/>
                <c:pt idx="0">
                  <c:v>United Kingdom</c:v>
                </c:pt>
              </c:strCache>
            </c:strRef>
          </c:tx>
          <c:spPr>
            <a:solidFill>
              <a:schemeClr val="accent4">
                <a:lumMod val="50000"/>
              </a:schemeClr>
            </a:solidFill>
            <a:ln>
              <a:noFill/>
            </a:ln>
            <a:effectLst/>
          </c:spPr>
          <c:invertIfNegative val="0"/>
          <c:cat>
            <c:numRef>
              <c:f>'Working sheet'!$B$50:$AH$50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sheet'!$B$67:$AH$67</c:f>
              <c:numCache>
                <c:formatCode>#,##0_);[Red]\(#,##0\)</c:formatCode>
                <c:ptCount val="33"/>
                <c:pt idx="0">
                  <c:v>816393.69309894822</c:v>
                </c:pt>
                <c:pt idx="1">
                  <c:v>824700.72100877261</c:v>
                </c:pt>
                <c:pt idx="2">
                  <c:v>803523.38461194851</c:v>
                </c:pt>
                <c:pt idx="3">
                  <c:v>783899.58629694441</c:v>
                </c:pt>
                <c:pt idx="4">
                  <c:v>771320.35074670147</c:v>
                </c:pt>
                <c:pt idx="5">
                  <c:v>765231.95001902687</c:v>
                </c:pt>
                <c:pt idx="6">
                  <c:v>784847.6064916926</c:v>
                </c:pt>
                <c:pt idx="7">
                  <c:v>760074.84903888498</c:v>
                </c:pt>
                <c:pt idx="8">
                  <c:v>757753.41514696379</c:v>
                </c:pt>
                <c:pt idx="9">
                  <c:v>728770.2250079501</c:v>
                </c:pt>
                <c:pt idx="10">
                  <c:v>728589.35313854017</c:v>
                </c:pt>
                <c:pt idx="11">
                  <c:v>731116.10615275218</c:v>
                </c:pt>
                <c:pt idx="12">
                  <c:v>709185.02987157239</c:v>
                </c:pt>
                <c:pt idx="13">
                  <c:v>714599.99021216528</c:v>
                </c:pt>
                <c:pt idx="14">
                  <c:v>710328.9353157049</c:v>
                </c:pt>
                <c:pt idx="15">
                  <c:v>701592.89196118503</c:v>
                </c:pt>
                <c:pt idx="16">
                  <c:v>693799.64774120867</c:v>
                </c:pt>
                <c:pt idx="17">
                  <c:v>681288.83060226403</c:v>
                </c:pt>
                <c:pt idx="18">
                  <c:v>659271.51558809355</c:v>
                </c:pt>
                <c:pt idx="19">
                  <c:v>602215.23830663483</c:v>
                </c:pt>
                <c:pt idx="20">
                  <c:v>615989.64602868236</c:v>
                </c:pt>
                <c:pt idx="21">
                  <c:v>569789.51736420067</c:v>
                </c:pt>
                <c:pt idx="22">
                  <c:v>586149.3516801619</c:v>
                </c:pt>
                <c:pt idx="23">
                  <c:v>571480.75232507335</c:v>
                </c:pt>
                <c:pt idx="24">
                  <c:v>529850.95305081666</c:v>
                </c:pt>
                <c:pt idx="25">
                  <c:v>512390.11801866494</c:v>
                </c:pt>
                <c:pt idx="26">
                  <c:v>485098.53980225103</c:v>
                </c:pt>
                <c:pt idx="27">
                  <c:v>473569.1167744011</c:v>
                </c:pt>
                <c:pt idx="28">
                  <c:v>466851.70456584904</c:v>
                </c:pt>
                <c:pt idx="29">
                  <c:v>452463.90411630744</c:v>
                </c:pt>
                <c:pt idx="30">
                  <c:v>407863.65040870634</c:v>
                </c:pt>
                <c:pt idx="31">
                  <c:v>425089.51912640029</c:v>
                </c:pt>
                <c:pt idx="32">
                  <c:v>410345.39287369675</c:v>
                </c:pt>
              </c:numCache>
            </c:numRef>
          </c:val>
          <c:extLst>
            <c:ext xmlns:c16="http://schemas.microsoft.com/office/drawing/2014/chart" uri="{C3380CC4-5D6E-409C-BE32-E72D297353CC}">
              <c16:uniqueId val="{00000001-7C6F-4F2B-B78B-34D1EFCCCA10}"/>
            </c:ext>
          </c:extLst>
        </c:ser>
        <c:dLbls>
          <c:showLegendKey val="0"/>
          <c:showVal val="0"/>
          <c:showCatName val="0"/>
          <c:showSerName val="0"/>
          <c:showPercent val="0"/>
          <c:showBubbleSize val="0"/>
        </c:dLbls>
        <c:gapWidth val="150"/>
        <c:overlap val="100"/>
        <c:axId val="279635328"/>
        <c:axId val="279635888"/>
      </c:barChart>
      <c:catAx>
        <c:axId val="2796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635888"/>
        <c:crosses val="autoZero"/>
        <c:auto val="1"/>
        <c:lblAlgn val="ctr"/>
        <c:lblOffset val="100"/>
        <c:noMultiLvlLbl val="0"/>
      </c:catAx>
      <c:valAx>
        <c:axId val="27963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635328"/>
        <c:crosses val="autoZero"/>
        <c:crossBetween val="between"/>
      </c:valAx>
      <c:spPr>
        <a:noFill/>
        <a:ln>
          <a:noFill/>
        </a:ln>
        <a:effectLst/>
      </c:spPr>
    </c:plotArea>
    <c:legend>
      <c:legendPos val="r"/>
      <c:layout>
        <c:manualLayout>
          <c:xMode val="edge"/>
          <c:yMode val="edge"/>
          <c:x val="0.80034747070052259"/>
          <c:y val="3.5929952216193696E-2"/>
          <c:w val="0.19965264657377682"/>
          <c:h val="0.87520972195526503"/>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23187665143675E-2"/>
          <c:y val="3.4629626599916016E-2"/>
          <c:w val="0.71237601347652835"/>
          <c:h val="0.86186422905824767"/>
        </c:manualLayout>
      </c:layout>
      <c:barChart>
        <c:barDir val="col"/>
        <c:grouping val="stacked"/>
        <c:varyColors val="0"/>
        <c:ser>
          <c:idx val="0"/>
          <c:order val="0"/>
          <c:tx>
            <c:strRef>
              <c:f>'Working sheet'!$A$71</c:f>
              <c:strCache>
                <c:ptCount val="1"/>
                <c:pt idx="0">
                  <c:v>Monaco</c:v>
                </c:pt>
              </c:strCache>
            </c:strRef>
          </c:tx>
          <c:spPr>
            <a:solidFill>
              <a:schemeClr val="accent1"/>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sheet'!$B$71:$AH$71</c:f>
              <c:numCache>
                <c:formatCode>#,##0</c:formatCode>
                <c:ptCount val="33"/>
                <c:pt idx="0">
                  <c:v>96.986338396310501</c:v>
                </c:pt>
                <c:pt idx="1">
                  <c:v>97.767760305978982</c:v>
                </c:pt>
                <c:pt idx="2">
                  <c:v>103.3356891045368</c:v>
                </c:pt>
                <c:pt idx="3">
                  <c:v>102.28002652011293</c:v>
                </c:pt>
                <c:pt idx="4">
                  <c:v>103.05291624345676</c:v>
                </c:pt>
                <c:pt idx="5">
                  <c:v>99.858370389560093</c:v>
                </c:pt>
                <c:pt idx="6">
                  <c:v>103.2711249729996</c:v>
                </c:pt>
                <c:pt idx="7">
                  <c:v>101.57648889943765</c:v>
                </c:pt>
                <c:pt idx="8">
                  <c:v>100.41792335104525</c:v>
                </c:pt>
                <c:pt idx="9">
                  <c:v>100.99753714704842</c:v>
                </c:pt>
                <c:pt idx="10">
                  <c:v>98.678398452188844</c:v>
                </c:pt>
                <c:pt idx="11">
                  <c:v>98.223871172192773</c:v>
                </c:pt>
                <c:pt idx="12">
                  <c:v>97.916058441403123</c:v>
                </c:pt>
                <c:pt idx="13">
                  <c:v>95.266759757509561</c:v>
                </c:pt>
                <c:pt idx="14">
                  <c:v>90.166684354668121</c:v>
                </c:pt>
                <c:pt idx="15">
                  <c:v>87.994857515503156</c:v>
                </c:pt>
                <c:pt idx="16">
                  <c:v>82.413534292530215</c:v>
                </c:pt>
                <c:pt idx="17">
                  <c:v>81.019809171225575</c:v>
                </c:pt>
                <c:pt idx="18">
                  <c:v>80.622190537322837</c:v>
                </c:pt>
                <c:pt idx="19">
                  <c:v>77.48463836747608</c:v>
                </c:pt>
                <c:pt idx="20">
                  <c:v>75.051491399919215</c:v>
                </c:pt>
                <c:pt idx="21">
                  <c:v>73.439921154953993</c:v>
                </c:pt>
                <c:pt idx="22">
                  <c:v>76.968449572755517</c:v>
                </c:pt>
                <c:pt idx="23">
                  <c:v>78.212158649065316</c:v>
                </c:pt>
                <c:pt idx="24">
                  <c:v>73.809140591440823</c:v>
                </c:pt>
                <c:pt idx="25">
                  <c:v>76.302340999788655</c:v>
                </c:pt>
                <c:pt idx="26">
                  <c:v>75.395191868050077</c:v>
                </c:pt>
                <c:pt idx="27">
                  <c:v>73.289578858449801</c:v>
                </c:pt>
                <c:pt idx="28">
                  <c:v>74.75526506354332</c:v>
                </c:pt>
                <c:pt idx="29">
                  <c:v>71.01982556875744</c:v>
                </c:pt>
                <c:pt idx="30">
                  <c:v>60.648662375946252</c:v>
                </c:pt>
                <c:pt idx="31">
                  <c:v>64.513502753557987</c:v>
                </c:pt>
                <c:pt idx="32">
                  <c:v>57.452790234427368</c:v>
                </c:pt>
              </c:numCache>
            </c:numRef>
          </c:val>
          <c:extLst>
            <c:ext xmlns:c16="http://schemas.microsoft.com/office/drawing/2014/chart" uri="{C3380CC4-5D6E-409C-BE32-E72D297353CC}">
              <c16:uniqueId val="{00000000-48B8-4EF2-B2AA-5760F723686F}"/>
            </c:ext>
          </c:extLst>
        </c:ser>
        <c:ser>
          <c:idx val="1"/>
          <c:order val="1"/>
          <c:tx>
            <c:strRef>
              <c:f>'Working sheet'!$A$72</c:f>
              <c:strCache>
                <c:ptCount val="1"/>
                <c:pt idx="0">
                  <c:v>Liechtenstein</c:v>
                </c:pt>
              </c:strCache>
            </c:strRef>
          </c:tx>
          <c:spPr>
            <a:solidFill>
              <a:schemeClr val="accent3"/>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sheet'!$B$72:$AH$72</c:f>
              <c:numCache>
                <c:formatCode>#,##0</c:formatCode>
                <c:ptCount val="33"/>
                <c:pt idx="0">
                  <c:v>198.97085579909398</c:v>
                </c:pt>
                <c:pt idx="1">
                  <c:v>206.32915145690549</c:v>
                </c:pt>
                <c:pt idx="2">
                  <c:v>206.95049105709788</c:v>
                </c:pt>
                <c:pt idx="3">
                  <c:v>215.0344202353798</c:v>
                </c:pt>
                <c:pt idx="4">
                  <c:v>201.11109032612137</c:v>
                </c:pt>
                <c:pt idx="5">
                  <c:v>204.20161421820046</c:v>
                </c:pt>
                <c:pt idx="6">
                  <c:v>205.96036739446006</c:v>
                </c:pt>
                <c:pt idx="7">
                  <c:v>218.37239510140134</c:v>
                </c:pt>
                <c:pt idx="8">
                  <c:v>229.23433576237642</c:v>
                </c:pt>
                <c:pt idx="9">
                  <c:v>226.5620644887249</c:v>
                </c:pt>
                <c:pt idx="10">
                  <c:v>216.85582232698033</c:v>
                </c:pt>
                <c:pt idx="11">
                  <c:v>214.66710834290646</c:v>
                </c:pt>
                <c:pt idx="12">
                  <c:v>220.01443603721168</c:v>
                </c:pt>
                <c:pt idx="13">
                  <c:v>229.34896518988467</c:v>
                </c:pt>
                <c:pt idx="14">
                  <c:v>229.38321834411843</c:v>
                </c:pt>
                <c:pt idx="15">
                  <c:v>228.97193187680634</c:v>
                </c:pt>
                <c:pt idx="16">
                  <c:v>231.10050639850439</c:v>
                </c:pt>
                <c:pt idx="17">
                  <c:v>200.7687839071539</c:v>
                </c:pt>
                <c:pt idx="18">
                  <c:v>219.50781298127001</c:v>
                </c:pt>
                <c:pt idx="19">
                  <c:v>205.35447851668621</c:v>
                </c:pt>
                <c:pt idx="20">
                  <c:v>190.80810266284001</c:v>
                </c:pt>
                <c:pt idx="21">
                  <c:v>176.75864231492218</c:v>
                </c:pt>
                <c:pt idx="22">
                  <c:v>185.29687728900529</c:v>
                </c:pt>
                <c:pt idx="23">
                  <c:v>192.51829802876188</c:v>
                </c:pt>
                <c:pt idx="24">
                  <c:v>161.21587238019629</c:v>
                </c:pt>
                <c:pt idx="25">
                  <c:v>159.69254817518876</c:v>
                </c:pt>
                <c:pt idx="26">
                  <c:v>149.68682275510824</c:v>
                </c:pt>
                <c:pt idx="27">
                  <c:v>155.51528924673778</c:v>
                </c:pt>
                <c:pt idx="28">
                  <c:v>142.61943810467477</c:v>
                </c:pt>
                <c:pt idx="29">
                  <c:v>148.69651882793781</c:v>
                </c:pt>
                <c:pt idx="30">
                  <c:v>141.62440932309215</c:v>
                </c:pt>
                <c:pt idx="31">
                  <c:v>145.61785917330741</c:v>
                </c:pt>
                <c:pt idx="32">
                  <c:v>128.35224714499617</c:v>
                </c:pt>
              </c:numCache>
            </c:numRef>
          </c:val>
          <c:extLst>
            <c:ext xmlns:c16="http://schemas.microsoft.com/office/drawing/2014/chart" uri="{C3380CC4-5D6E-409C-BE32-E72D297353CC}">
              <c16:uniqueId val="{00000001-48B8-4EF2-B2AA-5760F723686F}"/>
            </c:ext>
          </c:extLst>
        </c:ser>
        <c:ser>
          <c:idx val="2"/>
          <c:order val="2"/>
          <c:tx>
            <c:strRef>
              <c:f>'Working sheet'!$A$73</c:f>
              <c:strCache>
                <c:ptCount val="1"/>
                <c:pt idx="0">
                  <c:v>Iceland</c:v>
                </c:pt>
              </c:strCache>
            </c:strRef>
          </c:tx>
          <c:spPr>
            <a:solidFill>
              <a:schemeClr val="accent5"/>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sheet'!$B$73:$AH$73</c:f>
              <c:numCache>
                <c:formatCode>#,##0</c:formatCode>
                <c:ptCount val="33"/>
                <c:pt idx="0">
                  <c:v>2222.3484675293698</c:v>
                </c:pt>
                <c:pt idx="1">
                  <c:v>2103.4382291997345</c:v>
                </c:pt>
                <c:pt idx="2">
                  <c:v>2249.7000926132478</c:v>
                </c:pt>
                <c:pt idx="3">
                  <c:v>2400.5219160584102</c:v>
                </c:pt>
                <c:pt idx="4">
                  <c:v>2349.6644302557802</c:v>
                </c:pt>
                <c:pt idx="5">
                  <c:v>2469.3373440029955</c:v>
                </c:pt>
                <c:pt idx="6">
                  <c:v>2523.3970652709522</c:v>
                </c:pt>
                <c:pt idx="7">
                  <c:v>2618.7822272224917</c:v>
                </c:pt>
                <c:pt idx="8">
                  <c:v>2638.6930781982178</c:v>
                </c:pt>
                <c:pt idx="9">
                  <c:v>2841.3523652947147</c:v>
                </c:pt>
                <c:pt idx="10">
                  <c:v>2933.1524114005902</c:v>
                </c:pt>
                <c:pt idx="11">
                  <c:v>2865.4180112764584</c:v>
                </c:pt>
                <c:pt idx="12">
                  <c:v>2992.4407449625005</c:v>
                </c:pt>
                <c:pt idx="13">
                  <c:v>2985.8810782803889</c:v>
                </c:pt>
                <c:pt idx="14">
                  <c:v>3107.6261514377452</c:v>
                </c:pt>
                <c:pt idx="15">
                  <c:v>2976.86999518008</c:v>
                </c:pt>
                <c:pt idx="16">
                  <c:v>3154.8952859134743</c:v>
                </c:pt>
                <c:pt idx="17">
                  <c:v>3494.8020694799684</c:v>
                </c:pt>
                <c:pt idx="18">
                  <c:v>3811.9864751263149</c:v>
                </c:pt>
                <c:pt idx="19">
                  <c:v>3731.8019161017924</c:v>
                </c:pt>
                <c:pt idx="20">
                  <c:v>3626.6041418597129</c:v>
                </c:pt>
                <c:pt idx="21">
                  <c:v>3503.539645573248</c:v>
                </c:pt>
                <c:pt idx="22">
                  <c:v>3498.5481122722108</c:v>
                </c:pt>
                <c:pt idx="23">
                  <c:v>3488.069326105554</c:v>
                </c:pt>
                <c:pt idx="24">
                  <c:v>3445.1154057527306</c:v>
                </c:pt>
                <c:pt idx="25">
                  <c:v>3541.1809200349417</c:v>
                </c:pt>
                <c:pt idx="26">
                  <c:v>3493.6750134407262</c:v>
                </c:pt>
                <c:pt idx="27">
                  <c:v>3610.9522889536865</c:v>
                </c:pt>
                <c:pt idx="28">
                  <c:v>3667.1023137449074</c:v>
                </c:pt>
                <c:pt idx="29">
                  <c:v>3556.0920210251138</c:v>
                </c:pt>
                <c:pt idx="30">
                  <c:v>3340.5657565370675</c:v>
                </c:pt>
                <c:pt idx="31">
                  <c:v>3508.3076576957769</c:v>
                </c:pt>
                <c:pt idx="32">
                  <c:v>3613.2433131862254</c:v>
                </c:pt>
              </c:numCache>
            </c:numRef>
          </c:val>
          <c:extLst>
            <c:ext xmlns:c16="http://schemas.microsoft.com/office/drawing/2014/chart" uri="{C3380CC4-5D6E-409C-BE32-E72D297353CC}">
              <c16:uniqueId val="{00000002-48B8-4EF2-B2AA-5760F723686F}"/>
            </c:ext>
          </c:extLst>
        </c:ser>
        <c:ser>
          <c:idx val="3"/>
          <c:order val="3"/>
          <c:tx>
            <c:strRef>
              <c:f>'Working sheet'!$A$74</c:f>
              <c:strCache>
                <c:ptCount val="1"/>
                <c:pt idx="0">
                  <c:v>New Zealand</c:v>
                </c:pt>
              </c:strCache>
            </c:strRef>
          </c:tx>
          <c:spPr>
            <a:solidFill>
              <a:schemeClr val="accent1">
                <a:lumMod val="6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sheet'!$B$74:$AH$74</c:f>
              <c:numCache>
                <c:formatCode>#,##0</c:formatCode>
                <c:ptCount val="33"/>
                <c:pt idx="0">
                  <c:v>25497.218471806988</c:v>
                </c:pt>
                <c:pt idx="1">
                  <c:v>26175.920772445861</c:v>
                </c:pt>
                <c:pt idx="2">
                  <c:v>28162.451287760112</c:v>
                </c:pt>
                <c:pt idx="3">
                  <c:v>27754.738987452773</c:v>
                </c:pt>
                <c:pt idx="4">
                  <c:v>27895.36149798457</c:v>
                </c:pt>
                <c:pt idx="5">
                  <c:v>28000.621397763567</c:v>
                </c:pt>
                <c:pt idx="6">
                  <c:v>29300.678276564784</c:v>
                </c:pt>
                <c:pt idx="7">
                  <c:v>31274.490577009721</c:v>
                </c:pt>
                <c:pt idx="8">
                  <c:v>29853.02008895664</c:v>
                </c:pt>
                <c:pt idx="9">
                  <c:v>31460.673541874319</c:v>
                </c:pt>
                <c:pt idx="10">
                  <c:v>32241.038067609526</c:v>
                </c:pt>
                <c:pt idx="11">
                  <c:v>34378.747612392697</c:v>
                </c:pt>
                <c:pt idx="12">
                  <c:v>34541.833996300586</c:v>
                </c:pt>
                <c:pt idx="13">
                  <c:v>36243.229868745693</c:v>
                </c:pt>
                <c:pt idx="14">
                  <c:v>35836.71177296184</c:v>
                </c:pt>
                <c:pt idx="15">
                  <c:v>37425.184280089969</c:v>
                </c:pt>
                <c:pt idx="16">
                  <c:v>37329.748891865522</c:v>
                </c:pt>
                <c:pt idx="17">
                  <c:v>36408.521554116123</c:v>
                </c:pt>
                <c:pt idx="18">
                  <c:v>37506.352889262831</c:v>
                </c:pt>
                <c:pt idx="19">
                  <c:v>34617.447796634013</c:v>
                </c:pt>
                <c:pt idx="20">
                  <c:v>34807.764414152814</c:v>
                </c:pt>
                <c:pt idx="21">
                  <c:v>34262.130253528987</c:v>
                </c:pt>
                <c:pt idx="22">
                  <c:v>35941.31931661495</c:v>
                </c:pt>
                <c:pt idx="23">
                  <c:v>35237.914141512359</c:v>
                </c:pt>
                <c:pt idx="24">
                  <c:v>35435.069162571373</c:v>
                </c:pt>
                <c:pt idx="25">
                  <c:v>35802.200171936383</c:v>
                </c:pt>
                <c:pt idx="26">
                  <c:v>34145.527579894304</c:v>
                </c:pt>
                <c:pt idx="27">
                  <c:v>35684.559591179146</c:v>
                </c:pt>
                <c:pt idx="28">
                  <c:v>35702.511381959332</c:v>
                </c:pt>
                <c:pt idx="29">
                  <c:v>36731.819753335469</c:v>
                </c:pt>
                <c:pt idx="30">
                  <c:v>34022.756576093372</c:v>
                </c:pt>
                <c:pt idx="31">
                  <c:v>34322.605998405292</c:v>
                </c:pt>
                <c:pt idx="32">
                  <c:v>31610.088935629588</c:v>
                </c:pt>
              </c:numCache>
            </c:numRef>
          </c:val>
          <c:extLst>
            <c:ext xmlns:c16="http://schemas.microsoft.com/office/drawing/2014/chart" uri="{C3380CC4-5D6E-409C-BE32-E72D297353CC}">
              <c16:uniqueId val="{00000003-48B8-4EF2-B2AA-5760F723686F}"/>
            </c:ext>
          </c:extLst>
        </c:ser>
        <c:ser>
          <c:idx val="4"/>
          <c:order val="4"/>
          <c:tx>
            <c:strRef>
              <c:f>'Working sheet'!$A$75</c:f>
              <c:strCache>
                <c:ptCount val="1"/>
                <c:pt idx="0">
                  <c:v>Switzerland</c:v>
                </c:pt>
              </c:strCache>
            </c:strRef>
          </c:tx>
          <c:spPr>
            <a:solidFill>
              <a:schemeClr val="accent3">
                <a:lumMod val="6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sheet'!$B$75:$AH$75</c:f>
              <c:numCache>
                <c:formatCode>#,##0</c:formatCode>
                <c:ptCount val="33"/>
                <c:pt idx="0">
                  <c:v>44148.588656750471</c:v>
                </c:pt>
                <c:pt idx="1">
                  <c:v>46131.6712095658</c:v>
                </c:pt>
                <c:pt idx="2">
                  <c:v>46017.52904669819</c:v>
                </c:pt>
                <c:pt idx="3">
                  <c:v>43610.237127686378</c:v>
                </c:pt>
                <c:pt idx="4">
                  <c:v>42669.574904853471</c:v>
                </c:pt>
                <c:pt idx="5">
                  <c:v>43413.913292437828</c:v>
                </c:pt>
                <c:pt idx="6">
                  <c:v>44108.031476030235</c:v>
                </c:pt>
                <c:pt idx="7">
                  <c:v>43045.787583304729</c:v>
                </c:pt>
                <c:pt idx="8">
                  <c:v>44623.134088071471</c:v>
                </c:pt>
                <c:pt idx="9">
                  <c:v>44445.530738195906</c:v>
                </c:pt>
                <c:pt idx="10">
                  <c:v>43620.736429712284</c:v>
                </c:pt>
                <c:pt idx="11">
                  <c:v>45086.545453424522</c:v>
                </c:pt>
                <c:pt idx="12">
                  <c:v>43466.809690800081</c:v>
                </c:pt>
                <c:pt idx="13">
                  <c:v>44649.641445712048</c:v>
                </c:pt>
                <c:pt idx="14">
                  <c:v>45232.801781082548</c:v>
                </c:pt>
                <c:pt idx="15">
                  <c:v>45776.742295643111</c:v>
                </c:pt>
                <c:pt idx="16">
                  <c:v>45364.588759147111</c:v>
                </c:pt>
                <c:pt idx="17">
                  <c:v>43358.122944492126</c:v>
                </c:pt>
                <c:pt idx="18">
                  <c:v>44698.535826548279</c:v>
                </c:pt>
                <c:pt idx="19">
                  <c:v>43523.338055234672</c:v>
                </c:pt>
                <c:pt idx="20">
                  <c:v>45034.102010938186</c:v>
                </c:pt>
                <c:pt idx="21">
                  <c:v>40972.653078343079</c:v>
                </c:pt>
                <c:pt idx="22">
                  <c:v>42240.525174697897</c:v>
                </c:pt>
                <c:pt idx="23">
                  <c:v>43171.428262574344</c:v>
                </c:pt>
                <c:pt idx="24">
                  <c:v>39221.0584001198</c:v>
                </c:pt>
                <c:pt idx="25">
                  <c:v>38718.969491679498</c:v>
                </c:pt>
                <c:pt idx="26">
                  <c:v>39172.086040867689</c:v>
                </c:pt>
                <c:pt idx="27">
                  <c:v>38164.797662969417</c:v>
                </c:pt>
                <c:pt idx="28">
                  <c:v>36859.041300101526</c:v>
                </c:pt>
                <c:pt idx="29">
                  <c:v>36720.794397804122</c:v>
                </c:pt>
                <c:pt idx="30">
                  <c:v>34228.229640718579</c:v>
                </c:pt>
                <c:pt idx="31">
                  <c:v>35779.835094460999</c:v>
                </c:pt>
                <c:pt idx="32">
                  <c:v>32818.888627462955</c:v>
                </c:pt>
              </c:numCache>
            </c:numRef>
          </c:val>
          <c:extLst>
            <c:ext xmlns:c16="http://schemas.microsoft.com/office/drawing/2014/chart" uri="{C3380CC4-5D6E-409C-BE32-E72D297353CC}">
              <c16:uniqueId val="{00000004-48B8-4EF2-B2AA-5760F723686F}"/>
            </c:ext>
          </c:extLst>
        </c:ser>
        <c:ser>
          <c:idx val="5"/>
          <c:order val="5"/>
          <c:tx>
            <c:strRef>
              <c:f>'Working sheet'!$A$76</c:f>
              <c:strCache>
                <c:ptCount val="1"/>
                <c:pt idx="0">
                  <c:v>Norway</c:v>
                </c:pt>
              </c:strCache>
            </c:strRef>
          </c:tx>
          <c:spPr>
            <a:solidFill>
              <a:schemeClr val="accent5">
                <a:lumMod val="6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sheet'!$B$76:$AH$76</c:f>
              <c:numCache>
                <c:formatCode>#,##0</c:formatCode>
                <c:ptCount val="33"/>
                <c:pt idx="0">
                  <c:v>34536.451803992808</c:v>
                </c:pt>
                <c:pt idx="1">
                  <c:v>32951.274941361298</c:v>
                </c:pt>
                <c:pt idx="2">
                  <c:v>33787.693332460098</c:v>
                </c:pt>
                <c:pt idx="3">
                  <c:v>35268.429480309103</c:v>
                </c:pt>
                <c:pt idx="4">
                  <c:v>37143.588816907199</c:v>
                </c:pt>
                <c:pt idx="5">
                  <c:v>37692.404770684603</c:v>
                </c:pt>
                <c:pt idx="6">
                  <c:v>40748.614384422697</c:v>
                </c:pt>
                <c:pt idx="7">
                  <c:v>40836.915275199601</c:v>
                </c:pt>
                <c:pt idx="8">
                  <c:v>41032.281927313794</c:v>
                </c:pt>
                <c:pt idx="9">
                  <c:v>41764.236104724303</c:v>
                </c:pt>
                <c:pt idx="10">
                  <c:v>41225.161775293309</c:v>
                </c:pt>
                <c:pt idx="11">
                  <c:v>42568.568729468403</c:v>
                </c:pt>
                <c:pt idx="12">
                  <c:v>41767.232770667099</c:v>
                </c:pt>
                <c:pt idx="13">
                  <c:v>43254.699553046506</c:v>
                </c:pt>
                <c:pt idx="14">
                  <c:v>43690.606299306899</c:v>
                </c:pt>
                <c:pt idx="15">
                  <c:v>42850.484301412602</c:v>
                </c:pt>
                <c:pt idx="16">
                  <c:v>43511.581480449</c:v>
                </c:pt>
                <c:pt idx="17">
                  <c:v>45272.752013795493</c:v>
                </c:pt>
                <c:pt idx="18">
                  <c:v>44449.106260302302</c:v>
                </c:pt>
                <c:pt idx="19">
                  <c:v>42877.943046731394</c:v>
                </c:pt>
                <c:pt idx="20">
                  <c:v>45444.898495685811</c:v>
                </c:pt>
                <c:pt idx="21">
                  <c:v>44592.865511673495</c:v>
                </c:pt>
                <c:pt idx="22">
                  <c:v>44081.791260935308</c:v>
                </c:pt>
                <c:pt idx="23">
                  <c:v>44358.673493074508</c:v>
                </c:pt>
                <c:pt idx="24">
                  <c:v>44772.234522594306</c:v>
                </c:pt>
                <c:pt idx="25">
                  <c:v>45318.996822959998</c:v>
                </c:pt>
                <c:pt idx="26">
                  <c:v>44511.089887675997</c:v>
                </c:pt>
                <c:pt idx="27">
                  <c:v>43998.003107173397</c:v>
                </c:pt>
                <c:pt idx="28">
                  <c:v>44232.046309638397</c:v>
                </c:pt>
                <c:pt idx="29">
                  <c:v>42631.052118389685</c:v>
                </c:pt>
                <c:pt idx="30">
                  <c:v>41056.177433971199</c:v>
                </c:pt>
                <c:pt idx="31">
                  <c:v>40898.455642375506</c:v>
                </c:pt>
                <c:pt idx="32">
                  <c:v>40683.259507722003</c:v>
                </c:pt>
              </c:numCache>
            </c:numRef>
          </c:val>
          <c:extLst>
            <c:ext xmlns:c16="http://schemas.microsoft.com/office/drawing/2014/chart" uri="{C3380CC4-5D6E-409C-BE32-E72D297353CC}">
              <c16:uniqueId val="{00000005-48B8-4EF2-B2AA-5760F723686F}"/>
            </c:ext>
          </c:extLst>
        </c:ser>
        <c:ser>
          <c:idx val="6"/>
          <c:order val="6"/>
          <c:tx>
            <c:strRef>
              <c:f>'Working sheet'!$A$77</c:f>
              <c:strCache>
                <c:ptCount val="1"/>
                <c:pt idx="0">
                  <c:v>Belarus</c:v>
                </c:pt>
              </c:strCache>
            </c:strRef>
          </c:tx>
          <c:spPr>
            <a:solidFill>
              <a:schemeClr val="accent1">
                <a:lumMod val="80000"/>
                <a:lumOff val="2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sheet'!$B$77:$AH$77</c:f>
              <c:numCache>
                <c:formatCode>#,##0</c:formatCode>
                <c:ptCount val="33"/>
                <c:pt idx="0">
                  <c:v>108458.87437568171</c:v>
                </c:pt>
                <c:pt idx="1">
                  <c:v>104185.95312757613</c:v>
                </c:pt>
                <c:pt idx="2">
                  <c:v>93596.916617197683</c:v>
                </c:pt>
                <c:pt idx="3">
                  <c:v>80674.476145638662</c:v>
                </c:pt>
                <c:pt idx="4">
                  <c:v>67989.831502797751</c:v>
                </c:pt>
                <c:pt idx="5">
                  <c:v>61014.526144292169</c:v>
                </c:pt>
                <c:pt idx="6">
                  <c:v>61843.565547113889</c:v>
                </c:pt>
                <c:pt idx="7">
                  <c:v>61697.459166075634</c:v>
                </c:pt>
                <c:pt idx="8">
                  <c:v>60184.026189106255</c:v>
                </c:pt>
                <c:pt idx="9">
                  <c:v>58075.778429496284</c:v>
                </c:pt>
                <c:pt idx="10">
                  <c:v>55014.468203414639</c:v>
                </c:pt>
                <c:pt idx="11">
                  <c:v>54104.689004604879</c:v>
                </c:pt>
                <c:pt idx="12">
                  <c:v>53944.12030689665</c:v>
                </c:pt>
                <c:pt idx="13">
                  <c:v>55236.251084036026</c:v>
                </c:pt>
                <c:pt idx="14">
                  <c:v>58372.802042883108</c:v>
                </c:pt>
                <c:pt idx="15">
                  <c:v>59396.208494433195</c:v>
                </c:pt>
                <c:pt idx="16">
                  <c:v>61809.494065719897</c:v>
                </c:pt>
                <c:pt idx="17">
                  <c:v>60275.662477554251</c:v>
                </c:pt>
                <c:pt idx="18">
                  <c:v>62931.135018346751</c:v>
                </c:pt>
                <c:pt idx="19">
                  <c:v>60628.340534143637</c:v>
                </c:pt>
                <c:pt idx="20">
                  <c:v>62515.44147100416</c:v>
                </c:pt>
                <c:pt idx="21">
                  <c:v>61353.235550442711</c:v>
                </c:pt>
                <c:pt idx="22">
                  <c:v>62591.698925787641</c:v>
                </c:pt>
                <c:pt idx="23">
                  <c:v>64151.855762180297</c:v>
                </c:pt>
                <c:pt idx="24">
                  <c:v>63699.213368864177</c:v>
                </c:pt>
                <c:pt idx="25">
                  <c:v>58827.807536176639</c:v>
                </c:pt>
                <c:pt idx="26">
                  <c:v>58188.065283981312</c:v>
                </c:pt>
                <c:pt idx="27">
                  <c:v>59444.370761214108</c:v>
                </c:pt>
                <c:pt idx="28">
                  <c:v>62170.66964856851</c:v>
                </c:pt>
                <c:pt idx="29">
                  <c:v>62170.636288106391</c:v>
                </c:pt>
                <c:pt idx="30">
                  <c:v>59122.90346973054</c:v>
                </c:pt>
                <c:pt idx="31">
                  <c:v>60861.080224311278</c:v>
                </c:pt>
                <c:pt idx="32">
                  <c:v>57120.549634794719</c:v>
                </c:pt>
              </c:numCache>
            </c:numRef>
          </c:val>
          <c:extLst>
            <c:ext xmlns:c16="http://schemas.microsoft.com/office/drawing/2014/chart" uri="{C3380CC4-5D6E-409C-BE32-E72D297353CC}">
              <c16:uniqueId val="{00000006-48B8-4EF2-B2AA-5760F723686F}"/>
            </c:ext>
          </c:extLst>
        </c:ser>
        <c:ser>
          <c:idx val="7"/>
          <c:order val="7"/>
          <c:tx>
            <c:strRef>
              <c:f>'Working sheet'!$A$78</c:f>
              <c:strCache>
                <c:ptCount val="1"/>
                <c:pt idx="0">
                  <c:v>Ukraine</c:v>
                </c:pt>
              </c:strCache>
            </c:strRef>
          </c:tx>
          <c:spPr>
            <a:solidFill>
              <a:schemeClr val="accent3">
                <a:lumMod val="80000"/>
                <a:lumOff val="2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sheet'!$B$78:$AH$78</c:f>
              <c:numCache>
                <c:formatCode>#,##0</c:formatCode>
                <c:ptCount val="33"/>
                <c:pt idx="0">
                  <c:v>706525.67497792176</c:v>
                </c:pt>
                <c:pt idx="1">
                  <c:v>633193.86911370012</c:v>
                </c:pt>
                <c:pt idx="2">
                  <c:v>589505.20649590483</c:v>
                </c:pt>
                <c:pt idx="3">
                  <c:v>510495.3921082493</c:v>
                </c:pt>
                <c:pt idx="4">
                  <c:v>419630.28244140372</c:v>
                </c:pt>
                <c:pt idx="5">
                  <c:v>390173.45864733576</c:v>
                </c:pt>
                <c:pt idx="6">
                  <c:v>351834.19495018176</c:v>
                </c:pt>
                <c:pt idx="7">
                  <c:v>340585.97253809718</c:v>
                </c:pt>
                <c:pt idx="8">
                  <c:v>328877.98786864162</c:v>
                </c:pt>
                <c:pt idx="9">
                  <c:v>298635.5569920002</c:v>
                </c:pt>
                <c:pt idx="10">
                  <c:v>285663.48825715861</c:v>
                </c:pt>
                <c:pt idx="11">
                  <c:v>303876.02583417878</c:v>
                </c:pt>
                <c:pt idx="12">
                  <c:v>295900.92273148021</c:v>
                </c:pt>
                <c:pt idx="13">
                  <c:v>307245.35432022897</c:v>
                </c:pt>
                <c:pt idx="14">
                  <c:v>310625.75107547664</c:v>
                </c:pt>
                <c:pt idx="15">
                  <c:v>313512.51455546409</c:v>
                </c:pt>
                <c:pt idx="16">
                  <c:v>333054.19170332397</c:v>
                </c:pt>
                <c:pt idx="17">
                  <c:v>336828.77977928304</c:v>
                </c:pt>
                <c:pt idx="18">
                  <c:v>325983.40139832982</c:v>
                </c:pt>
                <c:pt idx="19">
                  <c:v>277593.35890081344</c:v>
                </c:pt>
                <c:pt idx="20">
                  <c:v>294365.78742607828</c:v>
                </c:pt>
                <c:pt idx="21">
                  <c:v>308376.39392958395</c:v>
                </c:pt>
                <c:pt idx="22">
                  <c:v>304429.89601162286</c:v>
                </c:pt>
                <c:pt idx="23">
                  <c:v>297540.22399170091</c:v>
                </c:pt>
                <c:pt idx="24">
                  <c:v>257703.07197414865</c:v>
                </c:pt>
                <c:pt idx="25">
                  <c:v>223849.80651023245</c:v>
                </c:pt>
                <c:pt idx="26">
                  <c:v>234105.64875195711</c:v>
                </c:pt>
                <c:pt idx="27">
                  <c:v>223287.75945171944</c:v>
                </c:pt>
                <c:pt idx="28">
                  <c:v>231899.9858564777</c:v>
                </c:pt>
                <c:pt idx="29">
                  <c:v>222187.89673774943</c:v>
                </c:pt>
                <c:pt idx="30">
                  <c:v>207100.65191141068</c:v>
                </c:pt>
                <c:pt idx="31">
                  <c:v>210636.07048038385</c:v>
                </c:pt>
                <c:pt idx="32">
                  <c:v>142964.13453191161</c:v>
                </c:pt>
              </c:numCache>
            </c:numRef>
          </c:val>
          <c:extLst>
            <c:ext xmlns:c16="http://schemas.microsoft.com/office/drawing/2014/chart" uri="{C3380CC4-5D6E-409C-BE32-E72D297353CC}">
              <c16:uniqueId val="{00000007-48B8-4EF2-B2AA-5760F723686F}"/>
            </c:ext>
          </c:extLst>
        </c:ser>
        <c:ser>
          <c:idx val="8"/>
          <c:order val="8"/>
          <c:tx>
            <c:strRef>
              <c:f>'Working sheet'!$A$79</c:f>
              <c:strCache>
                <c:ptCount val="1"/>
                <c:pt idx="0">
                  <c:v>Kazakhstan</c:v>
                </c:pt>
              </c:strCache>
            </c:strRef>
          </c:tx>
          <c:spPr>
            <a:solidFill>
              <a:schemeClr val="accent5">
                <a:lumMod val="80000"/>
                <a:lumOff val="2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sheet'!$B$79:$AH$79</c:f>
              <c:numCache>
                <c:formatCode>#,##0</c:formatCode>
                <c:ptCount val="33"/>
                <c:pt idx="0">
                  <c:v>267405.35609501379</c:v>
                </c:pt>
                <c:pt idx="1">
                  <c:v>260420.50733344399</c:v>
                </c:pt>
                <c:pt idx="2">
                  <c:v>233523.39817007611</c:v>
                </c:pt>
                <c:pt idx="3">
                  <c:v>207558.70931605707</c:v>
                </c:pt>
                <c:pt idx="4">
                  <c:v>174671.11172623266</c:v>
                </c:pt>
                <c:pt idx="5">
                  <c:v>168467.98492597038</c:v>
                </c:pt>
                <c:pt idx="6">
                  <c:v>154715.70311893569</c:v>
                </c:pt>
                <c:pt idx="7">
                  <c:v>147293.12578947935</c:v>
                </c:pt>
                <c:pt idx="8">
                  <c:v>145621.86745158219</c:v>
                </c:pt>
                <c:pt idx="9">
                  <c:v>118761.62808400099</c:v>
                </c:pt>
                <c:pt idx="10">
                  <c:v>142196.98257234215</c:v>
                </c:pt>
                <c:pt idx="11">
                  <c:v>138036.49488030674</c:v>
                </c:pt>
                <c:pt idx="12">
                  <c:v>156768.22356624354</c:v>
                </c:pt>
                <c:pt idx="13">
                  <c:v>175021.96618400919</c:v>
                </c:pt>
                <c:pt idx="14">
                  <c:v>185475.84372318868</c:v>
                </c:pt>
                <c:pt idx="15">
                  <c:v>198448.55362719868</c:v>
                </c:pt>
                <c:pt idx="16">
                  <c:v>219633.14904426996</c:v>
                </c:pt>
                <c:pt idx="17">
                  <c:v>225712.39948813393</c:v>
                </c:pt>
                <c:pt idx="18">
                  <c:v>226102.39378163542</c:v>
                </c:pt>
                <c:pt idx="19">
                  <c:v>223189.22622978725</c:v>
                </c:pt>
                <c:pt idx="20">
                  <c:v>248092.76871015166</c:v>
                </c:pt>
                <c:pt idx="21">
                  <c:v>238156.9707009604</c:v>
                </c:pt>
                <c:pt idx="22">
                  <c:v>245262.9016742502</c:v>
                </c:pt>
                <c:pt idx="23">
                  <c:v>253532.73254511459</c:v>
                </c:pt>
                <c:pt idx="24">
                  <c:v>299137.33938181377</c:v>
                </c:pt>
                <c:pt idx="25">
                  <c:v>303052.27007578209</c:v>
                </c:pt>
                <c:pt idx="26">
                  <c:v>301738.82139232202</c:v>
                </c:pt>
                <c:pt idx="27">
                  <c:v>317720.42704936734</c:v>
                </c:pt>
                <c:pt idx="28">
                  <c:v>329572.12509605876</c:v>
                </c:pt>
                <c:pt idx="29">
                  <c:v>296039.62227161881</c:v>
                </c:pt>
                <c:pt idx="30">
                  <c:v>281789.17932734115</c:v>
                </c:pt>
                <c:pt idx="31">
                  <c:v>244903.72279712683</c:v>
                </c:pt>
                <c:pt idx="32">
                  <c:v>274345.56945064128</c:v>
                </c:pt>
              </c:numCache>
            </c:numRef>
          </c:val>
          <c:extLst>
            <c:ext xmlns:c16="http://schemas.microsoft.com/office/drawing/2014/chart" uri="{C3380CC4-5D6E-409C-BE32-E72D297353CC}">
              <c16:uniqueId val="{00000008-48B8-4EF2-B2AA-5760F723686F}"/>
            </c:ext>
          </c:extLst>
        </c:ser>
        <c:ser>
          <c:idx val="9"/>
          <c:order val="9"/>
          <c:tx>
            <c:strRef>
              <c:f>'Working sheet'!$A$80</c:f>
              <c:strCache>
                <c:ptCount val="1"/>
                <c:pt idx="0">
                  <c:v>Turkey</c:v>
                </c:pt>
              </c:strCache>
            </c:strRef>
          </c:tx>
          <c:spPr>
            <a:solidFill>
              <a:schemeClr val="accent1">
                <a:lumMod val="8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sheet'!$B$80:$AH$80</c:f>
              <c:numCache>
                <c:formatCode>#,##0</c:formatCode>
                <c:ptCount val="33"/>
                <c:pt idx="0">
                  <c:v>154140.68321639043</c:v>
                </c:pt>
                <c:pt idx="1">
                  <c:v>160571.10785945531</c:v>
                </c:pt>
                <c:pt idx="2">
                  <c:v>166704.36252307371</c:v>
                </c:pt>
                <c:pt idx="3">
                  <c:v>173770.40818818417</c:v>
                </c:pt>
                <c:pt idx="4">
                  <c:v>170074.62399521432</c:v>
                </c:pt>
                <c:pt idx="5">
                  <c:v>184132.36829456512</c:v>
                </c:pt>
                <c:pt idx="6">
                  <c:v>202535.29607071052</c:v>
                </c:pt>
                <c:pt idx="7">
                  <c:v>214931.87925039389</c:v>
                </c:pt>
                <c:pt idx="8">
                  <c:v>214998.98890232769</c:v>
                </c:pt>
                <c:pt idx="9">
                  <c:v>210678.19753622459</c:v>
                </c:pt>
                <c:pt idx="10">
                  <c:v>232351.2868587735</c:v>
                </c:pt>
                <c:pt idx="11">
                  <c:v>216293.52328199698</c:v>
                </c:pt>
                <c:pt idx="12">
                  <c:v>223724.43718543093</c:v>
                </c:pt>
                <c:pt idx="13">
                  <c:v>239233.7025703298</c:v>
                </c:pt>
                <c:pt idx="14">
                  <c:v>247182.69386602458</c:v>
                </c:pt>
                <c:pt idx="15">
                  <c:v>266990.70911089156</c:v>
                </c:pt>
                <c:pt idx="16">
                  <c:v>284629.61546442995</c:v>
                </c:pt>
                <c:pt idx="17">
                  <c:v>315614.57768085343</c:v>
                </c:pt>
                <c:pt idx="18">
                  <c:v>311674.51397029322</c:v>
                </c:pt>
                <c:pt idx="19">
                  <c:v>317511.94546651642</c:v>
                </c:pt>
                <c:pt idx="20">
                  <c:v>317555.16956761753</c:v>
                </c:pt>
                <c:pt idx="21">
                  <c:v>342962.4325474677</c:v>
                </c:pt>
                <c:pt idx="22">
                  <c:v>357442.5014981922</c:v>
                </c:pt>
                <c:pt idx="23">
                  <c:v>349194.09118378407</c:v>
                </c:pt>
                <c:pt idx="24">
                  <c:v>365651.62884227175</c:v>
                </c:pt>
                <c:pt idx="25">
                  <c:v>386321.66535475105</c:v>
                </c:pt>
                <c:pt idx="26">
                  <c:v>404647.96877319086</c:v>
                </c:pt>
                <c:pt idx="27">
                  <c:v>429350.28354358405</c:v>
                </c:pt>
                <c:pt idx="28">
                  <c:v>422146.31600151671</c:v>
                </c:pt>
                <c:pt idx="29">
                  <c:v>404300.91745389509</c:v>
                </c:pt>
                <c:pt idx="30">
                  <c:v>414377.83826285682</c:v>
                </c:pt>
                <c:pt idx="31">
                  <c:v>455248.36736534763</c:v>
                </c:pt>
                <c:pt idx="32">
                  <c:v>441422.79428925313</c:v>
                </c:pt>
              </c:numCache>
            </c:numRef>
          </c:val>
          <c:extLst>
            <c:ext xmlns:c16="http://schemas.microsoft.com/office/drawing/2014/chart" uri="{C3380CC4-5D6E-409C-BE32-E72D297353CC}">
              <c16:uniqueId val="{00000009-48B8-4EF2-B2AA-5760F723686F}"/>
            </c:ext>
          </c:extLst>
        </c:ser>
        <c:ser>
          <c:idx val="10"/>
          <c:order val="10"/>
          <c:tx>
            <c:strRef>
              <c:f>'Working sheet'!$A$81</c:f>
              <c:strCache>
                <c:ptCount val="1"/>
                <c:pt idx="0">
                  <c:v>Australia</c:v>
                </c:pt>
              </c:strCache>
            </c:strRef>
          </c:tx>
          <c:spPr>
            <a:solidFill>
              <a:schemeClr val="accent3">
                <a:lumMod val="8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sheet'!$B$81:$AH$81</c:f>
              <c:numCache>
                <c:formatCode>#,##0</c:formatCode>
                <c:ptCount val="33"/>
                <c:pt idx="0">
                  <c:v>278160</c:v>
                </c:pt>
                <c:pt idx="1">
                  <c:v>279534</c:v>
                </c:pt>
                <c:pt idx="2">
                  <c:v>284529</c:v>
                </c:pt>
                <c:pt idx="3">
                  <c:v>288874</c:v>
                </c:pt>
                <c:pt idx="4">
                  <c:v>293701</c:v>
                </c:pt>
                <c:pt idx="5">
                  <c:v>305056</c:v>
                </c:pt>
                <c:pt idx="6">
                  <c:v>311941</c:v>
                </c:pt>
                <c:pt idx="7">
                  <c:v>320333</c:v>
                </c:pt>
                <c:pt idx="8">
                  <c:v>334136</c:v>
                </c:pt>
                <c:pt idx="9">
                  <c:v>343959</c:v>
                </c:pt>
                <c:pt idx="10">
                  <c:v>350008</c:v>
                </c:pt>
                <c:pt idx="11">
                  <c:v>357784</c:v>
                </c:pt>
                <c:pt idx="12">
                  <c:v>362537</c:v>
                </c:pt>
                <c:pt idx="13">
                  <c:v>369630</c:v>
                </c:pt>
                <c:pt idx="14">
                  <c:v>383159</c:v>
                </c:pt>
                <c:pt idx="15">
                  <c:v>386176</c:v>
                </c:pt>
                <c:pt idx="16">
                  <c:v>392360</c:v>
                </c:pt>
                <c:pt idx="17">
                  <c:v>399475</c:v>
                </c:pt>
                <c:pt idx="18">
                  <c:v>404840</c:v>
                </c:pt>
                <c:pt idx="19">
                  <c:v>407094</c:v>
                </c:pt>
                <c:pt idx="20">
                  <c:v>405131</c:v>
                </c:pt>
                <c:pt idx="21">
                  <c:v>403858</c:v>
                </c:pt>
                <c:pt idx="22">
                  <c:v>406197</c:v>
                </c:pt>
                <c:pt idx="23">
                  <c:v>399068</c:v>
                </c:pt>
                <c:pt idx="24">
                  <c:v>392729</c:v>
                </c:pt>
                <c:pt idx="25">
                  <c:v>401497</c:v>
                </c:pt>
                <c:pt idx="26">
                  <c:v>410388</c:v>
                </c:pt>
                <c:pt idx="27">
                  <c:v>413818</c:v>
                </c:pt>
                <c:pt idx="28">
                  <c:v>415591</c:v>
                </c:pt>
                <c:pt idx="29">
                  <c:v>415770</c:v>
                </c:pt>
                <c:pt idx="30">
                  <c:v>399184</c:v>
                </c:pt>
                <c:pt idx="31">
                  <c:v>389020</c:v>
                </c:pt>
                <c:pt idx="32">
                  <c:v>384362</c:v>
                </c:pt>
              </c:numCache>
            </c:numRef>
          </c:val>
          <c:extLst>
            <c:ext xmlns:c16="http://schemas.microsoft.com/office/drawing/2014/chart" uri="{C3380CC4-5D6E-409C-BE32-E72D297353CC}">
              <c16:uniqueId val="{0000000A-48B8-4EF2-B2AA-5760F723686F}"/>
            </c:ext>
          </c:extLst>
        </c:ser>
        <c:ser>
          <c:idx val="11"/>
          <c:order val="11"/>
          <c:tx>
            <c:strRef>
              <c:f>'Working sheet'!$A$82</c:f>
              <c:strCache>
                <c:ptCount val="1"/>
                <c:pt idx="0">
                  <c:v>Canada</c:v>
                </c:pt>
              </c:strCache>
            </c:strRef>
          </c:tx>
          <c:spPr>
            <a:solidFill>
              <a:schemeClr val="accent5">
                <a:lumMod val="8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sheet'!$B$82:$AH$82</c:f>
              <c:numCache>
                <c:formatCode>#,##0</c:formatCode>
                <c:ptCount val="33"/>
                <c:pt idx="0">
                  <c:v>458014.93552474678</c:v>
                </c:pt>
                <c:pt idx="1">
                  <c:v>449756.12114344432</c:v>
                </c:pt>
                <c:pt idx="2">
                  <c:v>463496.74963858596</c:v>
                </c:pt>
                <c:pt idx="3">
                  <c:v>464160.01275739941</c:v>
                </c:pt>
                <c:pt idx="4">
                  <c:v>478630.55286119349</c:v>
                </c:pt>
                <c:pt idx="5">
                  <c:v>491413.65436887252</c:v>
                </c:pt>
                <c:pt idx="6">
                  <c:v>507728.67642064445</c:v>
                </c:pt>
                <c:pt idx="7">
                  <c:v>522021.92346206005</c:v>
                </c:pt>
                <c:pt idx="8">
                  <c:v>529635.74513397925</c:v>
                </c:pt>
                <c:pt idx="9">
                  <c:v>543865.61090489267</c:v>
                </c:pt>
                <c:pt idx="10">
                  <c:v>566261.3626986345</c:v>
                </c:pt>
                <c:pt idx="11">
                  <c:v>558360.49086101481</c:v>
                </c:pt>
                <c:pt idx="12">
                  <c:v>563728.4932470466</c:v>
                </c:pt>
                <c:pt idx="13">
                  <c:v>580792.40091160266</c:v>
                </c:pt>
                <c:pt idx="14">
                  <c:v>579162.80135955138</c:v>
                </c:pt>
                <c:pt idx="15">
                  <c:v>572854.82164759981</c:v>
                </c:pt>
                <c:pt idx="16">
                  <c:v>568173.23418784444</c:v>
                </c:pt>
                <c:pt idx="17">
                  <c:v>591888.68625188642</c:v>
                </c:pt>
                <c:pt idx="18">
                  <c:v>575769.90531276911</c:v>
                </c:pt>
                <c:pt idx="19">
                  <c:v>542810.70657176338</c:v>
                </c:pt>
                <c:pt idx="20">
                  <c:v>554734.25614216086</c:v>
                </c:pt>
                <c:pt idx="21">
                  <c:v>563320.36941680522</c:v>
                </c:pt>
                <c:pt idx="22">
                  <c:v>564221.19243368693</c:v>
                </c:pt>
                <c:pt idx="23">
                  <c:v>568853.79743076675</c:v>
                </c:pt>
                <c:pt idx="24">
                  <c:v>566468.85508718225</c:v>
                </c:pt>
                <c:pt idx="25">
                  <c:v>565644.08148966345</c:v>
                </c:pt>
                <c:pt idx="26">
                  <c:v>558871.64786614699</c:v>
                </c:pt>
                <c:pt idx="27">
                  <c:v>569602.98819103092</c:v>
                </c:pt>
                <c:pt idx="28">
                  <c:v>579078.841669749</c:v>
                </c:pt>
                <c:pt idx="29">
                  <c:v>582024.98160077934</c:v>
                </c:pt>
                <c:pt idx="30">
                  <c:v>526581.62753486237</c:v>
                </c:pt>
                <c:pt idx="31">
                  <c:v>540311.63330928981</c:v>
                </c:pt>
                <c:pt idx="32">
                  <c:v>550611.61159179604</c:v>
                </c:pt>
              </c:numCache>
            </c:numRef>
          </c:val>
          <c:extLst>
            <c:ext xmlns:c16="http://schemas.microsoft.com/office/drawing/2014/chart" uri="{C3380CC4-5D6E-409C-BE32-E72D297353CC}">
              <c16:uniqueId val="{0000000B-48B8-4EF2-B2AA-5760F723686F}"/>
            </c:ext>
          </c:extLst>
        </c:ser>
        <c:ser>
          <c:idx val="12"/>
          <c:order val="12"/>
          <c:tx>
            <c:strRef>
              <c:f>'Working sheet'!$A$83</c:f>
              <c:strCache>
                <c:ptCount val="1"/>
                <c:pt idx="0">
                  <c:v>Japan</c:v>
                </c:pt>
              </c:strCache>
            </c:strRef>
          </c:tx>
          <c:spPr>
            <a:solidFill>
              <a:schemeClr val="accent1">
                <a:lumMod val="60000"/>
                <a:lumOff val="4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sheet'!$B$83:$AH$83</c:f>
              <c:numCache>
                <c:formatCode>#,##0</c:formatCode>
                <c:ptCount val="33"/>
                <c:pt idx="0">
                  <c:v>1157373.6612948417</c:v>
                </c:pt>
                <c:pt idx="1">
                  <c:v>1169070.538282963</c:v>
                </c:pt>
                <c:pt idx="2">
                  <c:v>1178852.0163191382</c:v>
                </c:pt>
                <c:pt idx="3">
                  <c:v>1171862.3804400214</c:v>
                </c:pt>
                <c:pt idx="4">
                  <c:v>1226887.1013408254</c:v>
                </c:pt>
                <c:pt idx="5">
                  <c:v>1239225.93434464</c:v>
                </c:pt>
                <c:pt idx="6">
                  <c:v>1251737.6568749512</c:v>
                </c:pt>
                <c:pt idx="7">
                  <c:v>1244449.3860267708</c:v>
                </c:pt>
                <c:pt idx="8">
                  <c:v>1204602.5165230667</c:v>
                </c:pt>
                <c:pt idx="9">
                  <c:v>1241233.8256277232</c:v>
                </c:pt>
                <c:pt idx="10">
                  <c:v>1263950.9604737498</c:v>
                </c:pt>
                <c:pt idx="11">
                  <c:v>1249355.1085405855</c:v>
                </c:pt>
                <c:pt idx="12">
                  <c:v>1278980.9878582866</c:v>
                </c:pt>
                <c:pt idx="13">
                  <c:v>1287481.5493205127</c:v>
                </c:pt>
                <c:pt idx="14">
                  <c:v>1282872.0338385412</c:v>
                </c:pt>
                <c:pt idx="15">
                  <c:v>1290333.4473998232</c:v>
                </c:pt>
                <c:pt idx="16">
                  <c:v>1267269.0063349127</c:v>
                </c:pt>
                <c:pt idx="17">
                  <c:v>1302996.4320647877</c:v>
                </c:pt>
                <c:pt idx="18">
                  <c:v>1232180.5729677649</c:v>
                </c:pt>
                <c:pt idx="19">
                  <c:v>1163365.7495647243</c:v>
                </c:pt>
                <c:pt idx="20">
                  <c:v>1214785.3784805574</c:v>
                </c:pt>
                <c:pt idx="21">
                  <c:v>1264803.1606841439</c:v>
                </c:pt>
                <c:pt idx="22">
                  <c:v>1305969.5076752538</c:v>
                </c:pt>
                <c:pt idx="23">
                  <c:v>1315319.8122312906</c:v>
                </c:pt>
                <c:pt idx="24">
                  <c:v>1263765.9744515095</c:v>
                </c:pt>
                <c:pt idx="25">
                  <c:v>1223194.8238392819</c:v>
                </c:pt>
                <c:pt idx="26">
                  <c:v>1203177.5492311174</c:v>
                </c:pt>
                <c:pt idx="27">
                  <c:v>1187523.9079826421</c:v>
                </c:pt>
                <c:pt idx="28">
                  <c:v>1142499.2917036791</c:v>
                </c:pt>
                <c:pt idx="29">
                  <c:v>1105461.5833546899</c:v>
                </c:pt>
                <c:pt idx="30">
                  <c:v>1040475.8641844646</c:v>
                </c:pt>
                <c:pt idx="31">
                  <c:v>1061855.4950656199</c:v>
                </c:pt>
                <c:pt idx="32">
                  <c:v>1034861.0742171708</c:v>
                </c:pt>
              </c:numCache>
            </c:numRef>
          </c:val>
          <c:extLst>
            <c:ext xmlns:c16="http://schemas.microsoft.com/office/drawing/2014/chart" uri="{C3380CC4-5D6E-409C-BE32-E72D297353CC}">
              <c16:uniqueId val="{0000000C-48B8-4EF2-B2AA-5760F723686F}"/>
            </c:ext>
          </c:extLst>
        </c:ser>
        <c:ser>
          <c:idx val="13"/>
          <c:order val="13"/>
          <c:tx>
            <c:strRef>
              <c:f>'Working sheet'!$A$84</c:f>
              <c:strCache>
                <c:ptCount val="1"/>
                <c:pt idx="0">
                  <c:v>Russia</c:v>
                </c:pt>
              </c:strCache>
            </c:strRef>
          </c:tx>
          <c:spPr>
            <a:solidFill>
              <a:schemeClr val="accent3">
                <a:lumMod val="60000"/>
                <a:lumOff val="4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sheet'!$B$84:$AH$84</c:f>
              <c:numCache>
                <c:formatCode>#,##0</c:formatCode>
                <c:ptCount val="33"/>
                <c:pt idx="0">
                  <c:v>2534638.085183613</c:v>
                </c:pt>
                <c:pt idx="1">
                  <c:v>2405960.4043792002</c:v>
                </c:pt>
                <c:pt idx="2">
                  <c:v>1965325.1182081089</c:v>
                </c:pt>
                <c:pt idx="3">
                  <c:v>1866015.6303622497</c:v>
                </c:pt>
                <c:pt idx="4">
                  <c:v>1646861.0778358676</c:v>
                </c:pt>
                <c:pt idx="5">
                  <c:v>1618323.9412290324</c:v>
                </c:pt>
                <c:pt idx="6">
                  <c:v>1586265.4577589876</c:v>
                </c:pt>
                <c:pt idx="7">
                  <c:v>1481066.4085384416</c:v>
                </c:pt>
                <c:pt idx="8">
                  <c:v>1464425.1237385527</c:v>
                </c:pt>
                <c:pt idx="9">
                  <c:v>1493204.9948452166</c:v>
                </c:pt>
                <c:pt idx="10">
                  <c:v>1478086.8698581592</c:v>
                </c:pt>
                <c:pt idx="11">
                  <c:v>1515324.8527618302</c:v>
                </c:pt>
                <c:pt idx="12">
                  <c:v>1505779.7397898182</c:v>
                </c:pt>
                <c:pt idx="13">
                  <c:v>1536315.8110392331</c:v>
                </c:pt>
                <c:pt idx="14">
                  <c:v>1542790.6061639695</c:v>
                </c:pt>
                <c:pt idx="15">
                  <c:v>1561910.6917456912</c:v>
                </c:pt>
                <c:pt idx="16">
                  <c:v>1622152.0171722574</c:v>
                </c:pt>
                <c:pt idx="17">
                  <c:v>1622969.7578581851</c:v>
                </c:pt>
                <c:pt idx="18">
                  <c:v>1651191.5525614505</c:v>
                </c:pt>
                <c:pt idx="19">
                  <c:v>1544428.7246118153</c:v>
                </c:pt>
                <c:pt idx="20">
                  <c:v>1632325.4749298736</c:v>
                </c:pt>
                <c:pt idx="21">
                  <c:v>1684492.232681015</c:v>
                </c:pt>
                <c:pt idx="22">
                  <c:v>1699944.7348021739</c:v>
                </c:pt>
                <c:pt idx="23">
                  <c:v>1638418.1451412498</c:v>
                </c:pt>
                <c:pt idx="24">
                  <c:v>1637734.1474585615</c:v>
                </c:pt>
                <c:pt idx="25">
                  <c:v>1635820.885622662</c:v>
                </c:pt>
                <c:pt idx="26">
                  <c:v>1631762.6164978051</c:v>
                </c:pt>
                <c:pt idx="27">
                  <c:v>1662522.572903208</c:v>
                </c:pt>
                <c:pt idx="28">
                  <c:v>1710549.6280213722</c:v>
                </c:pt>
                <c:pt idx="29">
                  <c:v>1702599.4695157488</c:v>
                </c:pt>
                <c:pt idx="30">
                  <c:v>1629546.8816099388</c:v>
                </c:pt>
                <c:pt idx="31">
                  <c:v>1711217.0638064989</c:v>
                </c:pt>
                <c:pt idx="32">
                  <c:v>1658923.0690453025</c:v>
                </c:pt>
              </c:numCache>
            </c:numRef>
          </c:val>
          <c:extLst>
            <c:ext xmlns:c16="http://schemas.microsoft.com/office/drawing/2014/chart" uri="{C3380CC4-5D6E-409C-BE32-E72D297353CC}">
              <c16:uniqueId val="{0000000D-48B8-4EF2-B2AA-5760F723686F}"/>
            </c:ext>
          </c:extLst>
        </c:ser>
        <c:ser>
          <c:idx val="14"/>
          <c:order val="14"/>
          <c:tx>
            <c:strRef>
              <c:f>'Working sheet'!$A$85</c:f>
              <c:strCache>
                <c:ptCount val="1"/>
                <c:pt idx="0">
                  <c:v>European Union (excl. UK)</c:v>
                </c:pt>
              </c:strCache>
            </c:strRef>
          </c:tx>
          <c:spPr>
            <a:solidFill>
              <a:schemeClr val="accent5">
                <a:lumMod val="60000"/>
                <a:lumOff val="4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sheet'!$B$85:$AH$85</c:f>
              <c:numCache>
                <c:formatCode>#,##0</c:formatCode>
                <c:ptCount val="33"/>
                <c:pt idx="0">
                  <c:v>3873023.3309339033</c:v>
                </c:pt>
                <c:pt idx="1">
                  <c:v>3807938.7912400202</c:v>
                </c:pt>
                <c:pt idx="2">
                  <c:v>3681371.0765948086</c:v>
                </c:pt>
                <c:pt idx="3">
                  <c:v>3612170.8536726907</c:v>
                </c:pt>
                <c:pt idx="4">
                  <c:v>3593763.4414307312</c:v>
                </c:pt>
                <c:pt idx="5">
                  <c:v>3640341.98842332</c:v>
                </c:pt>
                <c:pt idx="6">
                  <c:v>3725281.0003728131</c:v>
                </c:pt>
                <c:pt idx="7">
                  <c:v>3659125.4671813394</c:v>
                </c:pt>
                <c:pt idx="8">
                  <c:v>3649833.3754430539</c:v>
                </c:pt>
                <c:pt idx="9">
                  <c:v>3594787.0037151575</c:v>
                </c:pt>
                <c:pt idx="10">
                  <c:v>3606301.5966402353</c:v>
                </c:pt>
                <c:pt idx="11">
                  <c:v>3663404.2415952953</c:v>
                </c:pt>
                <c:pt idx="12">
                  <c:v>3664291.9554574536</c:v>
                </c:pt>
                <c:pt idx="13">
                  <c:v>3743213.3787790379</c:v>
                </c:pt>
                <c:pt idx="14">
                  <c:v>3750816.2632212588</c:v>
                </c:pt>
                <c:pt idx="15">
                  <c:v>3742796.9393666019</c:v>
                </c:pt>
                <c:pt idx="16">
                  <c:v>3759891.1983414041</c:v>
                </c:pt>
                <c:pt idx="17">
                  <c:v>3710709.639908799</c:v>
                </c:pt>
                <c:pt idx="18">
                  <c:v>3634251.3148067677</c:v>
                </c:pt>
                <c:pt idx="19">
                  <c:v>3339331.7106164955</c:v>
                </c:pt>
                <c:pt idx="20">
                  <c:v>3432970.2685692119</c:v>
                </c:pt>
                <c:pt idx="21">
                  <c:v>3335770.6019856283</c:v>
                </c:pt>
                <c:pt idx="22">
                  <c:v>3266586.5480191614</c:v>
                </c:pt>
                <c:pt idx="23">
                  <c:v>3177910.411238587</c:v>
                </c:pt>
                <c:pt idx="24">
                  <c:v>3042303.2882573451</c:v>
                </c:pt>
                <c:pt idx="25">
                  <c:v>3101672.9847513721</c:v>
                </c:pt>
                <c:pt idx="26">
                  <c:v>3099257.9562930437</c:v>
                </c:pt>
                <c:pt idx="27">
                  <c:v>3122783.9231626331</c:v>
                </c:pt>
                <c:pt idx="28">
                  <c:v>3055340.8104139124</c:v>
                </c:pt>
                <c:pt idx="29">
                  <c:v>2908385.334441151</c:v>
                </c:pt>
                <c:pt idx="30">
                  <c:v>2629904.5727267321</c:v>
                </c:pt>
                <c:pt idx="31">
                  <c:v>2808290.8878538297</c:v>
                </c:pt>
                <c:pt idx="32">
                  <c:v>2740590.0108404695</c:v>
                </c:pt>
              </c:numCache>
            </c:numRef>
          </c:val>
          <c:extLst>
            <c:ext xmlns:c16="http://schemas.microsoft.com/office/drawing/2014/chart" uri="{C3380CC4-5D6E-409C-BE32-E72D297353CC}">
              <c16:uniqueId val="{0000000E-48B8-4EF2-B2AA-5760F723686F}"/>
            </c:ext>
          </c:extLst>
        </c:ser>
        <c:ser>
          <c:idx val="15"/>
          <c:order val="15"/>
          <c:tx>
            <c:strRef>
              <c:f>'Working sheet'!$A$86</c:f>
              <c:strCache>
                <c:ptCount val="1"/>
                <c:pt idx="0">
                  <c:v>United States of America</c:v>
                </c:pt>
              </c:strCache>
            </c:strRef>
          </c:tx>
          <c:spPr>
            <a:solidFill>
              <a:schemeClr val="accent1">
                <a:lumMod val="5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sheet'!$B$86:$AH$86</c:f>
              <c:numCache>
                <c:formatCode>#,##0</c:formatCode>
                <c:ptCount val="33"/>
                <c:pt idx="0">
                  <c:v>5131649.9179338422</c:v>
                </c:pt>
                <c:pt idx="1">
                  <c:v>5076301.3728953777</c:v>
                </c:pt>
                <c:pt idx="2">
                  <c:v>5178730.8103493061</c:v>
                </c:pt>
                <c:pt idx="3">
                  <c:v>5279479.6070834426</c:v>
                </c:pt>
                <c:pt idx="4">
                  <c:v>5361823.1471951883</c:v>
                </c:pt>
                <c:pt idx="5">
                  <c:v>5425799.2483278252</c:v>
                </c:pt>
                <c:pt idx="6">
                  <c:v>5601058.0610044273</c:v>
                </c:pt>
                <c:pt idx="7">
                  <c:v>5673108.9554237751</c:v>
                </c:pt>
                <c:pt idx="8">
                  <c:v>5736325.2530561415</c:v>
                </c:pt>
                <c:pt idx="9">
                  <c:v>5800249.574243417</c:v>
                </c:pt>
                <c:pt idx="10">
                  <c:v>6023128.1481773667</c:v>
                </c:pt>
                <c:pt idx="11">
                  <c:v>5903534.2323353216</c:v>
                </c:pt>
                <c:pt idx="12">
                  <c:v>5947794.8097726032</c:v>
                </c:pt>
                <c:pt idx="13">
                  <c:v>6006415.9388180533</c:v>
                </c:pt>
                <c:pt idx="14">
                  <c:v>6111521.3921528356</c:v>
                </c:pt>
                <c:pt idx="15">
                  <c:v>6126864.1132818833</c:v>
                </c:pt>
                <c:pt idx="16">
                  <c:v>6045302.9943539565</c:v>
                </c:pt>
                <c:pt idx="17">
                  <c:v>6121520.898451956</c:v>
                </c:pt>
                <c:pt idx="18">
                  <c:v>5919210.1388680004</c:v>
                </c:pt>
                <c:pt idx="19">
                  <c:v>5486088.7614141153</c:v>
                </c:pt>
                <c:pt idx="20">
                  <c:v>5668742.1789052505</c:v>
                </c:pt>
                <c:pt idx="21">
                  <c:v>5540330.9081888823</c:v>
                </c:pt>
                <c:pt idx="22">
                  <c:v>5332810.8172207158</c:v>
                </c:pt>
                <c:pt idx="23">
                  <c:v>5473655.6944413669</c:v>
                </c:pt>
                <c:pt idx="24">
                  <c:v>5529884.0736858258</c:v>
                </c:pt>
                <c:pt idx="25">
                  <c:v>5368292.857288844</c:v>
                </c:pt>
                <c:pt idx="26">
                  <c:v>5246402.9250260228</c:v>
                </c:pt>
                <c:pt idx="27">
                  <c:v>5196539.8320305049</c:v>
                </c:pt>
                <c:pt idx="28">
                  <c:v>5362191.2282171389</c:v>
                </c:pt>
                <c:pt idx="29">
                  <c:v>5234488.2400557771</c:v>
                </c:pt>
                <c:pt idx="30">
                  <c:v>4688969.2072321847</c:v>
                </c:pt>
                <c:pt idx="31">
                  <c:v>5017202.0794459097</c:v>
                </c:pt>
                <c:pt idx="32">
                  <c:v>5053018.6889002668</c:v>
                </c:pt>
              </c:numCache>
            </c:numRef>
          </c:val>
          <c:extLst>
            <c:ext xmlns:c16="http://schemas.microsoft.com/office/drawing/2014/chart" uri="{C3380CC4-5D6E-409C-BE32-E72D297353CC}">
              <c16:uniqueId val="{0000000F-48B8-4EF2-B2AA-5760F723686F}"/>
            </c:ext>
          </c:extLst>
        </c:ser>
        <c:ser>
          <c:idx val="16"/>
          <c:order val="16"/>
          <c:tx>
            <c:strRef>
              <c:f>'Working sheet'!$A$87</c:f>
              <c:strCache>
                <c:ptCount val="1"/>
                <c:pt idx="0">
                  <c:v>United Kingdom</c:v>
                </c:pt>
              </c:strCache>
            </c:strRef>
          </c:tx>
          <c:spPr>
            <a:solidFill>
              <a:schemeClr val="accent3">
                <a:lumMod val="50000"/>
              </a:schemeClr>
            </a:solidFill>
            <a:ln>
              <a:noFill/>
            </a:ln>
            <a:effectLst/>
          </c:spPr>
          <c:invertIfNegative val="0"/>
          <c:cat>
            <c:numRef>
              <c:f>'Working sheet'!$B$70:$AH$70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sheet'!$B$87:$AH$87</c:f>
              <c:numCache>
                <c:formatCode>#,##0_);[Red]\(#,##0\)</c:formatCode>
                <c:ptCount val="33"/>
                <c:pt idx="0">
                  <c:v>603662.86089401203</c:v>
                </c:pt>
                <c:pt idx="1">
                  <c:v>611170.45411533839</c:v>
                </c:pt>
                <c:pt idx="2">
                  <c:v>595536.71973988833</c:v>
                </c:pt>
                <c:pt idx="3">
                  <c:v>581505.91995838704</c:v>
                </c:pt>
                <c:pt idx="4">
                  <c:v>575528.19820604555</c:v>
                </c:pt>
                <c:pt idx="5">
                  <c:v>567695.72765364638</c:v>
                </c:pt>
                <c:pt idx="6">
                  <c:v>588361.67277779325</c:v>
                </c:pt>
                <c:pt idx="7">
                  <c:v>564927.33421193471</c:v>
                </c:pt>
                <c:pt idx="8">
                  <c:v>570226.87033369159</c:v>
                </c:pt>
                <c:pt idx="9">
                  <c:v>562709.98641600937</c:v>
                </c:pt>
                <c:pt idx="10">
                  <c:v>570519.29919362662</c:v>
                </c:pt>
                <c:pt idx="11">
                  <c:v>579604.93655515008</c:v>
                </c:pt>
                <c:pt idx="12">
                  <c:v>562226.38493685366</c:v>
                </c:pt>
                <c:pt idx="13">
                  <c:v>573068.27212889376</c:v>
                </c:pt>
                <c:pt idx="14">
                  <c:v>575184.62450261693</c:v>
                </c:pt>
                <c:pt idx="15">
                  <c:v>571973.99725599319</c:v>
                </c:pt>
                <c:pt idx="16">
                  <c:v>569571.15793579398</c:v>
                </c:pt>
                <c:pt idx="17">
                  <c:v>561356.48269712063</c:v>
                </c:pt>
                <c:pt idx="18">
                  <c:v>546975.89881896065</c:v>
                </c:pt>
                <c:pt idx="19">
                  <c:v>495985.96158726077</c:v>
                </c:pt>
                <c:pt idx="20">
                  <c:v>513873.32129260059</c:v>
                </c:pt>
                <c:pt idx="21">
                  <c:v>471402.35442996892</c:v>
                </c:pt>
                <c:pt idx="22">
                  <c:v>489094.47984958481</c:v>
                </c:pt>
                <c:pt idx="23">
                  <c:v>479097.57717529993</c:v>
                </c:pt>
                <c:pt idx="24">
                  <c:v>440088.27210238972</c:v>
                </c:pt>
                <c:pt idx="25">
                  <c:v>423780.8846190261</c:v>
                </c:pt>
                <c:pt idx="26">
                  <c:v>399133.94634387537</c:v>
                </c:pt>
                <c:pt idx="27">
                  <c:v>387451.76422946923</c:v>
                </c:pt>
                <c:pt idx="28">
                  <c:v>381411.20293273032</c:v>
                </c:pt>
                <c:pt idx="29">
                  <c:v>367820.14076715353</c:v>
                </c:pt>
                <c:pt idx="30">
                  <c:v>328150.70657017239</c:v>
                </c:pt>
                <c:pt idx="31">
                  <c:v>346506.56426406465</c:v>
                </c:pt>
                <c:pt idx="32">
                  <c:v>333535.006327604</c:v>
                </c:pt>
              </c:numCache>
            </c:numRef>
          </c:val>
          <c:extLst>
            <c:ext xmlns:c16="http://schemas.microsoft.com/office/drawing/2014/chart" uri="{C3380CC4-5D6E-409C-BE32-E72D297353CC}">
              <c16:uniqueId val="{00000001-2E7C-4636-8CE7-1507E19A8600}"/>
            </c:ext>
          </c:extLst>
        </c:ser>
        <c:dLbls>
          <c:showLegendKey val="0"/>
          <c:showVal val="0"/>
          <c:showCatName val="0"/>
          <c:showSerName val="0"/>
          <c:showPercent val="0"/>
          <c:showBubbleSize val="0"/>
        </c:dLbls>
        <c:gapWidth val="150"/>
        <c:overlap val="100"/>
        <c:axId val="279647088"/>
        <c:axId val="279647648"/>
      </c:barChart>
      <c:catAx>
        <c:axId val="2796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647648"/>
        <c:crosses val="autoZero"/>
        <c:auto val="1"/>
        <c:lblAlgn val="ctr"/>
        <c:lblOffset val="100"/>
        <c:noMultiLvlLbl val="0"/>
      </c:catAx>
      <c:valAx>
        <c:axId val="279647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79647088"/>
        <c:crosses val="autoZero"/>
        <c:crossBetween val="between"/>
      </c:valAx>
      <c:spPr>
        <a:noFill/>
        <a:ln>
          <a:noFill/>
        </a:ln>
        <a:effectLst/>
      </c:spPr>
    </c:plotArea>
    <c:legend>
      <c:legendPos val="r"/>
      <c:layout>
        <c:manualLayout>
          <c:xMode val="edge"/>
          <c:yMode val="edge"/>
          <c:x val="0.80499227700898701"/>
          <c:y val="8.3695906901968875E-2"/>
          <c:w val="0.19500772299101296"/>
          <c:h val="0.8710510955975995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23187665143675E-2"/>
          <c:y val="3.4629626599916016E-2"/>
          <c:w val="0.70927947435882743"/>
          <c:h val="0.81422045542871824"/>
        </c:manualLayout>
      </c:layout>
      <c:barChart>
        <c:barDir val="col"/>
        <c:grouping val="stacked"/>
        <c:varyColors val="0"/>
        <c:ser>
          <c:idx val="0"/>
          <c:order val="0"/>
          <c:tx>
            <c:strRef>
              <c:f>'Working sheet'!$A$91</c:f>
              <c:strCache>
                <c:ptCount val="1"/>
                <c:pt idx="0">
                  <c:v>Monaco</c:v>
                </c:pt>
              </c:strCache>
            </c:strRef>
          </c:tx>
          <c:spPr>
            <a:solidFill>
              <a:schemeClr val="accent2"/>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sheet'!$B$91:$AH$91</c:f>
              <c:numCache>
                <c:formatCode>#,##0</c:formatCode>
                <c:ptCount val="33"/>
                <c:pt idx="0">
                  <c:v>96.862763553138862</c:v>
                </c:pt>
                <c:pt idx="1">
                  <c:v>97.643884038361421</c:v>
                </c:pt>
                <c:pt idx="2">
                  <c:v>103.20957007325745</c:v>
                </c:pt>
                <c:pt idx="3">
                  <c:v>102.15327372188716</c:v>
                </c:pt>
                <c:pt idx="4">
                  <c:v>102.92326258761611</c:v>
                </c:pt>
                <c:pt idx="5">
                  <c:v>99.728647499005717</c:v>
                </c:pt>
                <c:pt idx="6">
                  <c:v>103.14413545981733</c:v>
                </c:pt>
                <c:pt idx="7">
                  <c:v>101.45216812465841</c:v>
                </c:pt>
                <c:pt idx="8">
                  <c:v>100.29713034832064</c:v>
                </c:pt>
                <c:pt idx="9">
                  <c:v>100.8789994266249</c:v>
                </c:pt>
                <c:pt idx="10">
                  <c:v>98.56334838063627</c:v>
                </c:pt>
                <c:pt idx="11">
                  <c:v>98.111889207725568</c:v>
                </c:pt>
                <c:pt idx="12">
                  <c:v>97.806793003566142</c:v>
                </c:pt>
                <c:pt idx="13">
                  <c:v>95.161623733499724</c:v>
                </c:pt>
                <c:pt idx="14">
                  <c:v>90.066474520083915</c:v>
                </c:pt>
                <c:pt idx="15">
                  <c:v>87.897127489093236</c:v>
                </c:pt>
                <c:pt idx="16">
                  <c:v>82.320780671543517</c:v>
                </c:pt>
                <c:pt idx="17">
                  <c:v>80.918142811870453</c:v>
                </c:pt>
                <c:pt idx="18">
                  <c:v>80.52690362024029</c:v>
                </c:pt>
                <c:pt idx="19">
                  <c:v>77.391125624850247</c:v>
                </c:pt>
                <c:pt idx="20">
                  <c:v>74.959623680937852</c:v>
                </c:pt>
                <c:pt idx="21">
                  <c:v>73.345912233922689</c:v>
                </c:pt>
                <c:pt idx="22">
                  <c:v>76.880228976504071</c:v>
                </c:pt>
                <c:pt idx="23">
                  <c:v>78.127303748409844</c:v>
                </c:pt>
                <c:pt idx="24">
                  <c:v>73.728859260918497</c:v>
                </c:pt>
                <c:pt idx="25">
                  <c:v>76.226829121416429</c:v>
                </c:pt>
                <c:pt idx="26">
                  <c:v>75.321401663014129</c:v>
                </c:pt>
                <c:pt idx="27">
                  <c:v>73.217619663768829</c:v>
                </c:pt>
                <c:pt idx="28">
                  <c:v>74.682882264743355</c:v>
                </c:pt>
                <c:pt idx="29">
                  <c:v>70.949988137088013</c:v>
                </c:pt>
                <c:pt idx="30">
                  <c:v>60.577978373136602</c:v>
                </c:pt>
                <c:pt idx="31">
                  <c:v>64.435036422232614</c:v>
                </c:pt>
                <c:pt idx="32">
                  <c:v>57.372103935026765</c:v>
                </c:pt>
              </c:numCache>
            </c:numRef>
          </c:val>
          <c:extLst>
            <c:ext xmlns:c16="http://schemas.microsoft.com/office/drawing/2014/chart" uri="{C3380CC4-5D6E-409C-BE32-E72D297353CC}">
              <c16:uniqueId val="{00000000-63CC-403E-83E4-1A7D3A50EC55}"/>
            </c:ext>
          </c:extLst>
        </c:ser>
        <c:ser>
          <c:idx val="1"/>
          <c:order val="1"/>
          <c:tx>
            <c:strRef>
              <c:f>'Working sheet'!$A$92</c:f>
              <c:strCache>
                <c:ptCount val="1"/>
                <c:pt idx="0">
                  <c:v>Liechtenstein</c:v>
                </c:pt>
              </c:strCache>
            </c:strRef>
          </c:tx>
          <c:spPr>
            <a:solidFill>
              <a:schemeClr val="accent4"/>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sheet'!$B$92:$AH$92</c:f>
              <c:numCache>
                <c:formatCode>#,##0</c:formatCode>
                <c:ptCount val="33"/>
                <c:pt idx="0">
                  <c:v>205.58454976702802</c:v>
                </c:pt>
                <c:pt idx="1">
                  <c:v>196.72047242405367</c:v>
                </c:pt>
                <c:pt idx="2">
                  <c:v>208.57655878902892</c:v>
                </c:pt>
                <c:pt idx="3">
                  <c:v>213.28611485904264</c:v>
                </c:pt>
                <c:pt idx="4">
                  <c:v>219.20116855183483</c:v>
                </c:pt>
                <c:pt idx="5">
                  <c:v>208.46983598970232</c:v>
                </c:pt>
                <c:pt idx="6">
                  <c:v>201.67221059982424</c:v>
                </c:pt>
                <c:pt idx="7">
                  <c:v>230.88979262080827</c:v>
                </c:pt>
                <c:pt idx="8">
                  <c:v>233.57184197489894</c:v>
                </c:pt>
                <c:pt idx="9">
                  <c:v>229.52331789324793</c:v>
                </c:pt>
                <c:pt idx="10">
                  <c:v>245.90539220593087</c:v>
                </c:pt>
                <c:pt idx="11">
                  <c:v>219.8073712805338</c:v>
                </c:pt>
                <c:pt idx="12">
                  <c:v>225.87751266437988</c:v>
                </c:pt>
                <c:pt idx="13">
                  <c:v>235.87073177756645</c:v>
                </c:pt>
                <c:pt idx="14">
                  <c:v>238.05256548579754</c:v>
                </c:pt>
                <c:pt idx="15">
                  <c:v>237.60708825919696</c:v>
                </c:pt>
                <c:pt idx="16">
                  <c:v>244.571151001868</c:v>
                </c:pt>
                <c:pt idx="17">
                  <c:v>223.45479078501606</c:v>
                </c:pt>
                <c:pt idx="18">
                  <c:v>244.26326686692573</c:v>
                </c:pt>
                <c:pt idx="19">
                  <c:v>226.51659948272976</c:v>
                </c:pt>
                <c:pt idx="20">
                  <c:v>210.34665825989777</c:v>
                </c:pt>
                <c:pt idx="21">
                  <c:v>199.96373773564881</c:v>
                </c:pt>
                <c:pt idx="22">
                  <c:v>208.62663594691816</c:v>
                </c:pt>
                <c:pt idx="23">
                  <c:v>208.0106816623196</c:v>
                </c:pt>
                <c:pt idx="24">
                  <c:v>176.46611454018935</c:v>
                </c:pt>
                <c:pt idx="25">
                  <c:v>171.67527530941234</c:v>
                </c:pt>
                <c:pt idx="26">
                  <c:v>159.5393173416393</c:v>
                </c:pt>
                <c:pt idx="27">
                  <c:v>166.60562982889778</c:v>
                </c:pt>
                <c:pt idx="28">
                  <c:v>164.57007558728048</c:v>
                </c:pt>
                <c:pt idx="29">
                  <c:v>160.26630710303905</c:v>
                </c:pt>
                <c:pt idx="30">
                  <c:v>142.77786224946951</c:v>
                </c:pt>
                <c:pt idx="31">
                  <c:v>142.14220593751131</c:v>
                </c:pt>
                <c:pt idx="32">
                  <c:v>126.85825749061858</c:v>
                </c:pt>
              </c:numCache>
            </c:numRef>
          </c:val>
          <c:extLst>
            <c:ext xmlns:c16="http://schemas.microsoft.com/office/drawing/2014/chart" uri="{C3380CC4-5D6E-409C-BE32-E72D297353CC}">
              <c16:uniqueId val="{00000001-63CC-403E-83E4-1A7D3A50EC55}"/>
            </c:ext>
          </c:extLst>
        </c:ser>
        <c:ser>
          <c:idx val="2"/>
          <c:order val="2"/>
          <c:tx>
            <c:strRef>
              <c:f>'Working sheet'!$A$93</c:f>
              <c:strCache>
                <c:ptCount val="1"/>
                <c:pt idx="0">
                  <c:v>New Zealand</c:v>
                </c:pt>
              </c:strCache>
            </c:strRef>
          </c:tx>
          <c:spPr>
            <a:solidFill>
              <a:schemeClr val="accent6"/>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sheet'!$B$93:$AH$93</c:f>
              <c:numCache>
                <c:formatCode>#,##0</c:formatCode>
                <c:ptCount val="33"/>
                <c:pt idx="0">
                  <c:v>804.19490472746838</c:v>
                </c:pt>
                <c:pt idx="1">
                  <c:v>-378.37059401035367</c:v>
                </c:pt>
                <c:pt idx="2">
                  <c:v>2344.3273685670974</c:v>
                </c:pt>
                <c:pt idx="3">
                  <c:v>1506.9620187038781</c:v>
                </c:pt>
                <c:pt idx="4">
                  <c:v>2319.7289953898908</c:v>
                </c:pt>
                <c:pt idx="5">
                  <c:v>3848.128605617665</c:v>
                </c:pt>
                <c:pt idx="6">
                  <c:v>5894.0808967502053</c:v>
                </c:pt>
                <c:pt idx="7">
                  <c:v>7205.7819823602731</c:v>
                </c:pt>
                <c:pt idx="8">
                  <c:v>5145.8432197129005</c:v>
                </c:pt>
                <c:pt idx="9">
                  <c:v>4345.3953710550959</c:v>
                </c:pt>
                <c:pt idx="10">
                  <c:v>4446.7517624986467</c:v>
                </c:pt>
                <c:pt idx="11">
                  <c:v>6316.3158994714722</c:v>
                </c:pt>
                <c:pt idx="12">
                  <c:v>8036.2522989608842</c:v>
                </c:pt>
                <c:pt idx="13">
                  <c:v>8983.1379307113566</c:v>
                </c:pt>
                <c:pt idx="14">
                  <c:v>8808.7108088529531</c:v>
                </c:pt>
                <c:pt idx="15">
                  <c:v>12700.364983438085</c:v>
                </c:pt>
                <c:pt idx="16">
                  <c:v>14712.281927053875</c:v>
                </c:pt>
                <c:pt idx="17">
                  <c:v>15839.393649512516</c:v>
                </c:pt>
                <c:pt idx="18">
                  <c:v>8310.4031111584409</c:v>
                </c:pt>
                <c:pt idx="19">
                  <c:v>6556.8195556117171</c:v>
                </c:pt>
                <c:pt idx="20">
                  <c:v>5820.6851076443563</c:v>
                </c:pt>
                <c:pt idx="21">
                  <c:v>5147.1696895709101</c:v>
                </c:pt>
                <c:pt idx="22">
                  <c:v>10049.84988987611</c:v>
                </c:pt>
                <c:pt idx="23">
                  <c:v>9314.1284288712304</c:v>
                </c:pt>
                <c:pt idx="24">
                  <c:v>9575.1523425953128</c:v>
                </c:pt>
                <c:pt idx="25">
                  <c:v>9865.6317079050932</c:v>
                </c:pt>
                <c:pt idx="26">
                  <c:v>8832.9339424128157</c:v>
                </c:pt>
                <c:pt idx="27">
                  <c:v>11889.485468258314</c:v>
                </c:pt>
                <c:pt idx="28">
                  <c:v>12973.511322762126</c:v>
                </c:pt>
                <c:pt idx="29">
                  <c:v>14806.004284417348</c:v>
                </c:pt>
                <c:pt idx="30">
                  <c:v>12618.067728962036</c:v>
                </c:pt>
                <c:pt idx="31">
                  <c:v>13551.358778690934</c:v>
                </c:pt>
                <c:pt idx="32">
                  <c:v>12019.144996010771</c:v>
                </c:pt>
              </c:numCache>
            </c:numRef>
          </c:val>
          <c:extLst>
            <c:ext xmlns:c16="http://schemas.microsoft.com/office/drawing/2014/chart" uri="{C3380CC4-5D6E-409C-BE32-E72D297353CC}">
              <c16:uniqueId val="{00000002-63CC-403E-83E4-1A7D3A50EC55}"/>
            </c:ext>
          </c:extLst>
        </c:ser>
        <c:ser>
          <c:idx val="3"/>
          <c:order val="3"/>
          <c:tx>
            <c:strRef>
              <c:f>'Working sheet'!$A$94</c:f>
              <c:strCache>
                <c:ptCount val="1"/>
                <c:pt idx="0">
                  <c:v>Iceland</c:v>
                </c:pt>
              </c:strCache>
            </c:strRef>
          </c:tx>
          <c:spPr>
            <a:solidFill>
              <a:schemeClr val="accent2">
                <a:lumMod val="6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sheet'!$B$94:$AH$94</c:f>
              <c:numCache>
                <c:formatCode>#,##0</c:formatCode>
                <c:ptCount val="33"/>
                <c:pt idx="0">
                  <c:v>8174.4056690151119</c:v>
                </c:pt>
                <c:pt idx="1">
                  <c:v>8056.6014334438551</c:v>
                </c:pt>
                <c:pt idx="2">
                  <c:v>8192.8557738643794</c:v>
                </c:pt>
                <c:pt idx="3">
                  <c:v>8351.694374853445</c:v>
                </c:pt>
                <c:pt idx="4">
                  <c:v>8292.5126528964338</c:v>
                </c:pt>
                <c:pt idx="5">
                  <c:v>8398.015455782177</c:v>
                </c:pt>
                <c:pt idx="6">
                  <c:v>8443.572133179754</c:v>
                </c:pt>
                <c:pt idx="7">
                  <c:v>8533.5003290554487</c:v>
                </c:pt>
                <c:pt idx="8">
                  <c:v>8554.1335248824507</c:v>
                </c:pt>
                <c:pt idx="9">
                  <c:v>8763.4803632070525</c:v>
                </c:pt>
                <c:pt idx="10">
                  <c:v>8865.8860410250818</c:v>
                </c:pt>
                <c:pt idx="11">
                  <c:v>8809.0519759454419</c:v>
                </c:pt>
                <c:pt idx="12">
                  <c:v>8952.6449459858813</c:v>
                </c:pt>
                <c:pt idx="13">
                  <c:v>8943.8897564101735</c:v>
                </c:pt>
                <c:pt idx="14">
                  <c:v>9065.1225376649891</c:v>
                </c:pt>
                <c:pt idx="15">
                  <c:v>8933.3930389385769</c:v>
                </c:pt>
                <c:pt idx="16">
                  <c:v>9151.7692887157682</c:v>
                </c:pt>
                <c:pt idx="17">
                  <c:v>9403.9924903146566</c:v>
                </c:pt>
                <c:pt idx="18">
                  <c:v>9763.7960342511742</c:v>
                </c:pt>
                <c:pt idx="19">
                  <c:v>9730.1899373332744</c:v>
                </c:pt>
                <c:pt idx="20">
                  <c:v>9606.6814331592395</c:v>
                </c:pt>
                <c:pt idx="21">
                  <c:v>9463.5796358044863</c:v>
                </c:pt>
                <c:pt idx="22">
                  <c:v>9464.8324132711459</c:v>
                </c:pt>
                <c:pt idx="23">
                  <c:v>9454.8936819798364</c:v>
                </c:pt>
                <c:pt idx="24">
                  <c:v>9406.3704361558976</c:v>
                </c:pt>
                <c:pt idx="25">
                  <c:v>9493.4959983174776</c:v>
                </c:pt>
                <c:pt idx="26">
                  <c:v>9427.5605637253593</c:v>
                </c:pt>
                <c:pt idx="27">
                  <c:v>9517.3780815977916</c:v>
                </c:pt>
                <c:pt idx="28">
                  <c:v>9561.0323188737639</c:v>
                </c:pt>
                <c:pt idx="29">
                  <c:v>9462.8739053600766</c:v>
                </c:pt>
                <c:pt idx="30">
                  <c:v>9265.7896233878637</c:v>
                </c:pt>
                <c:pt idx="31">
                  <c:v>9431.0733344894215</c:v>
                </c:pt>
                <c:pt idx="32">
                  <c:v>9541.9791294024326</c:v>
                </c:pt>
              </c:numCache>
            </c:numRef>
          </c:val>
          <c:extLst>
            <c:ext xmlns:c16="http://schemas.microsoft.com/office/drawing/2014/chart" uri="{C3380CC4-5D6E-409C-BE32-E72D297353CC}">
              <c16:uniqueId val="{00000003-63CC-403E-83E4-1A7D3A50EC55}"/>
            </c:ext>
          </c:extLst>
        </c:ser>
        <c:ser>
          <c:idx val="4"/>
          <c:order val="4"/>
          <c:tx>
            <c:strRef>
              <c:f>'Working sheet'!$A$95</c:f>
              <c:strCache>
                <c:ptCount val="1"/>
                <c:pt idx="0">
                  <c:v>Belarus</c:v>
                </c:pt>
              </c:strCache>
            </c:strRef>
          </c:tx>
          <c:spPr>
            <a:solidFill>
              <a:schemeClr val="accent4">
                <a:lumMod val="6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sheet'!$B$95:$AH$95</c:f>
              <c:numCache>
                <c:formatCode>#,##0</c:formatCode>
                <c:ptCount val="33"/>
                <c:pt idx="0">
                  <c:v>88600.470209013176</c:v>
                </c:pt>
                <c:pt idx="1">
                  <c:v>82014.713894240733</c:v>
                </c:pt>
                <c:pt idx="2">
                  <c:v>71744.335150528859</c:v>
                </c:pt>
                <c:pt idx="3">
                  <c:v>64693.481212303806</c:v>
                </c:pt>
                <c:pt idx="4">
                  <c:v>42716.663102795392</c:v>
                </c:pt>
                <c:pt idx="5">
                  <c:v>35011.933344289726</c:v>
                </c:pt>
                <c:pt idx="6">
                  <c:v>36500.384413778171</c:v>
                </c:pt>
                <c:pt idx="7">
                  <c:v>37256.089899406688</c:v>
                </c:pt>
                <c:pt idx="8">
                  <c:v>37271.294689104099</c:v>
                </c:pt>
                <c:pt idx="9">
                  <c:v>29244.589829493587</c:v>
                </c:pt>
                <c:pt idx="10">
                  <c:v>24987.943470078506</c:v>
                </c:pt>
                <c:pt idx="11">
                  <c:v>25280.705571268867</c:v>
                </c:pt>
                <c:pt idx="12">
                  <c:v>26670.940273560722</c:v>
                </c:pt>
                <c:pt idx="13">
                  <c:v>30626.983150700362</c:v>
                </c:pt>
                <c:pt idx="14">
                  <c:v>31320.164042880569</c:v>
                </c:pt>
                <c:pt idx="15">
                  <c:v>30686.066327763841</c:v>
                </c:pt>
                <c:pt idx="16">
                  <c:v>30323.511699050283</c:v>
                </c:pt>
                <c:pt idx="17">
                  <c:v>26736.933677551118</c:v>
                </c:pt>
                <c:pt idx="18">
                  <c:v>29386.025718343619</c:v>
                </c:pt>
                <c:pt idx="19">
                  <c:v>23133.510200806813</c:v>
                </c:pt>
                <c:pt idx="20">
                  <c:v>21640.613404333715</c:v>
                </c:pt>
                <c:pt idx="21">
                  <c:v>21467.215683772352</c:v>
                </c:pt>
                <c:pt idx="22">
                  <c:v>24356.166725784089</c:v>
                </c:pt>
                <c:pt idx="23">
                  <c:v>23857.907828843228</c:v>
                </c:pt>
                <c:pt idx="24">
                  <c:v>24283.748202193841</c:v>
                </c:pt>
                <c:pt idx="25">
                  <c:v>21773.289402839808</c:v>
                </c:pt>
                <c:pt idx="26">
                  <c:v>25546.619817311603</c:v>
                </c:pt>
                <c:pt idx="27">
                  <c:v>31993.853827878207</c:v>
                </c:pt>
                <c:pt idx="28">
                  <c:v>33305.475415232468</c:v>
                </c:pt>
                <c:pt idx="29">
                  <c:v>37607.132588104047</c:v>
                </c:pt>
                <c:pt idx="30">
                  <c:v>32046.547769727975</c:v>
                </c:pt>
                <c:pt idx="31">
                  <c:v>28367.549190974925</c:v>
                </c:pt>
                <c:pt idx="32">
                  <c:v>25020.929934791755</c:v>
                </c:pt>
              </c:numCache>
            </c:numRef>
          </c:val>
          <c:extLst>
            <c:ext xmlns:c16="http://schemas.microsoft.com/office/drawing/2014/chart" uri="{C3380CC4-5D6E-409C-BE32-E72D297353CC}">
              <c16:uniqueId val="{00000004-63CC-403E-83E4-1A7D3A50EC55}"/>
            </c:ext>
          </c:extLst>
        </c:ser>
        <c:ser>
          <c:idx val="5"/>
          <c:order val="5"/>
          <c:tx>
            <c:strRef>
              <c:f>'Working sheet'!$A$96</c:f>
              <c:strCache>
                <c:ptCount val="1"/>
                <c:pt idx="0">
                  <c:v>Switzerland</c:v>
                </c:pt>
              </c:strCache>
            </c:strRef>
          </c:tx>
          <c:spPr>
            <a:solidFill>
              <a:schemeClr val="accent6">
                <a:lumMod val="6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sheet'!$B$96:$AH$96</c:f>
              <c:numCache>
                <c:formatCode>#,##0</c:formatCode>
                <c:ptCount val="33"/>
                <c:pt idx="0">
                  <c:v>41101.096524178625</c:v>
                </c:pt>
                <c:pt idx="1">
                  <c:v>40048.89895828232</c:v>
                </c:pt>
                <c:pt idx="2">
                  <c:v>41550.409534367056</c:v>
                </c:pt>
                <c:pt idx="3">
                  <c:v>38240.024522207284</c:v>
                </c:pt>
                <c:pt idx="4">
                  <c:v>39650.54563593131</c:v>
                </c:pt>
                <c:pt idx="5">
                  <c:v>39036.733489456012</c:v>
                </c:pt>
                <c:pt idx="6">
                  <c:v>37795.037123454538</c:v>
                </c:pt>
                <c:pt idx="7">
                  <c:v>39043.123216954722</c:v>
                </c:pt>
                <c:pt idx="8">
                  <c:v>41397.334476328841</c:v>
                </c:pt>
                <c:pt idx="9">
                  <c:v>42628.263898754711</c:v>
                </c:pt>
                <c:pt idx="10">
                  <c:v>47970.96872931187</c:v>
                </c:pt>
                <c:pt idx="11">
                  <c:v>44282.858308141513</c:v>
                </c:pt>
                <c:pt idx="12">
                  <c:v>40863.634183973962</c:v>
                </c:pt>
                <c:pt idx="13">
                  <c:v>42635.996512359816</c:v>
                </c:pt>
                <c:pt idx="14">
                  <c:v>41741.867389819832</c:v>
                </c:pt>
                <c:pt idx="15">
                  <c:v>42506.030415039131</c:v>
                </c:pt>
                <c:pt idx="16">
                  <c:v>44792.763437582274</c:v>
                </c:pt>
                <c:pt idx="17">
                  <c:v>42480.345918365085</c:v>
                </c:pt>
                <c:pt idx="18">
                  <c:v>42590.81240400915</c:v>
                </c:pt>
                <c:pt idx="19">
                  <c:v>41071.538927800248</c:v>
                </c:pt>
                <c:pt idx="20">
                  <c:v>41855.837841838009</c:v>
                </c:pt>
                <c:pt idx="21">
                  <c:v>39770.706206662202</c:v>
                </c:pt>
                <c:pt idx="22">
                  <c:v>40537.163072015581</c:v>
                </c:pt>
                <c:pt idx="23">
                  <c:v>41300.983470254687</c:v>
                </c:pt>
                <c:pt idx="24">
                  <c:v>38456.161112955058</c:v>
                </c:pt>
                <c:pt idx="25">
                  <c:v>37114.257431099853</c:v>
                </c:pt>
                <c:pt idx="26">
                  <c:v>37068.15272051761</c:v>
                </c:pt>
                <c:pt idx="27">
                  <c:v>36771.916001628546</c:v>
                </c:pt>
                <c:pt idx="28">
                  <c:v>36913.189753476683</c:v>
                </c:pt>
                <c:pt idx="29">
                  <c:v>36030.866707978857</c:v>
                </c:pt>
                <c:pt idx="30">
                  <c:v>33516.484167836657</c:v>
                </c:pt>
                <c:pt idx="31">
                  <c:v>34443.997588833539</c:v>
                </c:pt>
                <c:pt idx="32">
                  <c:v>33183.45087530381</c:v>
                </c:pt>
              </c:numCache>
            </c:numRef>
          </c:val>
          <c:extLst>
            <c:ext xmlns:c16="http://schemas.microsoft.com/office/drawing/2014/chart" uri="{C3380CC4-5D6E-409C-BE32-E72D297353CC}">
              <c16:uniqueId val="{00000005-63CC-403E-83E4-1A7D3A50EC55}"/>
            </c:ext>
          </c:extLst>
        </c:ser>
        <c:ser>
          <c:idx val="6"/>
          <c:order val="6"/>
          <c:tx>
            <c:strRef>
              <c:f>'Working sheet'!$A$97</c:f>
              <c:strCache>
                <c:ptCount val="1"/>
                <c:pt idx="0">
                  <c:v>Norway</c:v>
                </c:pt>
              </c:strCache>
            </c:strRef>
          </c:tx>
          <c:spPr>
            <a:solidFill>
              <a:schemeClr val="accent2">
                <a:lumMod val="80000"/>
                <a:lumOff val="2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sheet'!$B$97:$AH$97</c:f>
              <c:numCache>
                <c:formatCode>#,##0</c:formatCode>
                <c:ptCount val="33"/>
                <c:pt idx="0">
                  <c:v>22348.77252917425</c:v>
                </c:pt>
                <c:pt idx="1">
                  <c:v>19703.03027623349</c:v>
                </c:pt>
                <c:pt idx="2">
                  <c:v>21034.311487798252</c:v>
                </c:pt>
                <c:pt idx="3">
                  <c:v>21621.896848269702</c:v>
                </c:pt>
                <c:pt idx="4">
                  <c:v>24674.411561306384</c:v>
                </c:pt>
                <c:pt idx="5">
                  <c:v>22745.798201472302</c:v>
                </c:pt>
                <c:pt idx="6">
                  <c:v>30219.828434470604</c:v>
                </c:pt>
                <c:pt idx="7">
                  <c:v>27478.898582418577</c:v>
                </c:pt>
                <c:pt idx="8">
                  <c:v>26394.485005188384</c:v>
                </c:pt>
                <c:pt idx="9">
                  <c:v>21738.100180616602</c:v>
                </c:pt>
                <c:pt idx="10">
                  <c:v>23824.844290812682</c:v>
                </c:pt>
                <c:pt idx="11">
                  <c:v>20402.399153788258</c:v>
                </c:pt>
                <c:pt idx="12">
                  <c:v>18215.192471761242</c:v>
                </c:pt>
                <c:pt idx="13">
                  <c:v>20483.391396676692</c:v>
                </c:pt>
                <c:pt idx="14">
                  <c:v>20411.34043149032</c:v>
                </c:pt>
                <c:pt idx="15">
                  <c:v>17610.521394738491</c:v>
                </c:pt>
                <c:pt idx="16">
                  <c:v>23146.360567203188</c:v>
                </c:pt>
                <c:pt idx="17">
                  <c:v>23382.90161436619</c:v>
                </c:pt>
                <c:pt idx="18">
                  <c:v>17599.635635521256</c:v>
                </c:pt>
                <c:pt idx="19">
                  <c:v>17440.035242302092</c:v>
                </c:pt>
                <c:pt idx="20">
                  <c:v>18708.759600714999</c:v>
                </c:pt>
                <c:pt idx="21">
                  <c:v>18586.562858475339</c:v>
                </c:pt>
                <c:pt idx="22">
                  <c:v>18985.747801430189</c:v>
                </c:pt>
                <c:pt idx="23">
                  <c:v>22708.712333096792</c:v>
                </c:pt>
                <c:pt idx="24">
                  <c:v>25464.299776765914</c:v>
                </c:pt>
                <c:pt idx="25">
                  <c:v>29818.485151606979</c:v>
                </c:pt>
                <c:pt idx="26">
                  <c:v>30363.528892945291</c:v>
                </c:pt>
                <c:pt idx="27">
                  <c:v>27572.034419536416</c:v>
                </c:pt>
                <c:pt idx="28">
                  <c:v>30766.751664831521</c:v>
                </c:pt>
                <c:pt idx="29">
                  <c:v>33420.122946078023</c:v>
                </c:pt>
                <c:pt idx="30">
                  <c:v>24481.775895129911</c:v>
                </c:pt>
                <c:pt idx="31">
                  <c:v>28693.019318818529</c:v>
                </c:pt>
                <c:pt idx="32">
                  <c:v>26481.439215265516</c:v>
                </c:pt>
              </c:numCache>
            </c:numRef>
          </c:val>
          <c:extLst>
            <c:ext xmlns:c16="http://schemas.microsoft.com/office/drawing/2014/chart" uri="{C3380CC4-5D6E-409C-BE32-E72D297353CC}">
              <c16:uniqueId val="{00000006-63CC-403E-83E4-1A7D3A50EC55}"/>
            </c:ext>
          </c:extLst>
        </c:ser>
        <c:ser>
          <c:idx val="7"/>
          <c:order val="7"/>
          <c:tx>
            <c:strRef>
              <c:f>'Working sheet'!$A$98</c:f>
              <c:strCache>
                <c:ptCount val="1"/>
                <c:pt idx="0">
                  <c:v>Ukraine</c:v>
                </c:pt>
              </c:strCache>
            </c:strRef>
          </c:tx>
          <c:spPr>
            <a:solidFill>
              <a:schemeClr val="accent4">
                <a:lumMod val="80000"/>
                <a:lumOff val="2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sheet'!$B$98:$AH$98</c:f>
              <c:numCache>
                <c:formatCode>#,##0</c:formatCode>
                <c:ptCount val="33"/>
                <c:pt idx="0">
                  <c:v>659261.64757352171</c:v>
                </c:pt>
                <c:pt idx="1">
                  <c:v>578166.46554473927</c:v>
                </c:pt>
                <c:pt idx="2">
                  <c:v>535990.68998824817</c:v>
                </c:pt>
                <c:pt idx="3">
                  <c:v>462943.92250105581</c:v>
                </c:pt>
                <c:pt idx="4">
                  <c:v>370133.44189573015</c:v>
                </c:pt>
                <c:pt idx="5">
                  <c:v>344574.63415848266</c:v>
                </c:pt>
                <c:pt idx="6">
                  <c:v>312592.20198265644</c:v>
                </c:pt>
                <c:pt idx="7">
                  <c:v>307252.62444121391</c:v>
                </c:pt>
                <c:pt idx="8">
                  <c:v>291311.71486939763</c:v>
                </c:pt>
                <c:pt idx="9">
                  <c:v>259081.90358043078</c:v>
                </c:pt>
                <c:pt idx="10">
                  <c:v>252575.08262025067</c:v>
                </c:pt>
                <c:pt idx="11">
                  <c:v>279142.16753250366</c:v>
                </c:pt>
                <c:pt idx="12">
                  <c:v>273500.94136251888</c:v>
                </c:pt>
                <c:pt idx="13">
                  <c:v>275197.93339339615</c:v>
                </c:pt>
                <c:pt idx="14">
                  <c:v>292041.57915403653</c:v>
                </c:pt>
                <c:pt idx="15">
                  <c:v>295486.29961476545</c:v>
                </c:pt>
                <c:pt idx="16">
                  <c:v>310967.04677888699</c:v>
                </c:pt>
                <c:pt idx="17">
                  <c:v>313475.04480365751</c:v>
                </c:pt>
                <c:pt idx="18">
                  <c:v>315625.4925450625</c:v>
                </c:pt>
                <c:pt idx="19">
                  <c:v>262006.93257553739</c:v>
                </c:pt>
                <c:pt idx="20">
                  <c:v>273529.10625313636</c:v>
                </c:pt>
                <c:pt idx="21">
                  <c:v>301574.22650090558</c:v>
                </c:pt>
                <c:pt idx="22">
                  <c:v>293829.60338372615</c:v>
                </c:pt>
                <c:pt idx="23">
                  <c:v>299225.99094033806</c:v>
                </c:pt>
                <c:pt idx="24">
                  <c:v>260540.4834712056</c:v>
                </c:pt>
                <c:pt idx="25">
                  <c:v>228043.97049344683</c:v>
                </c:pt>
                <c:pt idx="26">
                  <c:v>240248.26602232381</c:v>
                </c:pt>
                <c:pt idx="27">
                  <c:v>220831.75726235969</c:v>
                </c:pt>
                <c:pt idx="28">
                  <c:v>239069.11365151344</c:v>
                </c:pt>
                <c:pt idx="29">
                  <c:v>227299.56515219677</c:v>
                </c:pt>
                <c:pt idx="30">
                  <c:v>191204.99040454888</c:v>
                </c:pt>
                <c:pt idx="31">
                  <c:v>205439.82893854106</c:v>
                </c:pt>
                <c:pt idx="32">
                  <c:v>127732.85702847769</c:v>
                </c:pt>
              </c:numCache>
            </c:numRef>
          </c:val>
          <c:extLst>
            <c:ext xmlns:c16="http://schemas.microsoft.com/office/drawing/2014/chart" uri="{C3380CC4-5D6E-409C-BE32-E72D297353CC}">
              <c16:uniqueId val="{00000007-63CC-403E-83E4-1A7D3A50EC55}"/>
            </c:ext>
          </c:extLst>
        </c:ser>
        <c:ser>
          <c:idx val="8"/>
          <c:order val="8"/>
          <c:tx>
            <c:strRef>
              <c:f>'Working sheet'!$A$99</c:f>
              <c:strCache>
                <c:ptCount val="1"/>
                <c:pt idx="0">
                  <c:v>Kazakhstan</c:v>
                </c:pt>
              </c:strCache>
            </c:strRef>
          </c:tx>
          <c:spPr>
            <a:solidFill>
              <a:schemeClr val="accent6">
                <a:lumMod val="80000"/>
                <a:lumOff val="2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sheet'!$B$99:$AH$99</c:f>
              <c:numCache>
                <c:formatCode>#,##0</c:formatCode>
                <c:ptCount val="33"/>
                <c:pt idx="0">
                  <c:v>262589.04276168003</c:v>
                </c:pt>
                <c:pt idx="1">
                  <c:v>255790.27733344358</c:v>
                </c:pt>
                <c:pt idx="2">
                  <c:v>229086.25483674236</c:v>
                </c:pt>
                <c:pt idx="3">
                  <c:v>203309.40931605667</c:v>
                </c:pt>
                <c:pt idx="4">
                  <c:v>179367.26839289974</c:v>
                </c:pt>
                <c:pt idx="5">
                  <c:v>182110.70559263829</c:v>
                </c:pt>
                <c:pt idx="6">
                  <c:v>177304.20311893773</c:v>
                </c:pt>
                <c:pt idx="7">
                  <c:v>178825.65245614888</c:v>
                </c:pt>
                <c:pt idx="8">
                  <c:v>186103.33411825253</c:v>
                </c:pt>
                <c:pt idx="9">
                  <c:v>155893.70475067102</c:v>
                </c:pt>
                <c:pt idx="10">
                  <c:v>175982.63923901189</c:v>
                </c:pt>
                <c:pt idx="11">
                  <c:v>171408.89621364311</c:v>
                </c:pt>
                <c:pt idx="12">
                  <c:v>189726.9772329132</c:v>
                </c:pt>
                <c:pt idx="13">
                  <c:v>207567.66618401214</c:v>
                </c:pt>
                <c:pt idx="14">
                  <c:v>224215.38705652553</c:v>
                </c:pt>
                <c:pt idx="15">
                  <c:v>243382.09796053611</c:v>
                </c:pt>
                <c:pt idx="16">
                  <c:v>270730.23537760793</c:v>
                </c:pt>
                <c:pt idx="17">
                  <c:v>274637.20948813838</c:v>
                </c:pt>
                <c:pt idx="18">
                  <c:v>272854.59378163965</c:v>
                </c:pt>
                <c:pt idx="19">
                  <c:v>265297.92289645772</c:v>
                </c:pt>
                <c:pt idx="20">
                  <c:v>285899.95204348845</c:v>
                </c:pt>
                <c:pt idx="21">
                  <c:v>264228.20636762946</c:v>
                </c:pt>
                <c:pt idx="22">
                  <c:v>259755.32834091817</c:v>
                </c:pt>
                <c:pt idx="23">
                  <c:v>256495.03254511487</c:v>
                </c:pt>
                <c:pt idx="24">
                  <c:v>305704.81604848104</c:v>
                </c:pt>
                <c:pt idx="25">
                  <c:v>313477.18640911637</c:v>
                </c:pt>
                <c:pt idx="26">
                  <c:v>315811.63472565665</c:v>
                </c:pt>
                <c:pt idx="27">
                  <c:v>335557.44038270228</c:v>
                </c:pt>
                <c:pt idx="28">
                  <c:v>351146.1317627274</c:v>
                </c:pt>
                <c:pt idx="29">
                  <c:v>315164.73560495389</c:v>
                </c:pt>
                <c:pt idx="30">
                  <c:v>297752.82299400924</c:v>
                </c:pt>
                <c:pt idx="31">
                  <c:v>249480.85946379392</c:v>
                </c:pt>
                <c:pt idx="32">
                  <c:v>278292.07611730829</c:v>
                </c:pt>
              </c:numCache>
            </c:numRef>
          </c:val>
          <c:extLst>
            <c:ext xmlns:c16="http://schemas.microsoft.com/office/drawing/2014/chart" uri="{C3380CC4-5D6E-409C-BE32-E72D297353CC}">
              <c16:uniqueId val="{00000008-63CC-403E-83E4-1A7D3A50EC55}"/>
            </c:ext>
          </c:extLst>
        </c:ser>
        <c:ser>
          <c:idx val="9"/>
          <c:order val="9"/>
          <c:tx>
            <c:strRef>
              <c:f>'Working sheet'!$A$100</c:f>
              <c:strCache>
                <c:ptCount val="1"/>
                <c:pt idx="0">
                  <c:v>Turkey</c:v>
                </c:pt>
              </c:strCache>
            </c:strRef>
          </c:tx>
          <c:spPr>
            <a:solidFill>
              <a:schemeClr val="accent2">
                <a:lumMod val="8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sheet'!$B$100:$AH$100</c:f>
              <c:numCache>
                <c:formatCode>#,##0</c:formatCode>
                <c:ptCount val="33"/>
                <c:pt idx="0">
                  <c:v>87568.376569147717</c:v>
                </c:pt>
                <c:pt idx="1">
                  <c:v>93070.735045485766</c:v>
                </c:pt>
                <c:pt idx="2">
                  <c:v>99116.917933367513</c:v>
                </c:pt>
                <c:pt idx="3">
                  <c:v>106949.17736993641</c:v>
                </c:pt>
                <c:pt idx="4">
                  <c:v>101667.29130433807</c:v>
                </c:pt>
                <c:pt idx="5">
                  <c:v>116108.41128433486</c:v>
                </c:pt>
                <c:pt idx="6">
                  <c:v>135099.5894196493</c:v>
                </c:pt>
                <c:pt idx="7">
                  <c:v>144409.18266009426</c:v>
                </c:pt>
                <c:pt idx="8">
                  <c:v>144333.80148544375</c:v>
                </c:pt>
                <c:pt idx="9">
                  <c:v>139392.11373007152</c:v>
                </c:pt>
                <c:pt idx="10">
                  <c:v>163915.42353887123</c:v>
                </c:pt>
                <c:pt idx="11">
                  <c:v>145481.04816225069</c:v>
                </c:pt>
                <c:pt idx="12">
                  <c:v>154262.16551938915</c:v>
                </c:pt>
                <c:pt idx="13">
                  <c:v>167859.99158169513</c:v>
                </c:pt>
                <c:pt idx="14">
                  <c:v>177177.71653727669</c:v>
                </c:pt>
                <c:pt idx="15">
                  <c:v>194724.3883888406</c:v>
                </c:pt>
                <c:pt idx="16">
                  <c:v>212924.35977244034</c:v>
                </c:pt>
                <c:pt idx="17">
                  <c:v>243520.35478855768</c:v>
                </c:pt>
                <c:pt idx="18">
                  <c:v>243455.00212882581</c:v>
                </c:pt>
                <c:pt idx="19">
                  <c:v>246677.37638307235</c:v>
                </c:pt>
                <c:pt idx="20">
                  <c:v>245436.83175915043</c:v>
                </c:pt>
                <c:pt idx="21">
                  <c:v>267337.33773339516</c:v>
                </c:pt>
                <c:pt idx="22">
                  <c:v>283874.26553644746</c:v>
                </c:pt>
                <c:pt idx="23">
                  <c:v>272630.47881748562</c:v>
                </c:pt>
                <c:pt idx="24">
                  <c:v>288739.19765086233</c:v>
                </c:pt>
                <c:pt idx="25">
                  <c:v>313402.04036712676</c:v>
                </c:pt>
                <c:pt idx="26">
                  <c:v>330781.57869668928</c:v>
                </c:pt>
                <c:pt idx="27">
                  <c:v>353190.01081671583</c:v>
                </c:pt>
                <c:pt idx="28">
                  <c:v>351687.57078043203</c:v>
                </c:pt>
                <c:pt idx="29">
                  <c:v>339887.10676988639</c:v>
                </c:pt>
                <c:pt idx="30">
                  <c:v>356519.13782412134</c:v>
                </c:pt>
                <c:pt idx="31">
                  <c:v>406152.84269016725</c:v>
                </c:pt>
                <c:pt idx="32">
                  <c:v>385185.31164616998</c:v>
                </c:pt>
              </c:numCache>
            </c:numRef>
          </c:val>
          <c:extLst>
            <c:ext xmlns:c16="http://schemas.microsoft.com/office/drawing/2014/chart" uri="{C3380CC4-5D6E-409C-BE32-E72D297353CC}">
              <c16:uniqueId val="{00000009-63CC-403E-83E4-1A7D3A50EC55}"/>
            </c:ext>
          </c:extLst>
        </c:ser>
        <c:ser>
          <c:idx val="10"/>
          <c:order val="10"/>
          <c:tx>
            <c:strRef>
              <c:f>'Working sheet'!$A$101</c:f>
              <c:strCache>
                <c:ptCount val="1"/>
                <c:pt idx="0">
                  <c:v>Australia</c:v>
                </c:pt>
              </c:strCache>
            </c:strRef>
          </c:tx>
          <c:spPr>
            <a:solidFill>
              <a:schemeClr val="accent4">
                <a:lumMod val="8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sheet'!$B$101:$AH$101</c:f>
              <c:numCache>
                <c:formatCode>#,##0</c:formatCode>
                <c:ptCount val="33"/>
                <c:pt idx="0">
                  <c:v>431510</c:v>
                </c:pt>
                <c:pt idx="1">
                  <c:v>413318</c:v>
                </c:pt>
                <c:pt idx="2">
                  <c:v>375937</c:v>
                </c:pt>
                <c:pt idx="3">
                  <c:v>359755</c:v>
                </c:pt>
                <c:pt idx="4">
                  <c:v>354738</c:v>
                </c:pt>
                <c:pt idx="5">
                  <c:v>345200</c:v>
                </c:pt>
                <c:pt idx="6">
                  <c:v>345876</c:v>
                </c:pt>
                <c:pt idx="7">
                  <c:v>340403</c:v>
                </c:pt>
                <c:pt idx="8">
                  <c:v>357127</c:v>
                </c:pt>
                <c:pt idx="9">
                  <c:v>379961</c:v>
                </c:pt>
                <c:pt idx="10">
                  <c:v>393288</c:v>
                </c:pt>
                <c:pt idx="11">
                  <c:v>410626</c:v>
                </c:pt>
                <c:pt idx="12">
                  <c:v>415879</c:v>
                </c:pt>
                <c:pt idx="13">
                  <c:v>423081</c:v>
                </c:pt>
                <c:pt idx="14">
                  <c:v>406361</c:v>
                </c:pt>
                <c:pt idx="15">
                  <c:v>437317</c:v>
                </c:pt>
                <c:pt idx="16">
                  <c:v>473020</c:v>
                </c:pt>
                <c:pt idx="17">
                  <c:v>453220</c:v>
                </c:pt>
                <c:pt idx="18">
                  <c:v>445086</c:v>
                </c:pt>
                <c:pt idx="19">
                  <c:v>438634</c:v>
                </c:pt>
                <c:pt idx="20">
                  <c:v>442716</c:v>
                </c:pt>
                <c:pt idx="21">
                  <c:v>407763</c:v>
                </c:pt>
                <c:pt idx="22">
                  <c:v>385962</c:v>
                </c:pt>
                <c:pt idx="23">
                  <c:v>389542</c:v>
                </c:pt>
                <c:pt idx="24">
                  <c:v>372215</c:v>
                </c:pt>
                <c:pt idx="25">
                  <c:v>368260</c:v>
                </c:pt>
                <c:pt idx="26">
                  <c:v>327830</c:v>
                </c:pt>
                <c:pt idx="27">
                  <c:v>362225</c:v>
                </c:pt>
                <c:pt idx="28">
                  <c:v>337302</c:v>
                </c:pt>
                <c:pt idx="29">
                  <c:v>333157</c:v>
                </c:pt>
                <c:pt idx="30">
                  <c:v>320425</c:v>
                </c:pt>
                <c:pt idx="31">
                  <c:v>283374</c:v>
                </c:pt>
                <c:pt idx="32">
                  <c:v>278682</c:v>
                </c:pt>
              </c:numCache>
            </c:numRef>
          </c:val>
          <c:extLst>
            <c:ext xmlns:c16="http://schemas.microsoft.com/office/drawing/2014/chart" uri="{C3380CC4-5D6E-409C-BE32-E72D297353CC}">
              <c16:uniqueId val="{0000000A-63CC-403E-83E4-1A7D3A50EC55}"/>
            </c:ext>
          </c:extLst>
        </c:ser>
        <c:ser>
          <c:idx val="11"/>
          <c:order val="11"/>
          <c:tx>
            <c:strRef>
              <c:f>'Working sheet'!$A$102</c:f>
              <c:strCache>
                <c:ptCount val="1"/>
                <c:pt idx="0">
                  <c:v>Canada</c:v>
                </c:pt>
              </c:strCache>
            </c:strRef>
          </c:tx>
          <c:spPr>
            <a:solidFill>
              <a:schemeClr val="accent6">
                <a:lumMod val="8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sheet'!$B$102:$AH$102</c:f>
              <c:numCache>
                <c:formatCode>#,##0</c:formatCode>
                <c:ptCount val="33"/>
                <c:pt idx="0">
                  <c:v>506039.30675705505</c:v>
                </c:pt>
                <c:pt idx="1">
                  <c:v>490864.01679897099</c:v>
                </c:pt>
                <c:pt idx="2">
                  <c:v>515704.25924163294</c:v>
                </c:pt>
                <c:pt idx="3">
                  <c:v>529556.49831429438</c:v>
                </c:pt>
                <c:pt idx="4">
                  <c:v>531986.02757305384</c:v>
                </c:pt>
                <c:pt idx="5">
                  <c:v>555122.59594327363</c:v>
                </c:pt>
                <c:pt idx="6">
                  <c:v>561809.48863362486</c:v>
                </c:pt>
                <c:pt idx="7">
                  <c:v>574644.12631624762</c:v>
                </c:pt>
                <c:pt idx="8">
                  <c:v>575528.13453145674</c:v>
                </c:pt>
                <c:pt idx="9">
                  <c:v>593975.25990873971</c:v>
                </c:pt>
                <c:pt idx="10">
                  <c:v>622157.25757266476</c:v>
                </c:pt>
                <c:pt idx="11">
                  <c:v>597027.67396679905</c:v>
                </c:pt>
                <c:pt idx="12">
                  <c:v>632077.11363523966</c:v>
                </c:pt>
                <c:pt idx="13">
                  <c:v>645867.35005741939</c:v>
                </c:pt>
                <c:pt idx="14">
                  <c:v>641073.57771808608</c:v>
                </c:pt>
                <c:pt idx="15">
                  <c:v>637490.48532000114</c:v>
                </c:pt>
                <c:pt idx="16">
                  <c:v>614057.65674812219</c:v>
                </c:pt>
                <c:pt idx="17">
                  <c:v>636519.88641337096</c:v>
                </c:pt>
                <c:pt idx="18">
                  <c:v>613843.18519676349</c:v>
                </c:pt>
                <c:pt idx="19">
                  <c:v>552845.07535976905</c:v>
                </c:pt>
                <c:pt idx="20">
                  <c:v>593041.78971899138</c:v>
                </c:pt>
                <c:pt idx="21">
                  <c:v>604263.13527437556</c:v>
                </c:pt>
                <c:pt idx="22">
                  <c:v>589861.72041566647</c:v>
                </c:pt>
                <c:pt idx="23">
                  <c:v>596729.69378464576</c:v>
                </c:pt>
                <c:pt idx="24">
                  <c:v>570872.15627951559</c:v>
                </c:pt>
                <c:pt idx="25">
                  <c:v>607613.03865702427</c:v>
                </c:pt>
                <c:pt idx="26">
                  <c:v>584530.64776475623</c:v>
                </c:pt>
                <c:pt idx="27">
                  <c:v>587469.98842661898</c:v>
                </c:pt>
                <c:pt idx="28">
                  <c:v>600920.22572056798</c:v>
                </c:pt>
                <c:pt idx="29">
                  <c:v>594686.71676036203</c:v>
                </c:pt>
                <c:pt idx="30">
                  <c:v>551339.42180727818</c:v>
                </c:pt>
                <c:pt idx="31">
                  <c:v>552920.88461287506</c:v>
                </c:pt>
                <c:pt idx="32">
                  <c:v>601179.87736172485</c:v>
                </c:pt>
              </c:numCache>
            </c:numRef>
          </c:val>
          <c:extLst>
            <c:ext xmlns:c16="http://schemas.microsoft.com/office/drawing/2014/chart" uri="{C3380CC4-5D6E-409C-BE32-E72D297353CC}">
              <c16:uniqueId val="{0000000B-63CC-403E-83E4-1A7D3A50EC55}"/>
            </c:ext>
          </c:extLst>
        </c:ser>
        <c:ser>
          <c:idx val="12"/>
          <c:order val="12"/>
          <c:tx>
            <c:strRef>
              <c:f>'Working sheet'!$A$103</c:f>
              <c:strCache>
                <c:ptCount val="1"/>
                <c:pt idx="0">
                  <c:v>Japan</c:v>
                </c:pt>
              </c:strCache>
            </c:strRef>
          </c:tx>
          <c:spPr>
            <a:solidFill>
              <a:schemeClr val="accent2">
                <a:lumMod val="60000"/>
                <a:lumOff val="4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sheet'!$B$103:$AH$103</c:f>
              <c:numCache>
                <c:formatCode>#,##0</c:formatCode>
                <c:ptCount val="33"/>
                <c:pt idx="0">
                  <c:v>1083678.1591756663</c:v>
                </c:pt>
                <c:pt idx="1">
                  <c:v>1089827.8542042135</c:v>
                </c:pt>
                <c:pt idx="2">
                  <c:v>1095825.8277016839</c:v>
                </c:pt>
                <c:pt idx="3">
                  <c:v>1085608.3751414602</c:v>
                </c:pt>
                <c:pt idx="4">
                  <c:v>1140728.1930217713</c:v>
                </c:pt>
                <c:pt idx="5">
                  <c:v>1153351.1437192126</c:v>
                </c:pt>
                <c:pt idx="6">
                  <c:v>1164688.8872728245</c:v>
                </c:pt>
                <c:pt idx="7">
                  <c:v>1156595.7457021989</c:v>
                </c:pt>
                <c:pt idx="8">
                  <c:v>1116649.4477444473</c:v>
                </c:pt>
                <c:pt idx="9">
                  <c:v>1153827.5027686309</c:v>
                </c:pt>
                <c:pt idx="10">
                  <c:v>1175482.3116314183</c:v>
                </c:pt>
                <c:pt idx="11">
                  <c:v>1160175.6133769453</c:v>
                </c:pt>
                <c:pt idx="12">
                  <c:v>1188163.1058178495</c:v>
                </c:pt>
                <c:pt idx="13">
                  <c:v>1186910.8306431491</c:v>
                </c:pt>
                <c:pt idx="14">
                  <c:v>1185659.3821127189</c:v>
                </c:pt>
                <c:pt idx="15">
                  <c:v>1198740.596739793</c:v>
                </c:pt>
                <c:pt idx="16">
                  <c:v>1180280.0184829098</c:v>
                </c:pt>
                <c:pt idx="17">
                  <c:v>1220701.9062014411</c:v>
                </c:pt>
                <c:pt idx="18">
                  <c:v>1154523.0216927656</c:v>
                </c:pt>
                <c:pt idx="19">
                  <c:v>1088317.5571118754</c:v>
                </c:pt>
                <c:pt idx="20">
                  <c:v>1135460.7078147677</c:v>
                </c:pt>
                <c:pt idx="21">
                  <c:v>1186529.2132593929</c:v>
                </c:pt>
                <c:pt idx="22">
                  <c:v>1224805.2261132605</c:v>
                </c:pt>
                <c:pt idx="23">
                  <c:v>1241424.9365978243</c:v>
                </c:pt>
                <c:pt idx="24">
                  <c:v>1193509.7384712072</c:v>
                </c:pt>
                <c:pt idx="25">
                  <c:v>1158831.272597465</c:v>
                </c:pt>
                <c:pt idx="26">
                  <c:v>1142676.6108972083</c:v>
                </c:pt>
                <c:pt idx="27">
                  <c:v>1123503.6764523429</c:v>
                </c:pt>
                <c:pt idx="28">
                  <c:v>1079185.3200052709</c:v>
                </c:pt>
                <c:pt idx="29">
                  <c:v>1047718.8485552778</c:v>
                </c:pt>
                <c:pt idx="30">
                  <c:v>981690.46975684073</c:v>
                </c:pt>
                <c:pt idx="31">
                  <c:v>1003093.5783694166</c:v>
                </c:pt>
                <c:pt idx="32">
                  <c:v>981200.91634440213</c:v>
                </c:pt>
              </c:numCache>
            </c:numRef>
          </c:val>
          <c:extLst>
            <c:ext xmlns:c16="http://schemas.microsoft.com/office/drawing/2014/chart" uri="{C3380CC4-5D6E-409C-BE32-E72D297353CC}">
              <c16:uniqueId val="{0000000C-63CC-403E-83E4-1A7D3A50EC55}"/>
            </c:ext>
          </c:extLst>
        </c:ser>
        <c:ser>
          <c:idx val="13"/>
          <c:order val="13"/>
          <c:tx>
            <c:strRef>
              <c:f>'Working sheet'!$A$104</c:f>
              <c:strCache>
                <c:ptCount val="1"/>
                <c:pt idx="0">
                  <c:v>Russia</c:v>
                </c:pt>
              </c:strCache>
            </c:strRef>
          </c:tx>
          <c:spPr>
            <a:solidFill>
              <a:schemeClr val="accent4">
                <a:lumMod val="60000"/>
                <a:lumOff val="4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sheet'!$B$104:$AH$104</c:f>
              <c:numCache>
                <c:formatCode>#,##0</c:formatCode>
                <c:ptCount val="33"/>
                <c:pt idx="0">
                  <c:v>1975406.4090171738</c:v>
                </c:pt>
                <c:pt idx="1">
                  <c:v>1779137.5779415022</c:v>
                </c:pt>
                <c:pt idx="2">
                  <c:v>1293763.8982735896</c:v>
                </c:pt>
                <c:pt idx="3">
                  <c:v>993751.43801366794</c:v>
                </c:pt>
                <c:pt idx="4">
                  <c:v>616442.39500674023</c:v>
                </c:pt>
                <c:pt idx="5">
                  <c:v>493022.31185521325</c:v>
                </c:pt>
                <c:pt idx="6">
                  <c:v>423483.19694275269</c:v>
                </c:pt>
                <c:pt idx="7">
                  <c:v>257732.69748257101</c:v>
                </c:pt>
                <c:pt idx="8">
                  <c:v>201356.38053765241</c:v>
                </c:pt>
                <c:pt idx="9">
                  <c:v>160234.31159789232</c:v>
                </c:pt>
                <c:pt idx="10">
                  <c:v>166700.17074568849</c:v>
                </c:pt>
                <c:pt idx="11">
                  <c:v>80741.062374222092</c:v>
                </c:pt>
                <c:pt idx="12">
                  <c:v>30101.439768899698</c:v>
                </c:pt>
                <c:pt idx="13">
                  <c:v>-30233.826499137562</c:v>
                </c:pt>
                <c:pt idx="14">
                  <c:v>-172318.87826842512</c:v>
                </c:pt>
                <c:pt idx="15">
                  <c:v>-152342.3304030695</c:v>
                </c:pt>
                <c:pt idx="16">
                  <c:v>-15427.947799919872</c:v>
                </c:pt>
                <c:pt idx="17">
                  <c:v>-118714.20046606427</c:v>
                </c:pt>
                <c:pt idx="18">
                  <c:v>-37375.508861718699</c:v>
                </c:pt>
                <c:pt idx="19">
                  <c:v>-201654.7223780246</c:v>
                </c:pt>
                <c:pt idx="20">
                  <c:v>-174961.4133522911</c:v>
                </c:pt>
                <c:pt idx="21">
                  <c:v>239897.31569598918</c:v>
                </c:pt>
                <c:pt idx="22">
                  <c:v>650485.80788306543</c:v>
                </c:pt>
                <c:pt idx="23">
                  <c:v>226086.60430725361</c:v>
                </c:pt>
                <c:pt idx="24">
                  <c:v>356197.81605830556</c:v>
                </c:pt>
                <c:pt idx="25">
                  <c:v>390344.77231054357</c:v>
                </c:pt>
                <c:pt idx="26">
                  <c:v>484584.92132448219</c:v>
                </c:pt>
                <c:pt idx="27">
                  <c:v>437838.18760507414</c:v>
                </c:pt>
                <c:pt idx="28">
                  <c:v>594303.59962425451</c:v>
                </c:pt>
                <c:pt idx="29">
                  <c:v>733885.98548629531</c:v>
                </c:pt>
                <c:pt idx="30">
                  <c:v>409382.63124771975</c:v>
                </c:pt>
                <c:pt idx="31">
                  <c:v>703864.10242710088</c:v>
                </c:pt>
                <c:pt idx="32">
                  <c:v>413174.45053673326</c:v>
                </c:pt>
              </c:numCache>
            </c:numRef>
          </c:val>
          <c:extLst>
            <c:ext xmlns:c16="http://schemas.microsoft.com/office/drawing/2014/chart" uri="{C3380CC4-5D6E-409C-BE32-E72D297353CC}">
              <c16:uniqueId val="{0000000D-63CC-403E-83E4-1A7D3A50EC55}"/>
            </c:ext>
          </c:extLst>
        </c:ser>
        <c:ser>
          <c:idx val="14"/>
          <c:order val="14"/>
          <c:tx>
            <c:strRef>
              <c:f>'Working sheet'!$A$105</c:f>
              <c:strCache>
                <c:ptCount val="1"/>
                <c:pt idx="0">
                  <c:v>European Union (excl. UK)</c:v>
                </c:pt>
              </c:strCache>
            </c:strRef>
          </c:tx>
          <c:spPr>
            <a:solidFill>
              <a:schemeClr val="accent6">
                <a:lumMod val="60000"/>
                <a:lumOff val="4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sheet'!$B$105:$AH$105</c:f>
              <c:numCache>
                <c:formatCode>#,##0</c:formatCode>
                <c:ptCount val="33"/>
                <c:pt idx="0">
                  <c:v>3627466.9048564783</c:v>
                </c:pt>
                <c:pt idx="1">
                  <c:v>3464021.1826447691</c:v>
                </c:pt>
                <c:pt idx="2">
                  <c:v>3365178.1477964963</c:v>
                </c:pt>
                <c:pt idx="3">
                  <c:v>3282183.6547343913</c:v>
                </c:pt>
                <c:pt idx="4">
                  <c:v>3269916.5994308731</c:v>
                </c:pt>
                <c:pt idx="5">
                  <c:v>3293996.1970242313</c:v>
                </c:pt>
                <c:pt idx="6">
                  <c:v>3352484.3842393374</c:v>
                </c:pt>
                <c:pt idx="7">
                  <c:v>3294148.7611091472</c:v>
                </c:pt>
                <c:pt idx="8">
                  <c:v>3273961.320958762</c:v>
                </c:pt>
                <c:pt idx="9">
                  <c:v>3207405.6179119549</c:v>
                </c:pt>
                <c:pt idx="10">
                  <c:v>3268524.643456256</c:v>
                </c:pt>
                <c:pt idx="11">
                  <c:v>3279032.5417442489</c:v>
                </c:pt>
                <c:pt idx="12">
                  <c:v>3311172.2588812243</c:v>
                </c:pt>
                <c:pt idx="13">
                  <c:v>3399845.6505031316</c:v>
                </c:pt>
                <c:pt idx="14">
                  <c:v>3372837.8870822252</c:v>
                </c:pt>
                <c:pt idx="15">
                  <c:v>3368146.2346299342</c:v>
                </c:pt>
                <c:pt idx="16">
                  <c:v>3381141.3745696507</c:v>
                </c:pt>
                <c:pt idx="17">
                  <c:v>3380379.2901851418</c:v>
                </c:pt>
                <c:pt idx="18">
                  <c:v>3257010.0871259635</c:v>
                </c:pt>
                <c:pt idx="19">
                  <c:v>2964679.9437220157</c:v>
                </c:pt>
                <c:pt idx="20">
                  <c:v>3056367.8636230635</c:v>
                </c:pt>
                <c:pt idx="21">
                  <c:v>2965653.9879263211</c:v>
                </c:pt>
                <c:pt idx="22">
                  <c:v>2901048.6797953933</c:v>
                </c:pt>
                <c:pt idx="23">
                  <c:v>2805829.7931401506</c:v>
                </c:pt>
                <c:pt idx="24">
                  <c:v>2686444.1423318875</c:v>
                </c:pt>
                <c:pt idx="25">
                  <c:v>2752771.4689760483</c:v>
                </c:pt>
                <c:pt idx="26">
                  <c:v>2755099.1658572238</c:v>
                </c:pt>
                <c:pt idx="27">
                  <c:v>2846057.4834386972</c:v>
                </c:pt>
                <c:pt idx="28">
                  <c:v>2774184.8788484028</c:v>
                </c:pt>
                <c:pt idx="29">
                  <c:v>2642188.0750595271</c:v>
                </c:pt>
                <c:pt idx="30">
                  <c:v>2363937.6089436309</c:v>
                </c:pt>
                <c:pt idx="31">
                  <c:v>2541511.418458127</c:v>
                </c:pt>
                <c:pt idx="32">
                  <c:v>2477871.1719774883</c:v>
                </c:pt>
              </c:numCache>
            </c:numRef>
          </c:val>
          <c:extLst>
            <c:ext xmlns:c16="http://schemas.microsoft.com/office/drawing/2014/chart" uri="{C3380CC4-5D6E-409C-BE32-E72D297353CC}">
              <c16:uniqueId val="{0000000E-63CC-403E-83E4-1A7D3A50EC55}"/>
            </c:ext>
          </c:extLst>
        </c:ser>
        <c:ser>
          <c:idx val="15"/>
          <c:order val="15"/>
          <c:tx>
            <c:strRef>
              <c:f>'Working sheet'!$A$106</c:f>
              <c:strCache>
                <c:ptCount val="1"/>
                <c:pt idx="0">
                  <c:v>United States of America</c:v>
                </c:pt>
              </c:strCache>
            </c:strRef>
          </c:tx>
          <c:spPr>
            <a:solidFill>
              <a:schemeClr val="accent2">
                <a:lumMod val="5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sheet'!$B$106:$AH$106</c:f>
              <c:numCache>
                <c:formatCode>#,##0</c:formatCode>
                <c:ptCount val="33"/>
                <c:pt idx="0">
                  <c:v>4096971.4653060297</c:v>
                </c:pt>
                <c:pt idx="1">
                  <c:v>4030711.6151476419</c:v>
                </c:pt>
                <c:pt idx="2">
                  <c:v>4117600.6004296774</c:v>
                </c:pt>
                <c:pt idx="3">
                  <c:v>4233771.3591422653</c:v>
                </c:pt>
                <c:pt idx="4">
                  <c:v>4299170.6797823906</c:v>
                </c:pt>
                <c:pt idx="5">
                  <c:v>4392036.9793988075</c:v>
                </c:pt>
                <c:pt idx="6">
                  <c:v>4533242.4327330673</c:v>
                </c:pt>
                <c:pt idx="7">
                  <c:v>4634830.9509111205</c:v>
                </c:pt>
                <c:pt idx="8">
                  <c:v>4685861.4177436456</c:v>
                </c:pt>
                <c:pt idx="9">
                  <c:v>4773904.6877538003</c:v>
                </c:pt>
                <c:pt idx="10">
                  <c:v>4976358.9775897637</c:v>
                </c:pt>
                <c:pt idx="11">
                  <c:v>4867406.6257021371</c:v>
                </c:pt>
                <c:pt idx="12">
                  <c:v>4956044.4732357254</c:v>
                </c:pt>
                <c:pt idx="13">
                  <c:v>4986591.5966010662</c:v>
                </c:pt>
                <c:pt idx="14">
                  <c:v>5174663.1317794267</c:v>
                </c:pt>
                <c:pt idx="15">
                  <c:v>5150286.1664341316</c:v>
                </c:pt>
                <c:pt idx="16">
                  <c:v>5031451.0077294959</c:v>
                </c:pt>
                <c:pt idx="17">
                  <c:v>5155265.7214950668</c:v>
                </c:pt>
                <c:pt idx="18">
                  <c:v>4946140.2842590772</c:v>
                </c:pt>
                <c:pt idx="19">
                  <c:v>4571073.8100196831</c:v>
                </c:pt>
                <c:pt idx="20">
                  <c:v>4727173.4682388529</c:v>
                </c:pt>
                <c:pt idx="21">
                  <c:v>4538479.1474057436</c:v>
                </c:pt>
                <c:pt idx="22">
                  <c:v>4341504.7670758702</c:v>
                </c:pt>
                <c:pt idx="23">
                  <c:v>4524295.9010299779</c:v>
                </c:pt>
                <c:pt idx="24">
                  <c:v>4549515.4758482687</c:v>
                </c:pt>
                <c:pt idx="25">
                  <c:v>4472086.3017035155</c:v>
                </c:pt>
                <c:pt idx="26">
                  <c:v>4272635.7317269221</c:v>
                </c:pt>
                <c:pt idx="27">
                  <c:v>4204656.2251248611</c:v>
                </c:pt>
                <c:pt idx="28">
                  <c:v>4383903.756448823</c:v>
                </c:pt>
                <c:pt idx="29">
                  <c:v>4312880.8107896736</c:v>
                </c:pt>
                <c:pt idx="30">
                  <c:v>3716203.7491012323</c:v>
                </c:pt>
                <c:pt idx="31">
                  <c:v>4033783.8986624405</c:v>
                </c:pt>
                <c:pt idx="32">
                  <c:v>4131226.9255022826</c:v>
                </c:pt>
              </c:numCache>
            </c:numRef>
          </c:val>
          <c:extLst>
            <c:ext xmlns:c16="http://schemas.microsoft.com/office/drawing/2014/chart" uri="{C3380CC4-5D6E-409C-BE32-E72D297353CC}">
              <c16:uniqueId val="{0000000F-63CC-403E-83E4-1A7D3A50EC55}"/>
            </c:ext>
          </c:extLst>
        </c:ser>
        <c:ser>
          <c:idx val="16"/>
          <c:order val="16"/>
          <c:tx>
            <c:strRef>
              <c:f>'Working sheet'!$A$107</c:f>
              <c:strCache>
                <c:ptCount val="1"/>
                <c:pt idx="0">
                  <c:v>United Kingdom</c:v>
                </c:pt>
              </c:strCache>
            </c:strRef>
          </c:tx>
          <c:spPr>
            <a:solidFill>
              <a:schemeClr val="accent4">
                <a:lumMod val="50000"/>
              </a:schemeClr>
            </a:solidFill>
            <a:ln>
              <a:noFill/>
            </a:ln>
            <a:effectLst/>
          </c:spPr>
          <c:invertIfNegative val="0"/>
          <c:cat>
            <c:numRef>
              <c:f>'Working sheet'!$B$90:$AH$90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'Working sheet'!$B$107:$AH$107</c:f>
              <c:numCache>
                <c:formatCode>#,##0_);[Red]\(#,##0\)</c:formatCode>
                <c:ptCount val="33"/>
                <c:pt idx="0">
                  <c:v>606965.86465709098</c:v>
                </c:pt>
                <c:pt idx="1">
                  <c:v>613983.37291909242</c:v>
                </c:pt>
                <c:pt idx="2">
                  <c:v>597538.58829106716</c:v>
                </c:pt>
                <c:pt idx="3">
                  <c:v>582943.98640801059</c:v>
                </c:pt>
                <c:pt idx="4">
                  <c:v>576588.51903708756</c:v>
                </c:pt>
                <c:pt idx="5">
                  <c:v>568777.25675062463</c:v>
                </c:pt>
                <c:pt idx="6">
                  <c:v>588472.95165455597</c:v>
                </c:pt>
                <c:pt idx="7">
                  <c:v>564494.50990620116</c:v>
                </c:pt>
                <c:pt idx="8">
                  <c:v>569039.72810241289</c:v>
                </c:pt>
                <c:pt idx="9">
                  <c:v>561691.25128014351</c:v>
                </c:pt>
                <c:pt idx="10">
                  <c:v>569253.66544111155</c:v>
                </c:pt>
                <c:pt idx="11">
                  <c:v>577731.94642587891</c:v>
                </c:pt>
                <c:pt idx="12">
                  <c:v>559553.35874280054</c:v>
                </c:pt>
                <c:pt idx="13">
                  <c:v>570215.29762400733</c:v>
                </c:pt>
                <c:pt idx="14">
                  <c:v>571554.30783686414</c:v>
                </c:pt>
                <c:pt idx="15">
                  <c:v>567982.9977046909</c:v>
                </c:pt>
                <c:pt idx="16">
                  <c:v>565199.84378520399</c:v>
                </c:pt>
                <c:pt idx="17">
                  <c:v>556636.17452189268</c:v>
                </c:pt>
                <c:pt idx="18">
                  <c:v>541457.15526131564</c:v>
                </c:pt>
                <c:pt idx="19">
                  <c:v>490401.91848926217</c:v>
                </c:pt>
                <c:pt idx="20">
                  <c:v>508207.92614396662</c:v>
                </c:pt>
                <c:pt idx="21">
                  <c:v>465113.9009295638</c:v>
                </c:pt>
                <c:pt idx="22">
                  <c:v>483009.29506256373</c:v>
                </c:pt>
                <c:pt idx="23">
                  <c:v>472909.72084907844</c:v>
                </c:pt>
                <c:pt idx="24">
                  <c:v>433539.26434826409</c:v>
                </c:pt>
                <c:pt idx="25">
                  <c:v>417393.68516015238</c:v>
                </c:pt>
                <c:pt idx="26">
                  <c:v>392801.27679250442</c:v>
                </c:pt>
                <c:pt idx="27">
                  <c:v>380873.22127761459</c:v>
                </c:pt>
                <c:pt idx="28">
                  <c:v>375333.62064994185</c:v>
                </c:pt>
                <c:pt idx="29">
                  <c:v>362093.83101027005</c:v>
                </c:pt>
                <c:pt idx="30">
                  <c:v>321931.18227907008</c:v>
                </c:pt>
                <c:pt idx="31">
                  <c:v>340055.61156689364</c:v>
                </c:pt>
                <c:pt idx="32">
                  <c:v>327309.86258391174</c:v>
                </c:pt>
              </c:numCache>
            </c:numRef>
          </c:val>
          <c:extLst>
            <c:ext xmlns:c16="http://schemas.microsoft.com/office/drawing/2014/chart" uri="{C3380CC4-5D6E-409C-BE32-E72D297353CC}">
              <c16:uniqueId val="{00000001-206C-4FA6-AB4D-60AA32275572}"/>
            </c:ext>
          </c:extLst>
        </c:ser>
        <c:dLbls>
          <c:showLegendKey val="0"/>
          <c:showVal val="0"/>
          <c:showCatName val="0"/>
          <c:showSerName val="0"/>
          <c:showPercent val="0"/>
          <c:showBubbleSize val="0"/>
        </c:dLbls>
        <c:gapWidth val="150"/>
        <c:overlap val="100"/>
        <c:axId val="280082016"/>
        <c:axId val="280082576"/>
      </c:barChart>
      <c:catAx>
        <c:axId val="2800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80082576"/>
        <c:crosses val="autoZero"/>
        <c:auto val="1"/>
        <c:lblAlgn val="ctr"/>
        <c:lblOffset val="100"/>
        <c:noMultiLvlLbl val="0"/>
      </c:catAx>
      <c:valAx>
        <c:axId val="28008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280082016"/>
        <c:crosses val="autoZero"/>
        <c:crossBetween val="between"/>
      </c:valAx>
      <c:spPr>
        <a:noFill/>
        <a:ln>
          <a:noFill/>
        </a:ln>
        <a:effectLst/>
      </c:spPr>
    </c:plotArea>
    <c:legend>
      <c:legendPos val="r"/>
      <c:layout>
        <c:manualLayout>
          <c:xMode val="edge"/>
          <c:yMode val="edge"/>
          <c:x val="0.79879913183642581"/>
          <c:y val="4.5005086144514254E-2"/>
          <c:w val="0.20120086816357419"/>
          <c:h val="0.89352408178859155"/>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9</xdr:col>
      <xdr:colOff>12700</xdr:colOff>
      <xdr:row>1</xdr:row>
      <xdr:rowOff>392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
          <a:ext cx="7124700" cy="3530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136</xdr:row>
      <xdr:rowOff>1680</xdr:rowOff>
    </xdr:from>
    <xdr:to>
      <xdr:col>12</xdr:col>
      <xdr:colOff>1</xdr:colOff>
      <xdr:row>157</xdr:row>
      <xdr:rowOff>11206</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107</xdr:row>
      <xdr:rowOff>11205</xdr:rowOff>
    </xdr:from>
    <xdr:to>
      <xdr:col>12</xdr:col>
      <xdr:colOff>11206</xdr:colOff>
      <xdr:row>133</xdr:row>
      <xdr:rowOff>161716</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xdr:row>
      <xdr:rowOff>11208</xdr:rowOff>
    </xdr:from>
    <xdr:to>
      <xdr:col>12</xdr:col>
      <xdr:colOff>1344</xdr:colOff>
      <xdr:row>27</xdr:row>
      <xdr:rowOff>11207</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5975</xdr:rowOff>
    </xdr:from>
    <xdr:to>
      <xdr:col>12</xdr:col>
      <xdr:colOff>0</xdr:colOff>
      <xdr:row>52</xdr:row>
      <xdr:rowOff>156881</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55</xdr:row>
      <xdr:rowOff>0</xdr:rowOff>
    </xdr:from>
    <xdr:to>
      <xdr:col>12</xdr:col>
      <xdr:colOff>0</xdr:colOff>
      <xdr:row>79</xdr:row>
      <xdr:rowOff>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81</xdr:row>
      <xdr:rowOff>7471</xdr:rowOff>
    </xdr:from>
    <xdr:to>
      <xdr:col>12</xdr:col>
      <xdr:colOff>0</xdr:colOff>
      <xdr:row>106</xdr:row>
      <xdr:rowOff>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324851"/>
  </sheetPr>
  <dimension ref="A1:Y43"/>
  <sheetViews>
    <sheetView tabSelected="1" topLeftCell="A27" zoomScaleNormal="100" zoomScaleSheetLayoutView="110" workbookViewId="0">
      <selection activeCell="N33" sqref="N33"/>
    </sheetView>
  </sheetViews>
  <sheetFormatPr defaultColWidth="9" defaultRowHeight="13.5"/>
  <cols>
    <col min="1" max="1" width="7.125" style="9" customWidth="1"/>
    <col min="2" max="2" width="7.75" style="9" customWidth="1"/>
    <col min="3" max="3" width="12.5" style="9" customWidth="1"/>
    <col min="4" max="4" width="15.75" style="9" customWidth="1"/>
    <col min="5" max="5" width="26.75" style="9" customWidth="1"/>
    <col min="6" max="6" width="6.375" style="9" customWidth="1"/>
    <col min="7" max="7" width="3.125" style="9" customWidth="1"/>
    <col min="8" max="8" width="4.5" style="9" customWidth="1"/>
    <col min="9" max="9" width="9.125" style="9" customWidth="1"/>
    <col min="10" max="13" width="9" style="9"/>
    <col min="14" max="14" width="9.75" style="9" customWidth="1"/>
    <col min="15" max="15" width="20.625" style="9" customWidth="1"/>
    <col min="16" max="16384" width="9" style="9"/>
  </cols>
  <sheetData>
    <row r="1" spans="1:25" ht="278.25" customHeight="1">
      <c r="A1" s="171"/>
      <c r="B1" s="171"/>
      <c r="C1" s="171"/>
      <c r="D1" s="171"/>
      <c r="E1" s="171"/>
      <c r="F1" s="171"/>
      <c r="G1" s="171"/>
      <c r="H1" s="171"/>
      <c r="I1" s="171"/>
      <c r="J1" s="15"/>
      <c r="K1" s="15"/>
      <c r="L1" s="15"/>
      <c r="M1" s="15"/>
      <c r="N1" s="15"/>
      <c r="O1" s="15"/>
      <c r="P1" s="15"/>
      <c r="Q1" s="15"/>
      <c r="R1" s="15"/>
      <c r="S1" s="15"/>
      <c r="T1" s="15"/>
      <c r="U1" s="15"/>
      <c r="V1" s="15"/>
      <c r="W1" s="15"/>
      <c r="X1" s="15"/>
      <c r="Y1" s="15"/>
    </row>
    <row r="2" spans="1:25" ht="18.75" customHeight="1">
      <c r="A2" s="175" t="s">
        <v>11</v>
      </c>
      <c r="B2" s="176"/>
      <c r="C2" s="176"/>
      <c r="D2" s="176"/>
      <c r="E2" s="176"/>
      <c r="F2" s="176"/>
      <c r="G2" s="176"/>
      <c r="H2" s="176"/>
      <c r="I2" s="177"/>
      <c r="J2" s="15"/>
      <c r="K2" s="15"/>
      <c r="L2" s="15"/>
      <c r="M2" s="15"/>
      <c r="N2" s="15"/>
      <c r="O2" s="15"/>
      <c r="P2" s="15"/>
      <c r="Q2" s="15"/>
      <c r="R2" s="15"/>
      <c r="S2" s="15"/>
      <c r="T2" s="15"/>
      <c r="U2" s="15"/>
      <c r="V2" s="15"/>
      <c r="W2" s="15"/>
      <c r="X2" s="15"/>
      <c r="Y2" s="15"/>
    </row>
    <row r="3" spans="1:25" ht="76.5" customHeight="1">
      <c r="A3" s="178" t="s">
        <v>161</v>
      </c>
      <c r="B3" s="179"/>
      <c r="C3" s="180"/>
      <c r="D3" s="180"/>
      <c r="E3" s="180"/>
      <c r="F3" s="180"/>
      <c r="G3" s="180"/>
      <c r="H3" s="180"/>
      <c r="I3" s="181"/>
      <c r="J3" s="15"/>
      <c r="K3" s="15"/>
      <c r="L3" s="15"/>
      <c r="M3" s="15"/>
      <c r="N3" s="15"/>
      <c r="O3" s="15"/>
      <c r="P3" s="15"/>
      <c r="Q3" s="15"/>
      <c r="R3" s="15"/>
      <c r="S3" s="15"/>
      <c r="T3" s="15"/>
      <c r="U3" s="15"/>
      <c r="V3" s="15"/>
      <c r="W3" s="15"/>
      <c r="X3" s="15"/>
      <c r="Y3" s="15"/>
    </row>
    <row r="4" spans="1:25" ht="16.5" customHeight="1">
      <c r="A4" s="172" t="s">
        <v>45</v>
      </c>
      <c r="B4" s="173"/>
      <c r="C4" s="173"/>
      <c r="D4" s="173"/>
      <c r="E4" s="173"/>
      <c r="F4" s="173"/>
      <c r="G4" s="173"/>
      <c r="H4" s="173"/>
      <c r="I4" s="174"/>
      <c r="J4" s="15"/>
      <c r="K4" s="15"/>
      <c r="L4" s="15"/>
      <c r="M4" s="15"/>
      <c r="N4" s="15"/>
      <c r="O4" s="15"/>
      <c r="P4" s="15"/>
      <c r="Q4" s="15"/>
      <c r="R4" s="15"/>
      <c r="S4" s="15"/>
      <c r="T4" s="15"/>
      <c r="U4" s="15"/>
      <c r="V4" s="15"/>
      <c r="W4" s="15"/>
      <c r="X4" s="15"/>
      <c r="Y4" s="15"/>
    </row>
    <row r="5" spans="1:25" ht="33" customHeight="1">
      <c r="A5" s="192" t="s">
        <v>98</v>
      </c>
      <c r="B5" s="193"/>
      <c r="C5" s="193"/>
      <c r="D5" s="179" t="s">
        <v>44</v>
      </c>
      <c r="E5" s="179"/>
      <c r="F5" s="179"/>
      <c r="G5" s="179"/>
      <c r="H5" s="179"/>
      <c r="I5" s="188"/>
      <c r="J5" s="15"/>
      <c r="K5" s="15"/>
      <c r="L5" s="15"/>
      <c r="M5" s="15"/>
      <c r="N5" s="15"/>
      <c r="O5" s="15"/>
      <c r="P5" s="15"/>
      <c r="Q5" s="15"/>
      <c r="R5" s="15"/>
      <c r="S5" s="15"/>
      <c r="T5" s="15"/>
      <c r="U5" s="15"/>
      <c r="V5" s="15"/>
      <c r="W5" s="15"/>
      <c r="X5" s="15"/>
      <c r="Y5" s="15"/>
    </row>
    <row r="6" spans="1:25" ht="101.65" customHeight="1">
      <c r="A6" s="192" t="s">
        <v>91</v>
      </c>
      <c r="B6" s="193"/>
      <c r="C6" s="193"/>
      <c r="D6" s="179" t="s">
        <v>129</v>
      </c>
      <c r="E6" s="179"/>
      <c r="F6" s="179"/>
      <c r="G6" s="179"/>
      <c r="H6" s="179"/>
      <c r="I6" s="188"/>
      <c r="J6" s="15"/>
      <c r="K6" s="15"/>
      <c r="L6" s="15"/>
      <c r="M6" s="15"/>
      <c r="N6" s="15"/>
      <c r="O6" s="15"/>
      <c r="P6" s="15"/>
      <c r="Q6" s="15"/>
      <c r="R6" s="15"/>
      <c r="S6" s="15"/>
      <c r="T6" s="15"/>
      <c r="U6" s="15"/>
      <c r="V6" s="15"/>
      <c r="W6" s="15"/>
      <c r="X6" s="15"/>
      <c r="Y6" s="15"/>
    </row>
    <row r="7" spans="1:25" ht="119.25" customHeight="1">
      <c r="A7" s="192" t="s">
        <v>126</v>
      </c>
      <c r="B7" s="193"/>
      <c r="C7" s="193"/>
      <c r="D7" s="179" t="s">
        <v>128</v>
      </c>
      <c r="E7" s="179"/>
      <c r="F7" s="179"/>
      <c r="G7" s="179"/>
      <c r="H7" s="179"/>
      <c r="I7" s="188"/>
      <c r="J7" s="15"/>
      <c r="K7" s="15"/>
      <c r="L7" s="15"/>
      <c r="M7" s="15"/>
      <c r="N7" s="15"/>
      <c r="O7" s="15"/>
      <c r="P7" s="15"/>
      <c r="Q7" s="15"/>
      <c r="R7" s="15"/>
      <c r="S7" s="15"/>
      <c r="T7" s="15"/>
      <c r="U7" s="15"/>
      <c r="V7" s="15"/>
      <c r="W7" s="15"/>
      <c r="X7" s="15"/>
      <c r="Y7" s="15"/>
    </row>
    <row r="8" spans="1:25" ht="18" customHeight="1">
      <c r="A8" s="183" t="s">
        <v>14</v>
      </c>
      <c r="B8" s="184"/>
      <c r="C8" s="184"/>
      <c r="D8" s="184"/>
      <c r="E8" s="184"/>
      <c r="F8" s="184"/>
      <c r="G8" s="184"/>
      <c r="H8" s="184"/>
      <c r="I8" s="185"/>
      <c r="J8" s="15"/>
      <c r="K8" s="15"/>
      <c r="L8" s="15"/>
      <c r="M8" s="15"/>
      <c r="N8" s="15"/>
      <c r="O8" s="15"/>
      <c r="P8" s="15"/>
      <c r="Q8" s="15"/>
      <c r="R8" s="15"/>
      <c r="S8" s="15"/>
      <c r="T8" s="15"/>
      <c r="U8" s="15"/>
      <c r="V8" s="15"/>
      <c r="W8" s="15"/>
      <c r="X8" s="15"/>
      <c r="Y8" s="15"/>
    </row>
    <row r="9" spans="1:25" ht="27" customHeight="1">
      <c r="A9" s="152" t="s">
        <v>39</v>
      </c>
      <c r="B9" s="153" t="s">
        <v>15</v>
      </c>
      <c r="C9" s="186" t="s">
        <v>37</v>
      </c>
      <c r="D9" s="186"/>
      <c r="E9" s="186"/>
      <c r="F9" s="186" t="s">
        <v>38</v>
      </c>
      <c r="G9" s="186"/>
      <c r="H9" s="186"/>
      <c r="I9" s="187"/>
      <c r="J9" s="15"/>
      <c r="K9" s="15"/>
      <c r="L9" s="15"/>
      <c r="M9" s="15"/>
      <c r="N9" s="15"/>
      <c r="O9" s="15"/>
      <c r="P9" s="15"/>
      <c r="Q9" s="15"/>
      <c r="R9" s="15"/>
      <c r="S9" s="15"/>
      <c r="T9" s="15"/>
      <c r="U9" s="15"/>
      <c r="V9" s="15"/>
      <c r="W9" s="15"/>
      <c r="X9" s="15"/>
      <c r="Y9" s="15"/>
    </row>
    <row r="10" spans="1:25" ht="55.9" customHeight="1">
      <c r="A10" s="269">
        <v>14</v>
      </c>
      <c r="B10" s="270">
        <v>45335</v>
      </c>
      <c r="C10" s="271" t="s">
        <v>169</v>
      </c>
      <c r="D10" s="272"/>
      <c r="E10" s="273"/>
      <c r="F10" s="271" t="s">
        <v>165</v>
      </c>
      <c r="G10" s="272"/>
      <c r="H10" s="272"/>
      <c r="I10" s="273"/>
      <c r="J10" s="15"/>
      <c r="K10" s="15"/>
      <c r="L10" s="15"/>
      <c r="M10" s="15"/>
      <c r="N10" s="15"/>
      <c r="O10" s="15"/>
      <c r="P10" s="15"/>
      <c r="Q10" s="15"/>
      <c r="R10" s="15"/>
      <c r="S10" s="15"/>
      <c r="T10" s="15"/>
      <c r="U10" s="15"/>
      <c r="V10" s="15"/>
      <c r="W10" s="15"/>
      <c r="X10" s="15"/>
      <c r="Y10" s="15"/>
    </row>
    <row r="11" spans="1:25" ht="55.9" customHeight="1">
      <c r="A11" s="154">
        <v>13.1</v>
      </c>
      <c r="B11" s="151">
        <v>45231</v>
      </c>
      <c r="C11" s="203" t="s">
        <v>162</v>
      </c>
      <c r="D11" s="204"/>
      <c r="E11" s="205"/>
      <c r="F11" s="203" t="s">
        <v>158</v>
      </c>
      <c r="G11" s="204"/>
      <c r="H11" s="204"/>
      <c r="I11" s="205"/>
      <c r="J11" s="15"/>
      <c r="K11" s="15"/>
      <c r="L11" s="15"/>
      <c r="M11" s="15"/>
      <c r="N11" s="15"/>
      <c r="O11" s="15"/>
      <c r="P11" s="15"/>
      <c r="Q11" s="15"/>
      <c r="R11" s="15"/>
      <c r="S11" s="15"/>
      <c r="T11" s="15"/>
      <c r="U11" s="15"/>
      <c r="V11" s="15"/>
      <c r="W11" s="15"/>
      <c r="X11" s="15"/>
      <c r="Y11" s="15"/>
    </row>
    <row r="12" spans="1:25" ht="55.9" customHeight="1">
      <c r="A12" s="136">
        <v>13</v>
      </c>
      <c r="B12" s="135">
        <v>45078</v>
      </c>
      <c r="C12" s="196" t="s">
        <v>151</v>
      </c>
      <c r="D12" s="197"/>
      <c r="E12" s="198"/>
      <c r="F12" s="196" t="s">
        <v>148</v>
      </c>
      <c r="G12" s="197"/>
      <c r="H12" s="197"/>
      <c r="I12" s="198"/>
      <c r="J12" s="15"/>
      <c r="K12" s="15"/>
      <c r="L12" s="15"/>
      <c r="M12" s="15"/>
      <c r="N12" s="15"/>
      <c r="O12" s="15"/>
      <c r="P12" s="15"/>
      <c r="Q12" s="15"/>
      <c r="R12" s="15"/>
      <c r="S12" s="15"/>
      <c r="T12" s="15"/>
      <c r="U12" s="15"/>
      <c r="V12" s="15"/>
      <c r="W12" s="15"/>
      <c r="X12" s="15"/>
      <c r="Y12" s="15"/>
    </row>
    <row r="13" spans="1:25" ht="55.9" customHeight="1">
      <c r="A13" s="136">
        <v>12</v>
      </c>
      <c r="B13" s="135">
        <v>44713</v>
      </c>
      <c r="C13" s="196" t="s">
        <v>151</v>
      </c>
      <c r="D13" s="197"/>
      <c r="E13" s="198"/>
      <c r="F13" s="196" t="s">
        <v>148</v>
      </c>
      <c r="G13" s="197"/>
      <c r="H13" s="197"/>
      <c r="I13" s="198"/>
      <c r="J13" s="15"/>
      <c r="K13" s="15"/>
      <c r="L13" s="15"/>
      <c r="M13" s="15"/>
      <c r="N13" s="15"/>
      <c r="O13" s="15"/>
      <c r="P13" s="15"/>
      <c r="Q13" s="15"/>
      <c r="R13" s="15"/>
      <c r="S13" s="15"/>
      <c r="T13" s="15"/>
      <c r="U13" s="15"/>
      <c r="V13" s="15"/>
      <c r="W13" s="15"/>
      <c r="X13" s="15"/>
      <c r="Y13" s="15"/>
    </row>
    <row r="14" spans="1:25" ht="55.9" customHeight="1">
      <c r="A14" s="136">
        <v>11.1</v>
      </c>
      <c r="B14" s="135">
        <v>44428</v>
      </c>
      <c r="C14" s="196" t="s">
        <v>152</v>
      </c>
      <c r="D14" s="197"/>
      <c r="E14" s="198"/>
      <c r="F14" s="196" t="s">
        <v>148</v>
      </c>
      <c r="G14" s="197"/>
      <c r="H14" s="197"/>
      <c r="I14" s="198"/>
      <c r="J14" s="15"/>
      <c r="K14" s="15"/>
      <c r="L14" s="15"/>
      <c r="M14" s="15"/>
      <c r="N14" s="15"/>
      <c r="O14" s="15"/>
      <c r="P14" s="15"/>
      <c r="Q14" s="15"/>
      <c r="R14" s="15"/>
      <c r="S14" s="15"/>
      <c r="T14" s="15"/>
      <c r="U14" s="15"/>
      <c r="V14" s="15"/>
      <c r="W14" s="15"/>
      <c r="X14" s="15"/>
      <c r="Y14" s="15"/>
    </row>
    <row r="15" spans="1:25" ht="55.9" customHeight="1">
      <c r="A15" s="136">
        <v>11</v>
      </c>
      <c r="B15" s="135">
        <v>44408</v>
      </c>
      <c r="C15" s="196" t="s">
        <v>151</v>
      </c>
      <c r="D15" s="197"/>
      <c r="E15" s="198"/>
      <c r="F15" s="196" t="s">
        <v>148</v>
      </c>
      <c r="G15" s="197"/>
      <c r="H15" s="197"/>
      <c r="I15" s="198"/>
      <c r="J15" s="15"/>
      <c r="K15" s="15"/>
      <c r="L15" s="15"/>
      <c r="M15" s="15"/>
      <c r="N15" s="15"/>
      <c r="O15" s="15"/>
      <c r="P15" s="15"/>
      <c r="Q15" s="15"/>
      <c r="R15" s="15"/>
      <c r="S15" s="15"/>
      <c r="T15" s="15"/>
      <c r="U15" s="15"/>
      <c r="V15" s="15"/>
      <c r="W15" s="15"/>
      <c r="X15" s="15"/>
      <c r="Y15" s="15"/>
    </row>
    <row r="16" spans="1:25" ht="55.9" customHeight="1">
      <c r="A16" s="136">
        <v>10</v>
      </c>
      <c r="B16" s="135">
        <v>44031</v>
      </c>
      <c r="C16" s="196" t="s">
        <v>149</v>
      </c>
      <c r="D16" s="197"/>
      <c r="E16" s="198"/>
      <c r="F16" s="196" t="s">
        <v>148</v>
      </c>
      <c r="G16" s="197"/>
      <c r="H16" s="197"/>
      <c r="I16" s="198"/>
      <c r="J16" s="15"/>
      <c r="K16" s="15"/>
      <c r="L16" s="15"/>
      <c r="M16" s="15"/>
      <c r="N16" s="15"/>
      <c r="O16" s="15"/>
      <c r="P16" s="15"/>
      <c r="Q16" s="15"/>
      <c r="R16" s="15"/>
      <c r="S16" s="15"/>
      <c r="T16" s="15"/>
      <c r="U16" s="15"/>
      <c r="V16" s="15"/>
      <c r="W16" s="15"/>
      <c r="X16" s="15"/>
      <c r="Y16" s="15"/>
    </row>
    <row r="17" spans="1:25" ht="55.9" customHeight="1">
      <c r="A17" s="136">
        <v>9.1</v>
      </c>
      <c r="B17" s="135">
        <v>43800</v>
      </c>
      <c r="C17" s="196" t="s">
        <v>146</v>
      </c>
      <c r="D17" s="197"/>
      <c r="E17" s="198"/>
      <c r="F17" s="196" t="s">
        <v>145</v>
      </c>
      <c r="G17" s="197"/>
      <c r="H17" s="197"/>
      <c r="I17" s="198"/>
      <c r="J17" s="15"/>
      <c r="K17" s="15"/>
      <c r="L17" s="15"/>
      <c r="M17" s="15"/>
      <c r="N17" s="15"/>
      <c r="O17" s="15"/>
      <c r="P17" s="15"/>
      <c r="Q17" s="15"/>
      <c r="R17" s="15"/>
      <c r="S17" s="15"/>
      <c r="T17" s="15"/>
      <c r="U17" s="15"/>
      <c r="V17" s="15"/>
      <c r="W17" s="15"/>
      <c r="X17" s="15"/>
      <c r="Y17" s="15"/>
    </row>
    <row r="18" spans="1:25" ht="58.15" customHeight="1">
      <c r="A18" s="136">
        <v>9</v>
      </c>
      <c r="B18" s="135">
        <v>43617</v>
      </c>
      <c r="C18" s="196" t="s">
        <v>150</v>
      </c>
      <c r="D18" s="197"/>
      <c r="E18" s="198"/>
      <c r="F18" s="196" t="s">
        <v>145</v>
      </c>
      <c r="G18" s="197"/>
      <c r="H18" s="197"/>
      <c r="I18" s="198"/>
      <c r="J18" s="15"/>
      <c r="K18" s="15"/>
      <c r="L18" s="15"/>
      <c r="M18" s="15"/>
      <c r="N18" s="15"/>
      <c r="O18" s="15"/>
      <c r="P18" s="15"/>
      <c r="Q18" s="15"/>
      <c r="R18" s="15"/>
      <c r="S18" s="15"/>
      <c r="T18" s="15"/>
      <c r="U18" s="15"/>
      <c r="V18" s="15"/>
      <c r="W18" s="15"/>
      <c r="X18" s="15"/>
      <c r="Y18" s="15"/>
    </row>
    <row r="19" spans="1:25" ht="145.5" customHeight="1">
      <c r="A19" s="30">
        <v>8</v>
      </c>
      <c r="B19" s="31">
        <v>43221</v>
      </c>
      <c r="C19" s="182" t="s">
        <v>127</v>
      </c>
      <c r="D19" s="182"/>
      <c r="E19" s="182"/>
      <c r="F19" s="182" t="s">
        <v>46</v>
      </c>
      <c r="G19" s="182"/>
      <c r="H19" s="182"/>
      <c r="I19" s="182"/>
      <c r="J19" s="15"/>
      <c r="K19" s="15"/>
      <c r="L19" s="15"/>
      <c r="M19" s="15"/>
      <c r="N19" s="15"/>
      <c r="O19" s="15"/>
      <c r="P19" s="15"/>
      <c r="Q19" s="15"/>
      <c r="R19" s="15"/>
      <c r="S19" s="15"/>
      <c r="T19" s="15"/>
      <c r="U19" s="15"/>
      <c r="V19" s="15"/>
      <c r="W19" s="15"/>
      <c r="X19" s="15"/>
      <c r="Y19" s="15"/>
    </row>
    <row r="20" spans="1:25" ht="43.15" customHeight="1">
      <c r="A20" s="30">
        <v>7.2</v>
      </c>
      <c r="B20" s="31">
        <v>43009</v>
      </c>
      <c r="C20" s="182" t="s">
        <v>42</v>
      </c>
      <c r="D20" s="182"/>
      <c r="E20" s="182"/>
      <c r="F20" s="182" t="s">
        <v>41</v>
      </c>
      <c r="G20" s="182"/>
      <c r="H20" s="182"/>
      <c r="I20" s="182"/>
      <c r="J20" s="15"/>
      <c r="K20" s="15"/>
      <c r="L20" s="15"/>
      <c r="M20" s="15"/>
      <c r="N20" s="15"/>
      <c r="O20" s="15"/>
      <c r="P20" s="15"/>
      <c r="Q20" s="15"/>
      <c r="R20" s="15"/>
      <c r="S20" s="15"/>
      <c r="T20" s="15"/>
      <c r="U20" s="15"/>
      <c r="V20" s="15"/>
      <c r="W20" s="15"/>
      <c r="X20" s="15"/>
      <c r="Y20" s="15"/>
    </row>
    <row r="21" spans="1:25" ht="169.5" customHeight="1">
      <c r="A21" s="30">
        <v>7.1</v>
      </c>
      <c r="B21" s="31">
        <v>42917</v>
      </c>
      <c r="C21" s="182" t="s">
        <v>47</v>
      </c>
      <c r="D21" s="182"/>
      <c r="E21" s="182"/>
      <c r="F21" s="182" t="s">
        <v>41</v>
      </c>
      <c r="G21" s="182"/>
      <c r="H21" s="182"/>
      <c r="I21" s="182"/>
      <c r="J21" s="15"/>
      <c r="K21" s="15"/>
      <c r="L21" s="15"/>
      <c r="M21" s="15"/>
      <c r="N21" s="15"/>
      <c r="O21" s="15"/>
      <c r="P21" s="15"/>
      <c r="Q21" s="15"/>
      <c r="R21" s="15"/>
      <c r="S21" s="15"/>
      <c r="T21" s="15"/>
      <c r="U21" s="15"/>
      <c r="V21" s="15"/>
      <c r="W21" s="15"/>
      <c r="X21" s="15"/>
      <c r="Y21" s="15"/>
    </row>
    <row r="22" spans="1:25" ht="32.25" customHeight="1">
      <c r="A22" s="30">
        <v>7</v>
      </c>
      <c r="B22" s="31">
        <v>42795</v>
      </c>
      <c r="C22" s="182" t="s">
        <v>25</v>
      </c>
      <c r="D22" s="182"/>
      <c r="E22" s="182"/>
      <c r="F22" s="182" t="s">
        <v>40</v>
      </c>
      <c r="G22" s="182"/>
      <c r="H22" s="182"/>
      <c r="I22" s="182"/>
      <c r="J22" s="15"/>
      <c r="K22" s="15"/>
      <c r="L22" s="15"/>
      <c r="M22" s="15"/>
      <c r="N22" s="15"/>
      <c r="O22" s="15"/>
      <c r="P22" s="15"/>
      <c r="Q22" s="15"/>
      <c r="R22" s="15"/>
      <c r="S22" s="15"/>
      <c r="T22" s="15"/>
      <c r="U22" s="15"/>
      <c r="V22" s="15"/>
      <c r="W22" s="15"/>
      <c r="X22" s="15"/>
      <c r="Y22" s="15"/>
    </row>
    <row r="23" spans="1:25" ht="28.5" customHeight="1">
      <c r="A23" s="30">
        <v>6</v>
      </c>
      <c r="B23" s="31">
        <v>42430</v>
      </c>
      <c r="C23" s="182" t="s">
        <v>24</v>
      </c>
      <c r="D23" s="182"/>
      <c r="E23" s="182"/>
      <c r="F23" s="182" t="s">
        <v>40</v>
      </c>
      <c r="G23" s="182"/>
      <c r="H23" s="182"/>
      <c r="I23" s="182"/>
      <c r="J23" s="15"/>
      <c r="K23" s="15"/>
      <c r="L23" s="15"/>
      <c r="M23" s="15"/>
      <c r="N23" s="15"/>
      <c r="O23" s="15"/>
      <c r="P23" s="15"/>
      <c r="Q23" s="15"/>
      <c r="R23" s="15"/>
      <c r="S23" s="15"/>
      <c r="T23" s="15"/>
      <c r="U23" s="15"/>
      <c r="V23" s="15"/>
      <c r="W23" s="15"/>
      <c r="X23" s="15"/>
      <c r="Y23" s="15"/>
    </row>
    <row r="24" spans="1:25" ht="32.25" customHeight="1">
      <c r="A24" s="30">
        <v>5</v>
      </c>
      <c r="B24" s="31">
        <v>41760</v>
      </c>
      <c r="C24" s="182" t="s">
        <v>23</v>
      </c>
      <c r="D24" s="182"/>
      <c r="E24" s="182"/>
      <c r="F24" s="182" t="s">
        <v>40</v>
      </c>
      <c r="G24" s="182"/>
      <c r="H24" s="182"/>
      <c r="I24" s="182"/>
      <c r="J24" s="15"/>
      <c r="K24" s="15"/>
      <c r="L24" s="15"/>
      <c r="M24" s="15"/>
      <c r="N24" s="15"/>
      <c r="O24" s="15"/>
      <c r="P24" s="15"/>
      <c r="Q24" s="15"/>
      <c r="R24" s="15"/>
      <c r="S24" s="15"/>
      <c r="T24" s="15"/>
      <c r="U24" s="15"/>
      <c r="V24" s="15"/>
      <c r="W24" s="15"/>
      <c r="X24" s="15"/>
      <c r="Y24" s="15"/>
    </row>
    <row r="25" spans="1:25" ht="30.75" customHeight="1">
      <c r="A25" s="30">
        <v>4</v>
      </c>
      <c r="B25" s="31">
        <v>41487</v>
      </c>
      <c r="C25" s="182" t="s">
        <v>22</v>
      </c>
      <c r="D25" s="182"/>
      <c r="E25" s="182"/>
      <c r="F25" s="182" t="s">
        <v>40</v>
      </c>
      <c r="G25" s="182"/>
      <c r="H25" s="182"/>
      <c r="I25" s="182"/>
      <c r="J25" s="15"/>
      <c r="K25" s="15"/>
      <c r="L25" s="15"/>
      <c r="M25" s="15"/>
      <c r="N25" s="15"/>
      <c r="O25" s="15"/>
      <c r="P25" s="15"/>
      <c r="Q25" s="15"/>
      <c r="R25" s="15"/>
      <c r="S25" s="15"/>
      <c r="T25" s="15"/>
      <c r="U25" s="15"/>
      <c r="V25" s="15"/>
      <c r="W25" s="15"/>
      <c r="X25" s="15"/>
      <c r="Y25" s="15"/>
    </row>
    <row r="26" spans="1:25" ht="33.75" customHeight="1">
      <c r="A26" s="30">
        <v>3.2</v>
      </c>
      <c r="B26" s="31">
        <v>41030</v>
      </c>
      <c r="C26" s="182" t="s">
        <v>21</v>
      </c>
      <c r="D26" s="182"/>
      <c r="E26" s="182"/>
      <c r="F26" s="182" t="s">
        <v>28</v>
      </c>
      <c r="G26" s="182"/>
      <c r="H26" s="182"/>
      <c r="I26" s="182"/>
      <c r="J26" s="15"/>
      <c r="K26" s="15"/>
      <c r="L26" s="15"/>
      <c r="M26" s="15"/>
      <c r="N26" s="15"/>
      <c r="O26" s="15"/>
      <c r="P26" s="15"/>
      <c r="Q26" s="15"/>
      <c r="R26" s="15"/>
      <c r="S26" s="15"/>
      <c r="T26" s="15"/>
      <c r="U26" s="15"/>
      <c r="V26" s="15"/>
      <c r="W26" s="15"/>
      <c r="X26" s="15"/>
      <c r="Y26" s="15"/>
    </row>
    <row r="27" spans="1:25" ht="28.5" customHeight="1">
      <c r="A27" s="30">
        <v>3.1</v>
      </c>
      <c r="B27" s="31">
        <v>41000</v>
      </c>
      <c r="C27" s="182" t="s">
        <v>20</v>
      </c>
      <c r="D27" s="182"/>
      <c r="E27" s="182"/>
      <c r="F27" s="182" t="s">
        <v>28</v>
      </c>
      <c r="G27" s="182"/>
      <c r="H27" s="182"/>
      <c r="I27" s="182"/>
      <c r="J27" s="15"/>
      <c r="K27" s="15"/>
      <c r="L27" s="15"/>
      <c r="M27" s="15"/>
      <c r="N27" s="15"/>
      <c r="O27" s="15"/>
      <c r="P27" s="15"/>
      <c r="Q27" s="15"/>
      <c r="R27" s="15"/>
      <c r="S27" s="15"/>
      <c r="T27" s="15"/>
      <c r="U27" s="15"/>
      <c r="V27" s="15"/>
      <c r="W27" s="15"/>
      <c r="X27" s="15"/>
      <c r="Y27" s="15"/>
    </row>
    <row r="28" spans="1:25" ht="14.25">
      <c r="A28" s="30">
        <v>3</v>
      </c>
      <c r="B28" s="31">
        <v>40909</v>
      </c>
      <c r="C28" s="182" t="s">
        <v>19</v>
      </c>
      <c r="D28" s="182"/>
      <c r="E28" s="182"/>
      <c r="F28" s="182" t="s">
        <v>28</v>
      </c>
      <c r="G28" s="182"/>
      <c r="H28" s="182"/>
      <c r="I28" s="182"/>
      <c r="J28" s="15"/>
      <c r="K28" s="15"/>
      <c r="L28" s="15"/>
      <c r="M28" s="15"/>
      <c r="N28" s="15"/>
      <c r="O28" s="15"/>
      <c r="P28" s="15"/>
      <c r="Q28" s="15"/>
      <c r="R28" s="15"/>
      <c r="S28" s="15"/>
      <c r="T28" s="15"/>
      <c r="U28" s="15"/>
      <c r="V28" s="15"/>
      <c r="W28" s="15"/>
      <c r="X28" s="15"/>
      <c r="Y28" s="15"/>
    </row>
    <row r="29" spans="1:25" ht="15" customHeight="1">
      <c r="A29" s="30">
        <v>2</v>
      </c>
      <c r="B29" s="31">
        <v>40695</v>
      </c>
      <c r="C29" s="182" t="s">
        <v>18</v>
      </c>
      <c r="D29" s="182"/>
      <c r="E29" s="182"/>
      <c r="F29" s="182" t="s">
        <v>28</v>
      </c>
      <c r="G29" s="182"/>
      <c r="H29" s="182"/>
      <c r="I29" s="182"/>
      <c r="J29" s="15"/>
      <c r="K29" s="15"/>
      <c r="L29" s="15"/>
      <c r="M29" s="15"/>
      <c r="N29" s="15"/>
      <c r="O29" s="15"/>
      <c r="P29" s="15"/>
      <c r="Q29" s="15"/>
      <c r="R29" s="15"/>
      <c r="S29" s="15"/>
      <c r="T29" s="15"/>
      <c r="U29" s="15"/>
      <c r="V29" s="15"/>
      <c r="W29" s="15"/>
      <c r="X29" s="15"/>
      <c r="Y29" s="15"/>
    </row>
    <row r="30" spans="1:25" ht="30" customHeight="1">
      <c r="A30" s="30">
        <v>1.1000000000000001</v>
      </c>
      <c r="B30" s="31">
        <v>40330</v>
      </c>
      <c r="C30" s="182" t="s">
        <v>17</v>
      </c>
      <c r="D30" s="182"/>
      <c r="E30" s="182"/>
      <c r="F30" s="182" t="s">
        <v>28</v>
      </c>
      <c r="G30" s="182"/>
      <c r="H30" s="182"/>
      <c r="I30" s="182"/>
      <c r="J30" s="15"/>
      <c r="K30" s="15"/>
      <c r="L30" s="15"/>
      <c r="M30" s="15"/>
      <c r="N30" s="15"/>
      <c r="O30" s="15"/>
      <c r="P30" s="15"/>
      <c r="Q30" s="15"/>
      <c r="R30" s="15"/>
      <c r="S30" s="15"/>
      <c r="T30" s="15"/>
      <c r="U30" s="15"/>
      <c r="V30" s="15"/>
      <c r="W30" s="15"/>
      <c r="X30" s="15"/>
      <c r="Y30" s="15"/>
    </row>
    <row r="31" spans="1:25" ht="15" customHeight="1">
      <c r="A31" s="30">
        <v>1</v>
      </c>
      <c r="B31" s="31">
        <v>40269</v>
      </c>
      <c r="C31" s="182" t="s">
        <v>16</v>
      </c>
      <c r="D31" s="182"/>
      <c r="E31" s="182"/>
      <c r="F31" s="182" t="s">
        <v>28</v>
      </c>
      <c r="G31" s="182"/>
      <c r="H31" s="182"/>
      <c r="I31" s="182"/>
      <c r="J31" s="15"/>
      <c r="K31" s="15"/>
      <c r="L31" s="15"/>
      <c r="M31" s="15"/>
      <c r="N31" s="15"/>
      <c r="O31" s="15"/>
      <c r="P31" s="15"/>
      <c r="Q31" s="15"/>
      <c r="R31" s="15"/>
      <c r="S31" s="15"/>
      <c r="T31" s="15"/>
      <c r="U31" s="15"/>
      <c r="V31" s="15"/>
      <c r="W31" s="15"/>
      <c r="X31" s="15"/>
      <c r="Y31" s="15"/>
    </row>
    <row r="32" spans="1:25" ht="15.75">
      <c r="A32" s="189" t="s">
        <v>13</v>
      </c>
      <c r="B32" s="190"/>
      <c r="C32" s="190"/>
      <c r="D32" s="190"/>
      <c r="E32" s="190"/>
      <c r="F32" s="190"/>
      <c r="G32" s="190"/>
      <c r="H32" s="190"/>
      <c r="I32" s="191"/>
      <c r="J32" s="15"/>
      <c r="K32" s="15"/>
      <c r="L32" s="15"/>
      <c r="M32" s="15"/>
      <c r="N32" s="15"/>
      <c r="O32" s="15"/>
      <c r="P32" s="15"/>
      <c r="Q32" s="15"/>
      <c r="R32" s="15"/>
      <c r="S32" s="15"/>
      <c r="T32" s="15"/>
      <c r="U32" s="15"/>
      <c r="V32" s="15"/>
      <c r="W32" s="15"/>
      <c r="X32" s="15"/>
      <c r="Y32" s="15"/>
    </row>
    <row r="33" spans="1:25" ht="298.14999999999998" customHeight="1">
      <c r="A33" s="274" t="s">
        <v>168</v>
      </c>
      <c r="B33" s="275"/>
      <c r="C33" s="276"/>
      <c r="D33" s="276"/>
      <c r="E33" s="276"/>
      <c r="F33" s="276"/>
      <c r="G33" s="276"/>
      <c r="H33" s="276"/>
      <c r="I33" s="277"/>
      <c r="J33" s="15"/>
      <c r="K33" s="15"/>
      <c r="L33" s="15"/>
      <c r="M33" s="15"/>
      <c r="N33" s="15"/>
      <c r="O33" s="15"/>
      <c r="P33" s="15"/>
      <c r="Q33" s="15"/>
      <c r="R33" s="15"/>
      <c r="S33" s="15"/>
      <c r="T33" s="15"/>
      <c r="U33" s="15"/>
      <c r="V33" s="15"/>
      <c r="W33" s="15"/>
      <c r="X33" s="15"/>
      <c r="Y33" s="15"/>
    </row>
    <row r="34" spans="1:25" ht="15.75">
      <c r="A34" s="194" t="s">
        <v>12</v>
      </c>
      <c r="B34" s="173"/>
      <c r="C34" s="173"/>
      <c r="D34" s="173"/>
      <c r="E34" s="173"/>
      <c r="F34" s="173"/>
      <c r="G34" s="173"/>
      <c r="H34" s="173"/>
      <c r="I34" s="195"/>
      <c r="J34" s="15"/>
      <c r="K34" s="15"/>
      <c r="L34" s="15"/>
      <c r="M34" s="15"/>
      <c r="N34" s="15"/>
      <c r="O34" s="15"/>
      <c r="P34" s="15"/>
      <c r="Q34" s="15"/>
      <c r="R34" s="15"/>
      <c r="S34" s="15"/>
      <c r="T34" s="15"/>
      <c r="U34" s="15"/>
      <c r="V34" s="15"/>
      <c r="W34" s="15"/>
      <c r="X34" s="15"/>
      <c r="Y34" s="15"/>
    </row>
    <row r="35" spans="1:25" ht="94.5" customHeight="1">
      <c r="A35" s="199" t="s">
        <v>43</v>
      </c>
      <c r="B35" s="200"/>
      <c r="C35" s="201"/>
      <c r="D35" s="201"/>
      <c r="E35" s="201"/>
      <c r="F35" s="201"/>
      <c r="G35" s="201"/>
      <c r="H35" s="201"/>
      <c r="I35" s="202"/>
      <c r="J35" s="15"/>
      <c r="K35" s="15"/>
      <c r="L35" s="15"/>
      <c r="M35" s="15"/>
      <c r="N35" s="15"/>
      <c r="O35" s="15"/>
      <c r="P35" s="15"/>
      <c r="Q35" s="15"/>
      <c r="R35" s="15"/>
      <c r="S35" s="15"/>
      <c r="T35" s="15"/>
      <c r="U35" s="15"/>
      <c r="V35" s="15"/>
      <c r="W35" s="15"/>
      <c r="X35" s="15"/>
      <c r="Y35" s="15"/>
    </row>
    <row r="36" spans="1:25">
      <c r="A36" s="15"/>
      <c r="B36" s="15"/>
      <c r="C36" s="15"/>
      <c r="D36" s="15"/>
      <c r="E36" s="15"/>
      <c r="F36" s="15"/>
      <c r="G36" s="15"/>
      <c r="H36" s="15"/>
      <c r="I36" s="15"/>
      <c r="J36" s="15"/>
      <c r="K36" s="15"/>
      <c r="L36" s="15"/>
      <c r="M36" s="15"/>
      <c r="N36" s="15"/>
      <c r="O36" s="15"/>
      <c r="P36" s="15"/>
      <c r="Q36" s="15"/>
      <c r="R36" s="15"/>
      <c r="S36" s="15"/>
      <c r="T36" s="15"/>
      <c r="U36" s="15"/>
      <c r="V36" s="15"/>
      <c r="W36" s="15"/>
      <c r="X36" s="15"/>
      <c r="Y36" s="15"/>
    </row>
    <row r="37" spans="1:25">
      <c r="A37" s="15"/>
      <c r="B37" s="15"/>
      <c r="C37" s="15"/>
      <c r="D37" s="15"/>
      <c r="E37" s="15"/>
      <c r="F37" s="15"/>
      <c r="G37" s="15"/>
      <c r="H37" s="15"/>
      <c r="I37" s="15"/>
      <c r="J37" s="15"/>
      <c r="K37" s="15"/>
      <c r="L37" s="15"/>
      <c r="M37" s="15"/>
      <c r="N37" s="15"/>
      <c r="O37" s="15"/>
      <c r="P37" s="15"/>
      <c r="Q37" s="15"/>
      <c r="R37" s="15"/>
      <c r="S37" s="15"/>
      <c r="T37" s="15"/>
      <c r="U37" s="15"/>
      <c r="V37" s="15"/>
      <c r="W37" s="15"/>
      <c r="X37" s="15"/>
      <c r="Y37" s="15"/>
    </row>
    <row r="38" spans="1:25">
      <c r="A38" s="15"/>
      <c r="B38" s="15"/>
      <c r="C38" s="15"/>
      <c r="D38" s="15"/>
      <c r="E38" s="15"/>
      <c r="F38" s="15"/>
      <c r="G38" s="15"/>
      <c r="H38" s="15"/>
      <c r="I38" s="15"/>
      <c r="J38" s="15"/>
      <c r="K38" s="15"/>
      <c r="L38" s="15"/>
      <c r="M38" s="15"/>
      <c r="N38" s="15"/>
      <c r="O38" s="15"/>
      <c r="P38" s="15"/>
      <c r="Q38" s="15"/>
      <c r="R38" s="15"/>
      <c r="S38" s="15"/>
      <c r="T38" s="15"/>
      <c r="U38" s="15"/>
      <c r="V38" s="15"/>
      <c r="W38" s="15"/>
      <c r="X38" s="15"/>
      <c r="Y38" s="15"/>
    </row>
    <row r="39" spans="1:25">
      <c r="A39" s="15"/>
      <c r="B39" s="15"/>
      <c r="C39" s="15"/>
      <c r="D39" s="15"/>
      <c r="E39" s="15"/>
      <c r="F39" s="15"/>
      <c r="G39" s="15"/>
      <c r="H39" s="15"/>
      <c r="I39" s="15"/>
      <c r="J39" s="15"/>
      <c r="K39" s="15"/>
      <c r="L39" s="15"/>
      <c r="M39" s="15"/>
      <c r="N39" s="15"/>
      <c r="O39" s="15"/>
      <c r="P39" s="15"/>
      <c r="Q39" s="15"/>
      <c r="R39" s="15"/>
      <c r="S39" s="15"/>
      <c r="T39" s="15"/>
      <c r="U39" s="15"/>
      <c r="V39" s="15"/>
      <c r="W39" s="15"/>
      <c r="X39" s="15"/>
      <c r="Y39" s="15"/>
    </row>
    <row r="40" spans="1:25">
      <c r="A40" s="15"/>
      <c r="B40" s="15"/>
      <c r="C40" s="15"/>
      <c r="D40" s="15"/>
      <c r="E40" s="15"/>
      <c r="F40" s="15"/>
      <c r="G40" s="15"/>
      <c r="H40" s="15"/>
      <c r="I40" s="15"/>
      <c r="J40" s="15"/>
      <c r="K40" s="15"/>
      <c r="L40" s="15"/>
      <c r="M40" s="15"/>
      <c r="N40" s="15"/>
      <c r="O40" s="15"/>
      <c r="P40" s="15"/>
      <c r="Q40" s="15"/>
      <c r="R40" s="15"/>
      <c r="S40" s="15"/>
      <c r="T40" s="15"/>
      <c r="U40" s="15"/>
      <c r="V40" s="15"/>
      <c r="W40" s="15"/>
      <c r="X40" s="15"/>
      <c r="Y40" s="15"/>
    </row>
    <row r="41" spans="1:25">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spans="1:25">
      <c r="A42" s="15"/>
      <c r="B42" s="15"/>
      <c r="C42" s="15"/>
      <c r="D42" s="15"/>
      <c r="E42" s="15"/>
      <c r="F42" s="15"/>
      <c r="G42" s="15"/>
      <c r="H42" s="15"/>
      <c r="I42" s="15"/>
      <c r="J42" s="15"/>
      <c r="K42" s="15"/>
      <c r="L42" s="15"/>
      <c r="M42" s="15"/>
      <c r="N42" s="15"/>
      <c r="O42" s="15"/>
      <c r="P42" s="15"/>
      <c r="Q42" s="15"/>
      <c r="R42" s="15"/>
      <c r="S42" s="15"/>
      <c r="T42" s="15"/>
      <c r="U42" s="15"/>
      <c r="V42" s="15"/>
      <c r="W42" s="15"/>
      <c r="X42" s="15"/>
      <c r="Y42" s="15"/>
    </row>
    <row r="43" spans="1:25">
      <c r="A43" s="15"/>
      <c r="B43" s="15"/>
      <c r="C43" s="15"/>
      <c r="D43" s="15"/>
      <c r="E43" s="15"/>
      <c r="F43" s="15"/>
      <c r="G43" s="15"/>
      <c r="H43" s="15"/>
      <c r="I43" s="15"/>
    </row>
  </sheetData>
  <mergeCells count="61">
    <mergeCell ref="C10:E10"/>
    <mergeCell ref="F10:I10"/>
    <mergeCell ref="C11:E11"/>
    <mergeCell ref="F11:I11"/>
    <mergeCell ref="C12:E12"/>
    <mergeCell ref="F12:I12"/>
    <mergeCell ref="F13:I13"/>
    <mergeCell ref="A35:I35"/>
    <mergeCell ref="A33:I33"/>
    <mergeCell ref="C27:E27"/>
    <mergeCell ref="C28:E28"/>
    <mergeCell ref="C29:E29"/>
    <mergeCell ref="C30:E30"/>
    <mergeCell ref="A6:C6"/>
    <mergeCell ref="A7:C7"/>
    <mergeCell ref="C20:E20"/>
    <mergeCell ref="F20:I20"/>
    <mergeCell ref="A34:I34"/>
    <mergeCell ref="C18:E18"/>
    <mergeCell ref="F18:I18"/>
    <mergeCell ref="C17:E17"/>
    <mergeCell ref="F17:I17"/>
    <mergeCell ref="C16:E16"/>
    <mergeCell ref="F16:I16"/>
    <mergeCell ref="C15:E15"/>
    <mergeCell ref="F15:I15"/>
    <mergeCell ref="C14:E14"/>
    <mergeCell ref="F14:I14"/>
    <mergeCell ref="C13:E13"/>
    <mergeCell ref="D5:I5"/>
    <mergeCell ref="D6:I6"/>
    <mergeCell ref="D7:I7"/>
    <mergeCell ref="A32:I32"/>
    <mergeCell ref="F31:I31"/>
    <mergeCell ref="C9:E9"/>
    <mergeCell ref="C21:E21"/>
    <mergeCell ref="C22:E22"/>
    <mergeCell ref="C23:E23"/>
    <mergeCell ref="C24:E24"/>
    <mergeCell ref="C25:E25"/>
    <mergeCell ref="F28:I28"/>
    <mergeCell ref="F29:I29"/>
    <mergeCell ref="F30:I30"/>
    <mergeCell ref="C26:E26"/>
    <mergeCell ref="A5:C5"/>
    <mergeCell ref="A1:I1"/>
    <mergeCell ref="A4:I4"/>
    <mergeCell ref="A2:I2"/>
    <mergeCell ref="A3:I3"/>
    <mergeCell ref="C31:E31"/>
    <mergeCell ref="F23:I23"/>
    <mergeCell ref="F24:I24"/>
    <mergeCell ref="F25:I25"/>
    <mergeCell ref="A8:I8"/>
    <mergeCell ref="F9:I9"/>
    <mergeCell ref="F21:I21"/>
    <mergeCell ref="F22:I22"/>
    <mergeCell ref="C19:E19"/>
    <mergeCell ref="F19:I19"/>
    <mergeCell ref="F26:I26"/>
    <mergeCell ref="F27:I27"/>
  </mergeCells>
  <phoneticPr fontId="3"/>
  <hyperlinks>
    <hyperlink ref="A6:C6" location="'GHG &amp; CO2 EMISSIONS'!A1" display="GHG &amp; CO2 EMISSIONS" xr:uid="{00000000-0004-0000-0000-000000000000}"/>
    <hyperlink ref="A5:C5" location="Analytics!A1" display="Analytics" xr:uid="{00000000-0004-0000-0000-000001000000}"/>
    <hyperlink ref="A7:C7" location="'Annex-GHG emissions CP1'!A1" display="Annex-GHG emissions CP1" xr:uid="{00000000-0004-0000-0000-000002000000}"/>
  </hyperlinks>
  <pageMargins left="0.62992125984251968" right="0.28000000000000003" top="0.74" bottom="0.66" header="0.27559055118110237" footer="0.31"/>
  <pageSetup paperSize="9" orientation="landscape" verticalDpi="1200"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324851"/>
  </sheetPr>
  <dimension ref="A1:L136"/>
  <sheetViews>
    <sheetView zoomScale="85" zoomScaleNormal="85" workbookViewId="0">
      <selection sqref="A1:L1"/>
    </sheetView>
  </sheetViews>
  <sheetFormatPr defaultColWidth="8.75" defaultRowHeight="13.5"/>
  <cols>
    <col min="1" max="12" width="12.375" customWidth="1"/>
  </cols>
  <sheetData>
    <row r="1" spans="1:12" ht="25.5" customHeight="1">
      <c r="A1" s="206" t="s">
        <v>97</v>
      </c>
      <c r="B1" s="206"/>
      <c r="C1" s="206"/>
      <c r="D1" s="206"/>
      <c r="E1" s="206"/>
      <c r="F1" s="206"/>
      <c r="G1" s="206"/>
      <c r="H1" s="206"/>
      <c r="I1" s="206"/>
      <c r="J1" s="206"/>
      <c r="K1" s="206"/>
      <c r="L1" s="206"/>
    </row>
    <row r="3" spans="1:12" ht="22.5" customHeight="1">
      <c r="A3" s="48" t="s">
        <v>93</v>
      </c>
      <c r="B3" s="126"/>
      <c r="C3" s="126"/>
      <c r="D3" s="126"/>
      <c r="E3" s="126"/>
      <c r="F3" s="126"/>
      <c r="G3" s="126"/>
      <c r="H3" s="126"/>
      <c r="I3" s="126"/>
      <c r="J3" s="126"/>
      <c r="K3" s="126"/>
      <c r="L3" s="126"/>
    </row>
    <row r="29" spans="1:12" ht="22.5" customHeight="1">
      <c r="A29" s="48" t="s">
        <v>94</v>
      </c>
      <c r="B29" s="126"/>
      <c r="C29" s="126"/>
      <c r="D29" s="126"/>
      <c r="E29" s="126"/>
      <c r="F29" s="126"/>
      <c r="G29" s="126"/>
      <c r="H29" s="126"/>
      <c r="I29" s="126"/>
      <c r="J29" s="126"/>
      <c r="K29" s="126"/>
      <c r="L29" s="126"/>
    </row>
    <row r="55" spans="1:12" ht="23.25" customHeight="1">
      <c r="A55" s="48" t="s">
        <v>95</v>
      </c>
      <c r="B55" s="48"/>
      <c r="C55" s="48"/>
      <c r="D55" s="48"/>
      <c r="E55" s="48"/>
      <c r="F55" s="48"/>
      <c r="G55" s="48"/>
      <c r="H55" s="48"/>
      <c r="I55" s="48"/>
      <c r="J55" s="48"/>
      <c r="K55" s="48"/>
      <c r="L55" s="48"/>
    </row>
    <row r="81" spans="1:12" ht="21.75" customHeight="1">
      <c r="A81" s="48" t="s">
        <v>96</v>
      </c>
      <c r="B81" s="48"/>
      <c r="C81" s="48"/>
      <c r="D81" s="48"/>
      <c r="E81" s="48"/>
      <c r="F81" s="48"/>
      <c r="G81" s="48"/>
      <c r="H81" s="48"/>
      <c r="I81" s="48"/>
      <c r="J81" s="48"/>
      <c r="K81" s="48"/>
      <c r="L81" s="48"/>
    </row>
    <row r="107" spans="1:12" ht="20.25" customHeight="1">
      <c r="A107" s="48" t="s">
        <v>130</v>
      </c>
      <c r="B107" s="48"/>
      <c r="C107" s="48"/>
      <c r="D107" s="48"/>
      <c r="E107" s="48"/>
      <c r="F107" s="48"/>
      <c r="G107" s="48"/>
      <c r="H107" s="48"/>
      <c r="I107" s="48"/>
      <c r="J107" s="48"/>
      <c r="K107" s="48"/>
      <c r="L107" s="48"/>
    </row>
    <row r="136" spans="1:12" ht="22.5" customHeight="1">
      <c r="A136" s="48" t="s">
        <v>90</v>
      </c>
      <c r="B136" s="48"/>
      <c r="C136" s="48"/>
      <c r="D136" s="48"/>
      <c r="E136" s="48"/>
      <c r="F136" s="48"/>
      <c r="G136" s="48"/>
      <c r="H136" s="48"/>
      <c r="I136" s="48"/>
      <c r="J136" s="48"/>
      <c r="K136" s="48"/>
      <c r="L136" s="48"/>
    </row>
  </sheetData>
  <mergeCells count="1">
    <mergeCell ref="A1:L1"/>
  </mergeCells>
  <phoneticPr fontId="3"/>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6AC41"/>
  </sheetPr>
  <dimension ref="A1:DA208"/>
  <sheetViews>
    <sheetView zoomScale="70" zoomScaleNormal="70" zoomScaleSheetLayoutView="100" workbookViewId="0">
      <pane xSplit="4" ySplit="2" topLeftCell="E3" activePane="bottomRight" state="frozen"/>
      <selection pane="topRight" activeCell="E1" sqref="E1"/>
      <selection pane="bottomLeft" activeCell="A3" sqref="A3"/>
      <selection pane="bottomRight"/>
    </sheetView>
  </sheetViews>
  <sheetFormatPr defaultColWidth="9" defaultRowHeight="14.25"/>
  <cols>
    <col min="1" max="1" width="9" style="110" customWidth="1"/>
    <col min="2" max="2" width="12.25" style="111" customWidth="1"/>
    <col min="3" max="3" width="7.125" style="111" customWidth="1"/>
    <col min="4" max="4" width="14.75" style="110" customWidth="1"/>
    <col min="5" max="37" width="11.625" style="110" customWidth="1"/>
    <col min="38" max="38" width="17" style="110" customWidth="1"/>
    <col min="39" max="39" width="13.375" style="110" customWidth="1"/>
    <col min="40" max="40" width="19.125" style="110" customWidth="1"/>
    <col min="41" max="41" width="23.375" style="110" customWidth="1"/>
    <col min="42" max="42" width="14.125" style="110" customWidth="1"/>
    <col min="43" max="43" width="15" style="110" customWidth="1"/>
    <col min="44" max="44" width="13.5" style="110" customWidth="1"/>
    <col min="45" max="45" width="19" style="110" customWidth="1"/>
    <col min="46" max="16384" width="9" style="110"/>
  </cols>
  <sheetData>
    <row r="1" spans="1:105" ht="23.25" customHeight="1">
      <c r="A1" s="13"/>
      <c r="B1" s="33"/>
      <c r="C1" s="33"/>
      <c r="D1" s="33"/>
      <c r="E1" s="42" t="s">
        <v>92</v>
      </c>
      <c r="F1" s="43"/>
      <c r="G1" s="43"/>
      <c r="H1" s="43"/>
      <c r="I1" s="43"/>
      <c r="J1" s="43"/>
      <c r="K1" s="43"/>
      <c r="L1" s="43"/>
      <c r="M1" s="43"/>
      <c r="N1" s="43"/>
      <c r="O1" s="43"/>
      <c r="P1" s="43"/>
      <c r="Q1" s="43"/>
      <c r="R1" s="43"/>
      <c r="S1" s="43"/>
      <c r="T1" s="43"/>
      <c r="U1" s="43"/>
      <c r="V1" s="43"/>
      <c r="W1" s="43"/>
      <c r="X1" s="43"/>
      <c r="Y1" s="43"/>
      <c r="Z1" s="43"/>
      <c r="AA1" s="43"/>
      <c r="AB1" s="43"/>
      <c r="AC1" s="43"/>
      <c r="AD1" s="43"/>
      <c r="AE1" s="124"/>
      <c r="AF1" s="44"/>
      <c r="AG1" s="44"/>
      <c r="AH1" s="44"/>
      <c r="AI1" s="44"/>
      <c r="AJ1" s="44"/>
      <c r="AK1" s="44"/>
      <c r="AL1" s="71" t="s">
        <v>117</v>
      </c>
      <c r="AM1" s="71"/>
      <c r="AN1" s="71"/>
      <c r="AO1" s="76" t="s">
        <v>123</v>
      </c>
      <c r="AP1" s="77" t="s">
        <v>118</v>
      </c>
      <c r="AQ1" s="78"/>
      <c r="AR1" s="72"/>
      <c r="AS1" s="72"/>
    </row>
    <row r="2" spans="1:105" s="111" customFormat="1" ht="38.25" customHeight="1">
      <c r="A2" s="16" t="s">
        <v>0</v>
      </c>
      <c r="B2" s="16" t="s">
        <v>1</v>
      </c>
      <c r="C2" s="237" t="s">
        <v>48</v>
      </c>
      <c r="D2" s="238"/>
      <c r="E2" s="16">
        <v>1990</v>
      </c>
      <c r="F2" s="16">
        <v>1991</v>
      </c>
      <c r="G2" s="16">
        <v>1992</v>
      </c>
      <c r="H2" s="16">
        <v>1993</v>
      </c>
      <c r="I2" s="16">
        <v>1994</v>
      </c>
      <c r="J2" s="16">
        <v>1995</v>
      </c>
      <c r="K2" s="16">
        <v>1996</v>
      </c>
      <c r="L2" s="16">
        <v>1997</v>
      </c>
      <c r="M2" s="16">
        <v>1998</v>
      </c>
      <c r="N2" s="16">
        <v>1999</v>
      </c>
      <c r="O2" s="16">
        <v>2000</v>
      </c>
      <c r="P2" s="16">
        <v>2001</v>
      </c>
      <c r="Q2" s="16">
        <v>2002</v>
      </c>
      <c r="R2" s="16">
        <v>2003</v>
      </c>
      <c r="S2" s="16">
        <v>2004</v>
      </c>
      <c r="T2" s="16">
        <v>2005</v>
      </c>
      <c r="U2" s="16">
        <v>2006</v>
      </c>
      <c r="V2" s="16">
        <v>2007</v>
      </c>
      <c r="W2" s="16">
        <v>2008</v>
      </c>
      <c r="X2" s="16">
        <v>2009</v>
      </c>
      <c r="Y2" s="16">
        <v>2010</v>
      </c>
      <c r="Z2" s="16">
        <v>2011</v>
      </c>
      <c r="AA2" s="16">
        <v>2012</v>
      </c>
      <c r="AB2" s="16">
        <v>2013</v>
      </c>
      <c r="AC2" s="16">
        <v>2014</v>
      </c>
      <c r="AD2" s="16">
        <v>2015</v>
      </c>
      <c r="AE2" s="125">
        <v>2016</v>
      </c>
      <c r="AF2" s="45">
        <v>2017</v>
      </c>
      <c r="AG2" s="45">
        <v>2018</v>
      </c>
      <c r="AH2" s="45">
        <v>2019</v>
      </c>
      <c r="AI2" s="45">
        <v>2020</v>
      </c>
      <c r="AJ2" s="45">
        <v>2021</v>
      </c>
      <c r="AK2" s="45">
        <v>2022</v>
      </c>
      <c r="AL2" s="66" t="s">
        <v>122</v>
      </c>
      <c r="AM2" s="66" t="s">
        <v>29</v>
      </c>
      <c r="AN2" s="66" t="s">
        <v>147</v>
      </c>
      <c r="AO2" s="81" t="s">
        <v>124</v>
      </c>
      <c r="AP2" s="82" t="s">
        <v>120</v>
      </c>
      <c r="AQ2" s="82" t="s">
        <v>121</v>
      </c>
      <c r="AR2" s="82" t="s">
        <v>119</v>
      </c>
      <c r="AS2" s="82" t="s">
        <v>30</v>
      </c>
      <c r="AU2" s="110"/>
      <c r="AV2" s="110"/>
      <c r="AW2" s="110"/>
      <c r="AX2" s="110"/>
      <c r="AY2" s="110"/>
      <c r="AZ2" s="110"/>
      <c r="BA2" s="110"/>
      <c r="BB2" s="110"/>
      <c r="BC2" s="110"/>
      <c r="BD2" s="110"/>
      <c r="BE2" s="110"/>
      <c r="BF2" s="110"/>
      <c r="BG2" s="110"/>
      <c r="BH2" s="110"/>
      <c r="BI2" s="110"/>
      <c r="BJ2" s="110"/>
      <c r="BK2" s="110"/>
      <c r="BL2" s="110"/>
      <c r="BM2" s="110"/>
      <c r="BN2" s="110"/>
      <c r="BO2" s="110"/>
      <c r="BP2" s="110"/>
      <c r="BQ2" s="110"/>
      <c r="BR2" s="110"/>
      <c r="BS2" s="110"/>
      <c r="BT2" s="110"/>
      <c r="BU2" s="110"/>
      <c r="BV2" s="110"/>
      <c r="BW2" s="110"/>
      <c r="BX2" s="110"/>
      <c r="BY2" s="110"/>
      <c r="BZ2" s="110"/>
      <c r="CA2" s="110"/>
      <c r="CB2" s="110"/>
      <c r="CC2" s="110"/>
      <c r="CD2" s="110"/>
      <c r="CE2" s="110"/>
      <c r="CF2" s="110"/>
      <c r="CG2" s="110"/>
      <c r="CH2" s="110"/>
      <c r="CI2" s="110"/>
      <c r="CJ2" s="110"/>
      <c r="CK2" s="110"/>
      <c r="CL2" s="110"/>
      <c r="CM2" s="110"/>
      <c r="CN2" s="110"/>
      <c r="CO2" s="110"/>
      <c r="CP2" s="110"/>
      <c r="CQ2" s="110"/>
      <c r="CR2" s="110"/>
      <c r="CS2" s="110"/>
      <c r="CT2" s="110"/>
      <c r="CU2" s="110"/>
      <c r="CV2" s="110"/>
      <c r="CW2" s="110"/>
      <c r="CX2" s="110"/>
      <c r="CY2" s="110"/>
      <c r="CZ2" s="110"/>
      <c r="DA2" s="110"/>
    </row>
    <row r="3" spans="1:105" s="111" customFormat="1" ht="17.25" customHeight="1">
      <c r="A3" s="252" t="s">
        <v>9</v>
      </c>
      <c r="B3" s="251" t="s">
        <v>163</v>
      </c>
      <c r="C3" s="207" t="s">
        <v>87</v>
      </c>
      <c r="D3" s="133" t="s">
        <v>85</v>
      </c>
      <c r="E3" s="155">
        <v>4858721.7461183947</v>
      </c>
      <c r="F3" s="155">
        <v>4753235.6175495479</v>
      </c>
      <c r="G3" s="155">
        <v>4602044.3048363477</v>
      </c>
      <c r="H3" s="155">
        <v>4522014.9052005336</v>
      </c>
      <c r="I3" s="155">
        <v>4500096.8468097374</v>
      </c>
      <c r="J3" s="155">
        <v>4550599.9005432324</v>
      </c>
      <c r="K3" s="155">
        <v>4641592.2045008708</v>
      </c>
      <c r="L3" s="155">
        <v>4570484.1590949129</v>
      </c>
      <c r="M3" s="155">
        <v>4531703.7342188023</v>
      </c>
      <c r="N3" s="155">
        <v>4456534.2567076925</v>
      </c>
      <c r="O3" s="155">
        <v>4445278.2092112163</v>
      </c>
      <c r="P3" s="155">
        <v>4494091.7851530304</v>
      </c>
      <c r="Q3" s="155">
        <v>4480290.868138806</v>
      </c>
      <c r="R3" s="155">
        <v>4555586.5243921857</v>
      </c>
      <c r="S3" s="155">
        <v>4553475.1721104626</v>
      </c>
      <c r="T3" s="155">
        <v>4536750.0437631505</v>
      </c>
      <c r="U3" s="155">
        <v>4540454.9968389142</v>
      </c>
      <c r="V3" s="155">
        <v>4491363.9388945224</v>
      </c>
      <c r="W3" s="155">
        <v>4403507.8998998059</v>
      </c>
      <c r="X3" s="155">
        <v>4085898.5100680646</v>
      </c>
      <c r="Y3" s="155">
        <v>4165463.2770020375</v>
      </c>
      <c r="Z3" s="155">
        <v>4057129.8912292519</v>
      </c>
      <c r="AA3" s="155">
        <v>3985798.5339388349</v>
      </c>
      <c r="AB3" s="155">
        <v>3889371.0404556082</v>
      </c>
      <c r="AC3" s="155">
        <v>3748899.8666302091</v>
      </c>
      <c r="AD3" s="155">
        <v>3802730.4327750322</v>
      </c>
      <c r="AE3" s="155">
        <v>3796348.0309752002</v>
      </c>
      <c r="AF3" s="156">
        <v>3818158.2028292525</v>
      </c>
      <c r="AG3" s="156">
        <v>3739536.1905328799</v>
      </c>
      <c r="AH3" s="156">
        <v>3573616.1246909243</v>
      </c>
      <c r="AI3" s="156">
        <v>3282155.2041407051</v>
      </c>
      <c r="AJ3" s="156">
        <v>3453091.8123090873</v>
      </c>
      <c r="AK3" s="156">
        <v>3365516.5883678175</v>
      </c>
      <c r="AL3" s="41" t="s">
        <v>35</v>
      </c>
      <c r="AM3" s="41">
        <v>1990</v>
      </c>
      <c r="AN3" s="73">
        <f t="shared" ref="AN3:AN34" si="0">(AK3/E3)-1</f>
        <v>-0.30732469068505319</v>
      </c>
      <c r="AO3" s="36">
        <v>-0.2</v>
      </c>
      <c r="AP3" s="166">
        <v>1990</v>
      </c>
      <c r="AQ3" s="167">
        <v>-0.55000000000000004</v>
      </c>
      <c r="AR3" s="166">
        <v>2030</v>
      </c>
      <c r="AS3" s="137">
        <f>(AK3/E3)-1</f>
        <v>-0.30732469068505319</v>
      </c>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row>
    <row r="4" spans="1:105" s="112" customFormat="1" ht="15" customHeight="1">
      <c r="A4" s="253"/>
      <c r="B4" s="249"/>
      <c r="C4" s="208"/>
      <c r="D4" s="133" t="s">
        <v>86</v>
      </c>
      <c r="E4" s="157">
        <v>4641267.5811383268</v>
      </c>
      <c r="F4" s="157">
        <v>4436277.8234802512</v>
      </c>
      <c r="G4" s="157">
        <v>4312585.1766806981</v>
      </c>
      <c r="H4" s="157">
        <v>4218778.822271009</v>
      </c>
      <c r="I4" s="157">
        <v>4206188.9053313592</v>
      </c>
      <c r="J4" s="157">
        <v>4233156.9846094437</v>
      </c>
      <c r="K4" s="157">
        <v>4296320.0862008268</v>
      </c>
      <c r="L4" s="157">
        <v>4232628.5394530138</v>
      </c>
      <c r="M4" s="157">
        <v>4182882.8705076948</v>
      </c>
      <c r="N4" s="157">
        <v>4094967.1091219047</v>
      </c>
      <c r="O4" s="157">
        <v>4134469.1262888503</v>
      </c>
      <c r="P4" s="157">
        <v>4135616.1144574354</v>
      </c>
      <c r="Q4" s="157">
        <v>4152573.9150471105</v>
      </c>
      <c r="R4" s="157">
        <v>4239472.3875671839</v>
      </c>
      <c r="S4" s="157">
        <v>4200873.7310447786</v>
      </c>
      <c r="T4" s="157">
        <v>4188474.9469451387</v>
      </c>
      <c r="U4" s="157">
        <v>4187006.3588606431</v>
      </c>
      <c r="V4" s="157">
        <v>4187399.4600460106</v>
      </c>
      <c r="W4" s="157">
        <v>4051126.1735098087</v>
      </c>
      <c r="X4" s="157">
        <v>3736543.9392411774</v>
      </c>
      <c r="Y4" s="157">
        <v>3814136.7460841653</v>
      </c>
      <c r="Z4" s="157">
        <v>3712138.0014127637</v>
      </c>
      <c r="AA4" s="157">
        <v>3646351.0170126525</v>
      </c>
      <c r="AB4" s="157">
        <v>3541754.6942749699</v>
      </c>
      <c r="AC4" s="157">
        <v>3417103.0008736639</v>
      </c>
      <c r="AD4" s="157">
        <v>3478129.6135367826</v>
      </c>
      <c r="AE4" s="157">
        <v>3477360.5693814</v>
      </c>
      <c r="AF4" s="158">
        <v>3569768.1306128623</v>
      </c>
      <c r="AG4" s="158">
        <v>3483399.7007088508</v>
      </c>
      <c r="AH4" s="158">
        <v>3332573.1425664285</v>
      </c>
      <c r="AI4" s="158">
        <v>3041320.1796648353</v>
      </c>
      <c r="AJ4" s="158">
        <v>3212146.3354485286</v>
      </c>
      <c r="AK4" s="158">
        <v>3129062.5457779216</v>
      </c>
      <c r="AL4" s="39"/>
      <c r="AM4" s="39"/>
      <c r="AN4" s="74">
        <f t="shared" si="0"/>
        <v>-0.32581724904331388</v>
      </c>
      <c r="AO4" s="25"/>
      <c r="AP4" s="168"/>
      <c r="AQ4" s="168"/>
      <c r="AR4" s="168"/>
      <c r="AS4" s="103"/>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row>
    <row r="5" spans="1:105" s="112" customFormat="1" ht="15" customHeight="1">
      <c r="A5" s="253"/>
      <c r="B5" s="249"/>
      <c r="C5" s="209" t="s">
        <v>88</v>
      </c>
      <c r="D5" s="133" t="s">
        <v>85</v>
      </c>
      <c r="E5" s="157">
        <v>3873023.3309339033</v>
      </c>
      <c r="F5" s="157">
        <v>3807938.7912400202</v>
      </c>
      <c r="G5" s="157">
        <v>3681371.0765948086</v>
      </c>
      <c r="H5" s="157">
        <v>3612170.8536726907</v>
      </c>
      <c r="I5" s="157">
        <v>3593763.4414307312</v>
      </c>
      <c r="J5" s="157">
        <v>3640341.98842332</v>
      </c>
      <c r="K5" s="157">
        <v>3725281.0003728131</v>
      </c>
      <c r="L5" s="157">
        <v>3659125.4671813394</v>
      </c>
      <c r="M5" s="157">
        <v>3649833.3754430539</v>
      </c>
      <c r="N5" s="157">
        <v>3594787.0037151575</v>
      </c>
      <c r="O5" s="157">
        <v>3606301.5966402353</v>
      </c>
      <c r="P5" s="157">
        <v>3663404.2415952953</v>
      </c>
      <c r="Q5" s="157">
        <v>3664291.9554574536</v>
      </c>
      <c r="R5" s="157">
        <v>3743213.3787790379</v>
      </c>
      <c r="S5" s="157">
        <v>3750816.2632212588</v>
      </c>
      <c r="T5" s="157">
        <v>3742796.9393666019</v>
      </c>
      <c r="U5" s="157">
        <v>3759891.1983414041</v>
      </c>
      <c r="V5" s="157">
        <v>3710709.639908799</v>
      </c>
      <c r="W5" s="157">
        <v>3634251.3148067677</v>
      </c>
      <c r="X5" s="157">
        <v>3339331.7106164955</v>
      </c>
      <c r="Y5" s="157">
        <v>3432970.2685692119</v>
      </c>
      <c r="Z5" s="157">
        <v>3335770.6019856283</v>
      </c>
      <c r="AA5" s="157">
        <v>3266586.5480191614</v>
      </c>
      <c r="AB5" s="157">
        <v>3177910.411238587</v>
      </c>
      <c r="AC5" s="157">
        <v>3042303.2882573451</v>
      </c>
      <c r="AD5" s="157">
        <v>3101672.9847513721</v>
      </c>
      <c r="AE5" s="157">
        <v>3099257.9562930437</v>
      </c>
      <c r="AF5" s="158">
        <v>3122783.9231626331</v>
      </c>
      <c r="AG5" s="158">
        <v>3055340.8104139124</v>
      </c>
      <c r="AH5" s="158">
        <v>2908385.334441151</v>
      </c>
      <c r="AI5" s="158">
        <v>2629904.5727267321</v>
      </c>
      <c r="AJ5" s="158">
        <v>2808290.8878538297</v>
      </c>
      <c r="AK5" s="158">
        <v>2740590.0108404695</v>
      </c>
      <c r="AL5" s="39"/>
      <c r="AM5" s="39"/>
      <c r="AN5" s="74">
        <f t="shared" si="0"/>
        <v>-0.29239000732287601</v>
      </c>
      <c r="AO5" s="25"/>
      <c r="AP5" s="168"/>
      <c r="AQ5" s="168"/>
      <c r="AR5" s="168"/>
      <c r="AS5" s="103"/>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row>
    <row r="6" spans="1:105" s="112" customFormat="1" ht="15" customHeight="1">
      <c r="A6" s="254"/>
      <c r="B6" s="250"/>
      <c r="C6" s="210"/>
      <c r="D6" s="148" t="s">
        <v>86</v>
      </c>
      <c r="E6" s="159">
        <v>3627466.9048564783</v>
      </c>
      <c r="F6" s="159">
        <v>3464021.1826447691</v>
      </c>
      <c r="G6" s="159">
        <v>3365178.1477964963</v>
      </c>
      <c r="H6" s="159">
        <v>3282183.6547343913</v>
      </c>
      <c r="I6" s="159">
        <v>3269916.5994308731</v>
      </c>
      <c r="J6" s="159">
        <v>3293996.1970242313</v>
      </c>
      <c r="K6" s="159">
        <v>3352484.3842393374</v>
      </c>
      <c r="L6" s="159">
        <v>3294148.7611091472</v>
      </c>
      <c r="M6" s="159">
        <v>3273961.320958762</v>
      </c>
      <c r="N6" s="159">
        <v>3207405.6179119549</v>
      </c>
      <c r="O6" s="159">
        <v>3268524.643456256</v>
      </c>
      <c r="P6" s="159">
        <v>3279032.5417442489</v>
      </c>
      <c r="Q6" s="159">
        <v>3311172.2588812243</v>
      </c>
      <c r="R6" s="159">
        <v>3399845.6505031316</v>
      </c>
      <c r="S6" s="159">
        <v>3372837.8870822252</v>
      </c>
      <c r="T6" s="159">
        <v>3368146.2346299342</v>
      </c>
      <c r="U6" s="159">
        <v>3381141.3745696507</v>
      </c>
      <c r="V6" s="159">
        <v>3380379.2901851418</v>
      </c>
      <c r="W6" s="159">
        <v>3257010.0871259635</v>
      </c>
      <c r="X6" s="159">
        <v>2964679.9437220157</v>
      </c>
      <c r="Y6" s="159">
        <v>3056367.8636230635</v>
      </c>
      <c r="Z6" s="159">
        <v>2965653.9879263211</v>
      </c>
      <c r="AA6" s="159">
        <v>2901048.6797953933</v>
      </c>
      <c r="AB6" s="159">
        <v>2805829.7931401506</v>
      </c>
      <c r="AC6" s="159">
        <v>2686444.1423318875</v>
      </c>
      <c r="AD6" s="159">
        <v>2752771.4689760483</v>
      </c>
      <c r="AE6" s="159">
        <v>2755099.1658572238</v>
      </c>
      <c r="AF6" s="160">
        <v>2846057.4834386972</v>
      </c>
      <c r="AG6" s="160">
        <v>2774184.8788484028</v>
      </c>
      <c r="AH6" s="160">
        <v>2642188.0750595271</v>
      </c>
      <c r="AI6" s="160">
        <v>2363937.6089436309</v>
      </c>
      <c r="AJ6" s="160">
        <v>2541511.418458127</v>
      </c>
      <c r="AK6" s="160">
        <v>2477871.1719774883</v>
      </c>
      <c r="AL6" s="40"/>
      <c r="AM6" s="40"/>
      <c r="AN6" s="75">
        <f t="shared" si="0"/>
        <v>-0.31691418916597225</v>
      </c>
      <c r="AO6" s="32"/>
      <c r="AP6" s="169"/>
      <c r="AQ6" s="169"/>
      <c r="AR6" s="169"/>
      <c r="AS6" s="14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row>
    <row r="7" spans="1:105" s="112" customFormat="1" ht="15" customHeight="1">
      <c r="A7" s="255" t="s">
        <v>9</v>
      </c>
      <c r="B7" s="248" t="s">
        <v>2</v>
      </c>
      <c r="C7" s="207" t="s">
        <v>87</v>
      </c>
      <c r="D7" s="133" t="s">
        <v>85</v>
      </c>
      <c r="E7" s="157">
        <v>79082.673168011388</v>
      </c>
      <c r="F7" s="157">
        <v>82746.098750786477</v>
      </c>
      <c r="G7" s="157">
        <v>76176.876305532409</v>
      </c>
      <c r="H7" s="157">
        <v>76550.864205191843</v>
      </c>
      <c r="I7" s="157">
        <v>76758.521428493099</v>
      </c>
      <c r="J7" s="157">
        <v>79985.739579565328</v>
      </c>
      <c r="K7" s="157">
        <v>83145.348937090195</v>
      </c>
      <c r="L7" s="157">
        <v>82752.333263402426</v>
      </c>
      <c r="M7" s="157">
        <v>82045.92515990368</v>
      </c>
      <c r="N7" s="157">
        <v>80467.642981102457</v>
      </c>
      <c r="O7" s="157">
        <v>80640.416344136305</v>
      </c>
      <c r="P7" s="157">
        <v>84524.169606875104</v>
      </c>
      <c r="Q7" s="157">
        <v>86278.914959678121</v>
      </c>
      <c r="R7" s="157">
        <v>91647.288314678619</v>
      </c>
      <c r="S7" s="157">
        <v>91442.941612934344</v>
      </c>
      <c r="T7" s="157">
        <v>92605.068286056456</v>
      </c>
      <c r="U7" s="157">
        <v>90193.095478713731</v>
      </c>
      <c r="V7" s="157">
        <v>87429.937240713014</v>
      </c>
      <c r="W7" s="157">
        <v>86841.176588884351</v>
      </c>
      <c r="X7" s="157">
        <v>80222.766706893322</v>
      </c>
      <c r="Y7" s="157">
        <v>84793.168349117186</v>
      </c>
      <c r="Z7" s="157">
        <v>82606.720998164223</v>
      </c>
      <c r="AA7" s="157">
        <v>79889.008800865951</v>
      </c>
      <c r="AB7" s="157">
        <v>80309.900059501422</v>
      </c>
      <c r="AC7" s="157">
        <v>76721.305385597268</v>
      </c>
      <c r="AD7" s="157">
        <v>78934.650399170307</v>
      </c>
      <c r="AE7" s="157">
        <v>79863.230046389639</v>
      </c>
      <c r="AF7" s="158">
        <v>82195.350264308654</v>
      </c>
      <c r="AG7" s="158">
        <v>78903.445867375369</v>
      </c>
      <c r="AH7" s="158">
        <v>80058.250396728617</v>
      </c>
      <c r="AI7" s="158">
        <v>74030.055858926236</v>
      </c>
      <c r="AJ7" s="158">
        <v>77359.765109191008</v>
      </c>
      <c r="AK7" s="158">
        <v>72844.016679234483</v>
      </c>
      <c r="AL7" s="41" t="s">
        <v>35</v>
      </c>
      <c r="AM7" s="41">
        <v>1990</v>
      </c>
      <c r="AN7" s="73">
        <f t="shared" si="0"/>
        <v>-7.8887779571169325E-2</v>
      </c>
      <c r="AO7" s="36">
        <v>-0.2</v>
      </c>
      <c r="AP7" s="166">
        <v>1990</v>
      </c>
      <c r="AQ7" s="167">
        <v>-0.55000000000000004</v>
      </c>
      <c r="AR7" s="166">
        <v>2030</v>
      </c>
      <c r="AS7" s="137">
        <f>(AK7/E7)-1</f>
        <v>-7.8887779571169325E-2</v>
      </c>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row>
    <row r="8" spans="1:105" s="112" customFormat="1" ht="15" customHeight="1">
      <c r="A8" s="256"/>
      <c r="B8" s="249"/>
      <c r="C8" s="208"/>
      <c r="D8" s="133" t="s">
        <v>86</v>
      </c>
      <c r="E8" s="157">
        <v>67400.86935146316</v>
      </c>
      <c r="F8" s="157">
        <v>64056.389582976873</v>
      </c>
      <c r="G8" s="157">
        <v>67151.526921836601</v>
      </c>
      <c r="H8" s="157">
        <v>59971.959453585776</v>
      </c>
      <c r="I8" s="157">
        <v>67547.646578354019</v>
      </c>
      <c r="J8" s="157">
        <v>60651.831799246836</v>
      </c>
      <c r="K8" s="157">
        <v>64703.304717137267</v>
      </c>
      <c r="L8" s="157">
        <v>60464.584417364596</v>
      </c>
      <c r="M8" s="157">
        <v>63159.975811991149</v>
      </c>
      <c r="N8" s="157">
        <v>60338.766844633967</v>
      </c>
      <c r="O8" s="157">
        <v>66682.740576106633</v>
      </c>
      <c r="P8" s="157">
        <v>55422.318775749642</v>
      </c>
      <c r="Q8" s="157">
        <v>73417.008503080986</v>
      </c>
      <c r="R8" s="157">
        <v>76663.973871223076</v>
      </c>
      <c r="S8" s="157">
        <v>69336.475134761378</v>
      </c>
      <c r="T8" s="157">
        <v>74506.467113324703</v>
      </c>
      <c r="U8" s="157">
        <v>81440.686857589346</v>
      </c>
      <c r="V8" s="157">
        <v>82070.25486359658</v>
      </c>
      <c r="W8" s="157">
        <v>74785.223279551225</v>
      </c>
      <c r="X8" s="157">
        <v>72484.205128305475</v>
      </c>
      <c r="Y8" s="157">
        <v>65353.856291604141</v>
      </c>
      <c r="Z8" s="157">
        <v>67571.662955586842</v>
      </c>
      <c r="AA8" s="157">
        <v>74445.753673166066</v>
      </c>
      <c r="AB8" s="157">
        <v>74398.825964256466</v>
      </c>
      <c r="AC8" s="157">
        <v>69435.655395324138</v>
      </c>
      <c r="AD8" s="157">
        <v>72700.53302107146</v>
      </c>
      <c r="AE8" s="157">
        <v>73195.75556269355</v>
      </c>
      <c r="AF8" s="158">
        <v>79265.472651083357</v>
      </c>
      <c r="AG8" s="158">
        <v>84125.096340659598</v>
      </c>
      <c r="AH8" s="158">
        <v>82495.134003483006</v>
      </c>
      <c r="AI8" s="158">
        <v>68186.604510569538</v>
      </c>
      <c r="AJ8" s="158">
        <v>66283.80132487652</v>
      </c>
      <c r="AK8" s="158">
        <v>68370.187335476527</v>
      </c>
      <c r="AL8" s="39"/>
      <c r="AM8" s="39"/>
      <c r="AN8" s="74">
        <f t="shared" si="0"/>
        <v>1.4381386966373366E-2</v>
      </c>
      <c r="AO8" s="25"/>
      <c r="AP8" s="168"/>
      <c r="AQ8" s="168"/>
      <c r="AR8" s="168"/>
      <c r="AS8" s="103"/>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row>
    <row r="9" spans="1:105" s="112" customFormat="1" ht="15" customHeight="1">
      <c r="A9" s="256"/>
      <c r="B9" s="249"/>
      <c r="C9" s="209" t="s">
        <v>88</v>
      </c>
      <c r="D9" s="133" t="s">
        <v>85</v>
      </c>
      <c r="E9" s="157">
        <v>62183.903553149896</v>
      </c>
      <c r="F9" s="157">
        <v>65782.394325428992</v>
      </c>
      <c r="G9" s="157">
        <v>60282.903836712758</v>
      </c>
      <c r="H9" s="157">
        <v>60708.861789915492</v>
      </c>
      <c r="I9" s="157">
        <v>61083.353790621324</v>
      </c>
      <c r="J9" s="157">
        <v>64060.755307745851</v>
      </c>
      <c r="K9" s="157">
        <v>67405.240870496971</v>
      </c>
      <c r="L9" s="157">
        <v>67301.822738655697</v>
      </c>
      <c r="M9" s="157">
        <v>66936.725779026805</v>
      </c>
      <c r="N9" s="157">
        <v>65667.804366047014</v>
      </c>
      <c r="O9" s="157">
        <v>66177.102084052487</v>
      </c>
      <c r="P9" s="157">
        <v>70165.582226614046</v>
      </c>
      <c r="Q9" s="157">
        <v>71969.395162310437</v>
      </c>
      <c r="R9" s="157">
        <v>77396.064967463244</v>
      </c>
      <c r="S9" s="157">
        <v>77693.557090635863</v>
      </c>
      <c r="T9" s="157">
        <v>79091.841064523018</v>
      </c>
      <c r="U9" s="157">
        <v>76811.652284239666</v>
      </c>
      <c r="V9" s="157">
        <v>74112.260235619717</v>
      </c>
      <c r="W9" s="157">
        <v>73489.914889443171</v>
      </c>
      <c r="X9" s="157">
        <v>67306.604523799135</v>
      </c>
      <c r="Y9" s="157">
        <v>72008.307950610862</v>
      </c>
      <c r="Z9" s="157">
        <v>69901.45533417385</v>
      </c>
      <c r="AA9" s="157">
        <v>67274.364752734036</v>
      </c>
      <c r="AB9" s="157">
        <v>67766.778637019393</v>
      </c>
      <c r="AC9" s="157">
        <v>64165.827218699058</v>
      </c>
      <c r="AD9" s="157">
        <v>66357.461004677054</v>
      </c>
      <c r="AE9" s="157">
        <v>67217.28218678078</v>
      </c>
      <c r="AF9" s="158">
        <v>69598.480374723687</v>
      </c>
      <c r="AG9" s="158">
        <v>66561.69225929903</v>
      </c>
      <c r="AH9" s="158">
        <v>67945.995443669482</v>
      </c>
      <c r="AI9" s="158">
        <v>62175.723500402892</v>
      </c>
      <c r="AJ9" s="158">
        <v>65757.468483350414</v>
      </c>
      <c r="AK9" s="158">
        <v>61489.111343829478</v>
      </c>
      <c r="AL9" s="39"/>
      <c r="AM9" s="39"/>
      <c r="AN9" s="74">
        <f t="shared" si="0"/>
        <v>-1.1173184210389153E-2</v>
      </c>
      <c r="AO9" s="25"/>
      <c r="AP9" s="168"/>
      <c r="AQ9" s="168"/>
      <c r="AR9" s="168"/>
      <c r="AS9" s="103"/>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row>
    <row r="10" spans="1:105" s="112" customFormat="1" ht="15" customHeight="1">
      <c r="A10" s="257"/>
      <c r="B10" s="258"/>
      <c r="C10" s="210"/>
      <c r="D10" s="148" t="s">
        <v>86</v>
      </c>
      <c r="E10" s="159">
        <v>50331.835094120572</v>
      </c>
      <c r="F10" s="159">
        <v>46920.505381101269</v>
      </c>
      <c r="G10" s="159">
        <v>51082.470772997345</v>
      </c>
      <c r="H10" s="159">
        <v>43952.362637077604</v>
      </c>
      <c r="I10" s="159">
        <v>51697.110589454656</v>
      </c>
      <c r="J10" s="159">
        <v>44554.599025203963</v>
      </c>
      <c r="K10" s="159">
        <v>48794.883343087218</v>
      </c>
      <c r="L10" s="159">
        <v>44849.72150407236</v>
      </c>
      <c r="M10" s="159">
        <v>47889.494731873812</v>
      </c>
      <c r="N10" s="159">
        <v>45379.381660141982</v>
      </c>
      <c r="O10" s="159">
        <v>52060.777932267301</v>
      </c>
      <c r="P10" s="159">
        <v>40904.818467732141</v>
      </c>
      <c r="Q10" s="159">
        <v>58947.600440606053</v>
      </c>
      <c r="R10" s="159">
        <v>62252.147747557727</v>
      </c>
      <c r="S10" s="159">
        <v>55427.400996066513</v>
      </c>
      <c r="T10" s="159">
        <v>60833.115160477835</v>
      </c>
      <c r="U10" s="159">
        <v>67898.247449608461</v>
      </c>
      <c r="V10" s="159">
        <v>68591.137039473615</v>
      </c>
      <c r="W10" s="159">
        <v>61270.066829616509</v>
      </c>
      <c r="X10" s="159">
        <v>59402.919732567243</v>
      </c>
      <c r="Y10" s="159">
        <v>52404.030233977755</v>
      </c>
      <c r="Z10" s="159">
        <v>54702.059333252495</v>
      </c>
      <c r="AA10" s="159">
        <v>61666.937730139041</v>
      </c>
      <c r="AB10" s="159">
        <v>61693.007616382296</v>
      </c>
      <c r="AC10" s="159">
        <v>56719.505202596905</v>
      </c>
      <c r="AD10" s="159">
        <v>59962.485337197148</v>
      </c>
      <c r="AE10" s="159">
        <v>60389.385619791487</v>
      </c>
      <c r="AF10" s="160">
        <v>66508.182663637854</v>
      </c>
      <c r="AG10" s="160">
        <v>71624.286498076239</v>
      </c>
      <c r="AH10" s="160">
        <v>70225.320544344329</v>
      </c>
      <c r="AI10" s="160">
        <v>56176.190801568424</v>
      </c>
      <c r="AJ10" s="160">
        <v>54526.378986122436</v>
      </c>
      <c r="AK10" s="160">
        <v>56860.451947144276</v>
      </c>
      <c r="AL10" s="40"/>
      <c r="AM10" s="40"/>
      <c r="AN10" s="75">
        <f t="shared" si="0"/>
        <v>0.12971148063278815</v>
      </c>
      <c r="AO10" s="32"/>
      <c r="AP10" s="169"/>
      <c r="AQ10" s="169"/>
      <c r="AR10" s="169"/>
      <c r="AS10" s="14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row>
    <row r="11" spans="1:105" s="112" customFormat="1" ht="15" customHeight="1">
      <c r="A11" s="255" t="s">
        <v>9</v>
      </c>
      <c r="B11" s="248" t="s">
        <v>49</v>
      </c>
      <c r="C11" s="207" t="s">
        <v>87</v>
      </c>
      <c r="D11" s="133" t="s">
        <v>85</v>
      </c>
      <c r="E11" s="157">
        <v>145849.07290169189</v>
      </c>
      <c r="F11" s="157">
        <v>148583.67036061708</v>
      </c>
      <c r="G11" s="157">
        <v>148081.77894181554</v>
      </c>
      <c r="H11" s="157">
        <v>146900.45644952572</v>
      </c>
      <c r="I11" s="157">
        <v>151448.7412937232</v>
      </c>
      <c r="J11" s="157">
        <v>153582.79337365387</v>
      </c>
      <c r="K11" s="157">
        <v>157230.44558741208</v>
      </c>
      <c r="L11" s="157">
        <v>148822.76398313261</v>
      </c>
      <c r="M11" s="157">
        <v>154014.77838038706</v>
      </c>
      <c r="N11" s="157">
        <v>147734.60914423584</v>
      </c>
      <c r="O11" s="157">
        <v>148878.59954699792</v>
      </c>
      <c r="P11" s="157">
        <v>147319.83984812556</v>
      </c>
      <c r="Q11" s="157">
        <v>147415.86306942676</v>
      </c>
      <c r="R11" s="157">
        <v>147731.90870219201</v>
      </c>
      <c r="S11" s="157">
        <v>148534.70428429349</v>
      </c>
      <c r="T11" s="157">
        <v>145429.61337672995</v>
      </c>
      <c r="U11" s="157">
        <v>142727.876329803</v>
      </c>
      <c r="V11" s="157">
        <v>139108.25790120364</v>
      </c>
      <c r="W11" s="157">
        <v>139040.34204844962</v>
      </c>
      <c r="X11" s="157">
        <v>126454.25481758521</v>
      </c>
      <c r="Y11" s="157">
        <v>133528.53227664868</v>
      </c>
      <c r="Z11" s="157">
        <v>123219.07824530477</v>
      </c>
      <c r="AA11" s="157">
        <v>120467.90814339944</v>
      </c>
      <c r="AB11" s="157">
        <v>120564.33466320646</v>
      </c>
      <c r="AC11" s="157">
        <v>114872.99751184777</v>
      </c>
      <c r="AD11" s="157">
        <v>119108.07514341379</v>
      </c>
      <c r="AE11" s="157">
        <v>117528.19035800759</v>
      </c>
      <c r="AF11" s="158">
        <v>117035.07527376426</v>
      </c>
      <c r="AG11" s="158">
        <v>117769.67363106439</v>
      </c>
      <c r="AH11" s="158">
        <v>116679.92983596635</v>
      </c>
      <c r="AI11" s="158">
        <v>107420.52638474511</v>
      </c>
      <c r="AJ11" s="158">
        <v>110195.86332455045</v>
      </c>
      <c r="AK11" s="158">
        <v>103576.12550473849</v>
      </c>
      <c r="AL11" s="41" t="s">
        <v>35</v>
      </c>
      <c r="AM11" s="41">
        <v>1990</v>
      </c>
      <c r="AN11" s="73">
        <f t="shared" si="0"/>
        <v>-0.2898403572674545</v>
      </c>
      <c r="AO11" s="36">
        <v>-0.2</v>
      </c>
      <c r="AP11" s="166">
        <v>1990</v>
      </c>
      <c r="AQ11" s="167">
        <v>-0.55000000000000004</v>
      </c>
      <c r="AR11" s="166">
        <v>2030</v>
      </c>
      <c r="AS11" s="137">
        <f>(AK11/E11)-1</f>
        <v>-0.2898403572674545</v>
      </c>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row>
    <row r="12" spans="1:105" s="112" customFormat="1" ht="15" customHeight="1">
      <c r="A12" s="256"/>
      <c r="B12" s="249"/>
      <c r="C12" s="208"/>
      <c r="D12" s="133" t="s">
        <v>86</v>
      </c>
      <c r="E12" s="157">
        <v>142909.17252554718</v>
      </c>
      <c r="F12" s="157">
        <v>146108.91179581702</v>
      </c>
      <c r="G12" s="157">
        <v>145787.05357002109</v>
      </c>
      <c r="H12" s="157">
        <v>144588.62312366313</v>
      </c>
      <c r="I12" s="157">
        <v>149388.05104151781</v>
      </c>
      <c r="J12" s="157">
        <v>151293.63115402995</v>
      </c>
      <c r="K12" s="157">
        <v>154745.21388511691</v>
      </c>
      <c r="L12" s="157">
        <v>146787.60461195267</v>
      </c>
      <c r="M12" s="157">
        <v>151423.18680319272</v>
      </c>
      <c r="N12" s="157">
        <v>145618.47520025703</v>
      </c>
      <c r="O12" s="157">
        <v>147183.35623905214</v>
      </c>
      <c r="P12" s="157">
        <v>145795.81679472278</v>
      </c>
      <c r="Q12" s="157">
        <v>145299.95177091952</v>
      </c>
      <c r="R12" s="157">
        <v>145721.36352860273</v>
      </c>
      <c r="S12" s="157">
        <v>146819.66481293263</v>
      </c>
      <c r="T12" s="157">
        <v>143654.7743257402</v>
      </c>
      <c r="U12" s="157">
        <v>140976.15012902155</v>
      </c>
      <c r="V12" s="157">
        <v>137658.10612503122</v>
      </c>
      <c r="W12" s="157">
        <v>137663.89686053299</v>
      </c>
      <c r="X12" s="157">
        <v>125250.65939944965</v>
      </c>
      <c r="Y12" s="157">
        <v>133168.90809342897</v>
      </c>
      <c r="Z12" s="157">
        <v>122964.12492682585</v>
      </c>
      <c r="AA12" s="157">
        <v>120229.39524693103</v>
      </c>
      <c r="AB12" s="157">
        <v>119786.69341596861</v>
      </c>
      <c r="AC12" s="157">
        <v>114081.90974483031</v>
      </c>
      <c r="AD12" s="157">
        <v>118366.95717221628</v>
      </c>
      <c r="AE12" s="157">
        <v>116855.5852332892</v>
      </c>
      <c r="AF12" s="158">
        <v>116479.46133661369</v>
      </c>
      <c r="AG12" s="158">
        <v>117203.08314360584</v>
      </c>
      <c r="AH12" s="158">
        <v>116268.33307085848</v>
      </c>
      <c r="AI12" s="158">
        <v>107035.80790141181</v>
      </c>
      <c r="AJ12" s="158">
        <v>109915.24470791369</v>
      </c>
      <c r="AK12" s="158">
        <v>103157.13913291329</v>
      </c>
      <c r="AL12" s="39"/>
      <c r="AM12" s="39"/>
      <c r="AN12" s="74">
        <f t="shared" si="0"/>
        <v>-0.27816292467530457</v>
      </c>
      <c r="AO12" s="25"/>
      <c r="AP12" s="168"/>
      <c r="AQ12" s="168"/>
      <c r="AR12" s="168"/>
      <c r="AS12" s="103"/>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row>
    <row r="13" spans="1:105" s="112" customFormat="1" ht="15" customHeight="1">
      <c r="A13" s="256"/>
      <c r="B13" s="249"/>
      <c r="C13" s="209" t="s">
        <v>88</v>
      </c>
      <c r="D13" s="133" t="s">
        <v>85</v>
      </c>
      <c r="E13" s="157">
        <v>120297.33952001481</v>
      </c>
      <c r="F13" s="157">
        <v>123366.65085097146</v>
      </c>
      <c r="G13" s="157">
        <v>122492.45508002576</v>
      </c>
      <c r="H13" s="157">
        <v>121427.33710496451</v>
      </c>
      <c r="I13" s="157">
        <v>124800.00285992809</v>
      </c>
      <c r="J13" s="157">
        <v>125939.19916659666</v>
      </c>
      <c r="K13" s="157">
        <v>129481.17910041065</v>
      </c>
      <c r="L13" s="157">
        <v>123992.66484782346</v>
      </c>
      <c r="M13" s="157">
        <v>130225.32087806892</v>
      </c>
      <c r="N13" s="157">
        <v>124682.83067401193</v>
      </c>
      <c r="O13" s="157">
        <v>126723.03533972344</v>
      </c>
      <c r="P13" s="157">
        <v>126066.95113516442</v>
      </c>
      <c r="Q13" s="157">
        <v>126863.56430268692</v>
      </c>
      <c r="R13" s="157">
        <v>128248.58869686926</v>
      </c>
      <c r="S13" s="157">
        <v>128781.74333383703</v>
      </c>
      <c r="T13" s="157">
        <v>125639.60501091259</v>
      </c>
      <c r="U13" s="157">
        <v>123884.25087191031</v>
      </c>
      <c r="V13" s="157">
        <v>120481.20494217274</v>
      </c>
      <c r="W13" s="157">
        <v>120179.65707642182</v>
      </c>
      <c r="X13" s="157">
        <v>107780.14139987565</v>
      </c>
      <c r="Y13" s="157">
        <v>114489.60359344963</v>
      </c>
      <c r="Z13" s="157">
        <v>105097.97703222717</v>
      </c>
      <c r="AA13" s="157">
        <v>102434.54416755981</v>
      </c>
      <c r="AB13" s="157">
        <v>102761.552940936</v>
      </c>
      <c r="AC13" s="157">
        <v>97033.59250369441</v>
      </c>
      <c r="AD13" s="157">
        <v>101275.02126180337</v>
      </c>
      <c r="AE13" s="157">
        <v>99741.557496461872</v>
      </c>
      <c r="AF13" s="158">
        <v>99192.034112844005</v>
      </c>
      <c r="AG13" s="158">
        <v>100158.57499965215</v>
      </c>
      <c r="AH13" s="158">
        <v>99684.187454310217</v>
      </c>
      <c r="AI13" s="158">
        <v>91228.271590561533</v>
      </c>
      <c r="AJ13" s="158">
        <v>94886.097406634057</v>
      </c>
      <c r="AK13" s="158">
        <v>89002.057598371932</v>
      </c>
      <c r="AL13" s="39"/>
      <c r="AM13" s="39"/>
      <c r="AN13" s="74">
        <f t="shared" si="0"/>
        <v>-0.26014941017407989</v>
      </c>
      <c r="AO13" s="25"/>
      <c r="AP13" s="168"/>
      <c r="AQ13" s="168"/>
      <c r="AR13" s="168"/>
      <c r="AS13" s="103"/>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row>
    <row r="14" spans="1:105" s="112" customFormat="1" ht="15" customHeight="1">
      <c r="A14" s="257"/>
      <c r="B14" s="258"/>
      <c r="C14" s="210"/>
      <c r="D14" s="148" t="s">
        <v>86</v>
      </c>
      <c r="E14" s="159">
        <v>117351.91399085824</v>
      </c>
      <c r="F14" s="159">
        <v>120883.29511190388</v>
      </c>
      <c r="G14" s="159">
        <v>120186.09116994339</v>
      </c>
      <c r="H14" s="159">
        <v>119100.75883720095</v>
      </c>
      <c r="I14" s="159">
        <v>122721.54371987106</v>
      </c>
      <c r="J14" s="159">
        <v>123629.36256657509</v>
      </c>
      <c r="K14" s="159">
        <v>126962.35537128555</v>
      </c>
      <c r="L14" s="159">
        <v>121930.58300663992</v>
      </c>
      <c r="M14" s="159">
        <v>127603.67302578111</v>
      </c>
      <c r="N14" s="159">
        <v>122533.6813022532</v>
      </c>
      <c r="O14" s="159">
        <v>124991.71818191248</v>
      </c>
      <c r="P14" s="159">
        <v>124503.75334427696</v>
      </c>
      <c r="Q14" s="159">
        <v>124705.30218427643</v>
      </c>
      <c r="R14" s="159">
        <v>126192.62898551872</v>
      </c>
      <c r="S14" s="159">
        <v>126997.79962209397</v>
      </c>
      <c r="T14" s="159">
        <v>123792.92429338887</v>
      </c>
      <c r="U14" s="159">
        <v>122057.75172212155</v>
      </c>
      <c r="V14" s="159">
        <v>118953.34469939559</v>
      </c>
      <c r="W14" s="159">
        <v>118722.5890042345</v>
      </c>
      <c r="X14" s="159">
        <v>106493.01771148677</v>
      </c>
      <c r="Y14" s="159">
        <v>114044.07050208726</v>
      </c>
      <c r="Z14" s="159">
        <v>104751.60498442441</v>
      </c>
      <c r="AA14" s="159">
        <v>102105.41081567449</v>
      </c>
      <c r="AB14" s="159">
        <v>101893.17088684958</v>
      </c>
      <c r="AC14" s="159">
        <v>96151.671672161188</v>
      </c>
      <c r="AD14" s="159">
        <v>100442.99451144633</v>
      </c>
      <c r="AE14" s="159">
        <v>98976.863185728434</v>
      </c>
      <c r="AF14" s="160">
        <v>98543.167225546145</v>
      </c>
      <c r="AG14" s="160">
        <v>99497.527674921424</v>
      </c>
      <c r="AH14" s="160">
        <v>99176.913699120152</v>
      </c>
      <c r="AI14" s="160">
        <v>90746.703513379834</v>
      </c>
      <c r="AJ14" s="160">
        <v>94506.901817755817</v>
      </c>
      <c r="AK14" s="160">
        <v>88483.891364315074</v>
      </c>
      <c r="AL14" s="40"/>
      <c r="AM14" s="40"/>
      <c r="AN14" s="75">
        <f t="shared" si="0"/>
        <v>-0.24599532845107241</v>
      </c>
      <c r="AO14" s="32"/>
      <c r="AP14" s="169"/>
      <c r="AQ14" s="169"/>
      <c r="AR14" s="169"/>
      <c r="AS14" s="14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row>
    <row r="15" spans="1:105" s="112" customFormat="1" ht="15" customHeight="1">
      <c r="A15" s="255" t="s">
        <v>9</v>
      </c>
      <c r="B15" s="248" t="s">
        <v>50</v>
      </c>
      <c r="C15" s="207" t="s">
        <v>87</v>
      </c>
      <c r="D15" s="133" t="s">
        <v>85</v>
      </c>
      <c r="E15" s="157">
        <v>98800.787632139691</v>
      </c>
      <c r="F15" s="157">
        <v>80943.321768442853</v>
      </c>
      <c r="G15" s="157">
        <v>75410.630862424878</v>
      </c>
      <c r="H15" s="157">
        <v>74721.422508672724</v>
      </c>
      <c r="I15" s="157">
        <v>70653.013641766243</v>
      </c>
      <c r="J15" s="157">
        <v>72207.970604246133</v>
      </c>
      <c r="K15" s="157">
        <v>72647.46052336815</v>
      </c>
      <c r="L15" s="157">
        <v>69433.501437418381</v>
      </c>
      <c r="M15" s="157">
        <v>65390.218077585261</v>
      </c>
      <c r="N15" s="157">
        <v>58356.482889484148</v>
      </c>
      <c r="O15" s="157">
        <v>57511.920480679481</v>
      </c>
      <c r="P15" s="157">
        <v>60401.552497939076</v>
      </c>
      <c r="Q15" s="157">
        <v>57797.613143748516</v>
      </c>
      <c r="R15" s="157">
        <v>62694.771208799873</v>
      </c>
      <c r="S15" s="157">
        <v>61817.254036706348</v>
      </c>
      <c r="T15" s="157">
        <v>62347.443195671447</v>
      </c>
      <c r="U15" s="157">
        <v>63104.636352995105</v>
      </c>
      <c r="V15" s="157">
        <v>66950.196566893879</v>
      </c>
      <c r="W15" s="157">
        <v>65611.708943128237</v>
      </c>
      <c r="X15" s="157">
        <v>56719.076101881787</v>
      </c>
      <c r="Y15" s="157">
        <v>59363.945732735578</v>
      </c>
      <c r="Z15" s="157">
        <v>64746.44201755512</v>
      </c>
      <c r="AA15" s="157">
        <v>59673.445485797929</v>
      </c>
      <c r="AB15" s="157">
        <v>54313.584846155696</v>
      </c>
      <c r="AC15" s="157">
        <v>57270.218329121373</v>
      </c>
      <c r="AD15" s="157">
        <v>60450.684085046974</v>
      </c>
      <c r="AE15" s="157">
        <v>57802.317074097577</v>
      </c>
      <c r="AF15" s="158">
        <v>59607.944339655092</v>
      </c>
      <c r="AG15" s="158">
        <v>55252.883555890148</v>
      </c>
      <c r="AH15" s="158">
        <v>53942.890157434362</v>
      </c>
      <c r="AI15" s="158">
        <v>47963.350022839339</v>
      </c>
      <c r="AJ15" s="158">
        <v>54030.656431418538</v>
      </c>
      <c r="AK15" s="158">
        <v>58420.850826148155</v>
      </c>
      <c r="AL15" s="41" t="s">
        <v>35</v>
      </c>
      <c r="AM15" s="41">
        <v>1990</v>
      </c>
      <c r="AN15" s="73">
        <f t="shared" si="0"/>
        <v>-0.40870055567103625</v>
      </c>
      <c r="AO15" s="36">
        <v>-0.2</v>
      </c>
      <c r="AP15" s="166">
        <v>1990</v>
      </c>
      <c r="AQ15" s="167">
        <v>-0.55000000000000004</v>
      </c>
      <c r="AR15" s="166">
        <v>2030</v>
      </c>
      <c r="AS15" s="137">
        <f>(AK15/E15)-1</f>
        <v>-0.40870055567103625</v>
      </c>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row>
    <row r="16" spans="1:105" s="112" customFormat="1" ht="15" customHeight="1">
      <c r="A16" s="256"/>
      <c r="B16" s="249"/>
      <c r="C16" s="208"/>
      <c r="D16" s="133" t="s">
        <v>86</v>
      </c>
      <c r="E16" s="157">
        <v>81023.163651073031</v>
      </c>
      <c r="F16" s="157">
        <v>63198.305817488843</v>
      </c>
      <c r="G16" s="157">
        <v>58244.555286541581</v>
      </c>
      <c r="H16" s="157">
        <v>57341.113320823024</v>
      </c>
      <c r="I16" s="157">
        <v>53260.599880286216</v>
      </c>
      <c r="J16" s="157">
        <v>54813.903515658465</v>
      </c>
      <c r="K16" s="157">
        <v>55976.902637192994</v>
      </c>
      <c r="L16" s="157">
        <v>52646.613449363213</v>
      </c>
      <c r="M16" s="157">
        <v>48963.810291856091</v>
      </c>
      <c r="N16" s="157">
        <v>42142.866991319192</v>
      </c>
      <c r="O16" s="157">
        <v>40169.967079565751</v>
      </c>
      <c r="P16" s="157">
        <v>45796.239653925317</v>
      </c>
      <c r="Q16" s="157">
        <v>42938.820088248081</v>
      </c>
      <c r="R16" s="157">
        <v>48276.829656256756</v>
      </c>
      <c r="S16" s="157">
        <v>46721.902431408686</v>
      </c>
      <c r="T16" s="157">
        <v>46052.856424626792</v>
      </c>
      <c r="U16" s="157">
        <v>50084.493891640173</v>
      </c>
      <c r="V16" s="157">
        <v>53035.393809113426</v>
      </c>
      <c r="W16" s="157">
        <v>53281.636771674173</v>
      </c>
      <c r="X16" s="157">
        <v>44246.689283811305</v>
      </c>
      <c r="Y16" s="157">
        <v>47426.873157159564</v>
      </c>
      <c r="Z16" s="157">
        <v>56099.165773887187</v>
      </c>
      <c r="AA16" s="157">
        <v>51469.261959745389</v>
      </c>
      <c r="AB16" s="157">
        <v>47121.24886822894</v>
      </c>
      <c r="AC16" s="157">
        <v>48815.10813489306</v>
      </c>
      <c r="AD16" s="157">
        <v>52446.605514751114</v>
      </c>
      <c r="AE16" s="157">
        <v>48007.878086530538</v>
      </c>
      <c r="AF16" s="158">
        <v>49827.040677348079</v>
      </c>
      <c r="AG16" s="158">
        <v>45380.906717953265</v>
      </c>
      <c r="AH16" s="158">
        <v>44356.946484677654</v>
      </c>
      <c r="AI16" s="158">
        <v>38357.874817030934</v>
      </c>
      <c r="AJ16" s="158">
        <v>44451.734476854581</v>
      </c>
      <c r="AK16" s="158">
        <v>48880.815932116173</v>
      </c>
      <c r="AL16" s="39"/>
      <c r="AM16" s="39"/>
      <c r="AN16" s="74">
        <f t="shared" si="0"/>
        <v>-0.39670566132640983</v>
      </c>
      <c r="AO16" s="25"/>
      <c r="AP16" s="168"/>
      <c r="AQ16" s="168"/>
      <c r="AR16" s="168"/>
      <c r="AS16" s="103"/>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row>
    <row r="17" spans="1:105" s="112" customFormat="1" ht="15" customHeight="1">
      <c r="A17" s="256"/>
      <c r="B17" s="249"/>
      <c r="C17" s="209" t="s">
        <v>88</v>
      </c>
      <c r="D17" s="133" t="s">
        <v>85</v>
      </c>
      <c r="E17" s="157">
        <v>76520.384683477489</v>
      </c>
      <c r="F17" s="157">
        <v>61534.540131204114</v>
      </c>
      <c r="G17" s="157">
        <v>57369.19495643484</v>
      </c>
      <c r="H17" s="157">
        <v>58399.536552423997</v>
      </c>
      <c r="I17" s="157">
        <v>56392.825170572323</v>
      </c>
      <c r="J17" s="157">
        <v>57926.709064706163</v>
      </c>
      <c r="K17" s="157">
        <v>58470.426637865959</v>
      </c>
      <c r="L17" s="157">
        <v>55819.149086956313</v>
      </c>
      <c r="M17" s="157">
        <v>53126.685030362569</v>
      </c>
      <c r="N17" s="157">
        <v>46378.916044521007</v>
      </c>
      <c r="O17" s="157">
        <v>45516.045034040049</v>
      </c>
      <c r="P17" s="157">
        <v>49034.393232229544</v>
      </c>
      <c r="Q17" s="157">
        <v>46155.215705151779</v>
      </c>
      <c r="R17" s="157">
        <v>50504.308451364974</v>
      </c>
      <c r="S17" s="157">
        <v>49542.805254472805</v>
      </c>
      <c r="T17" s="157">
        <v>50605.600459238718</v>
      </c>
      <c r="U17" s="157">
        <v>51843.667878776789</v>
      </c>
      <c r="V17" s="157">
        <v>55674.040101094623</v>
      </c>
      <c r="W17" s="157">
        <v>54033.684418282188</v>
      </c>
      <c r="X17" s="157">
        <v>45761.528521584463</v>
      </c>
      <c r="Y17" s="157">
        <v>47826.461143367313</v>
      </c>
      <c r="Z17" s="157">
        <v>53131.781186282024</v>
      </c>
      <c r="AA17" s="157">
        <v>48288.868957185667</v>
      </c>
      <c r="AB17" s="157">
        <v>42652.178243593058</v>
      </c>
      <c r="AC17" s="157">
        <v>45178.741386291571</v>
      </c>
      <c r="AD17" s="157">
        <v>48131.472286312972</v>
      </c>
      <c r="AE17" s="157">
        <v>45345.742829279261</v>
      </c>
      <c r="AF17" s="158">
        <v>47447.21851812541</v>
      </c>
      <c r="AG17" s="158">
        <v>43508.75327834511</v>
      </c>
      <c r="AH17" s="158">
        <v>42199.322775220535</v>
      </c>
      <c r="AI17" s="158">
        <v>36583.957756727381</v>
      </c>
      <c r="AJ17" s="158">
        <v>42357.013818343599</v>
      </c>
      <c r="AK17" s="158">
        <v>46931.014918140521</v>
      </c>
      <c r="AL17" s="39"/>
      <c r="AM17" s="39"/>
      <c r="AN17" s="74">
        <f t="shared" si="0"/>
        <v>-0.38668610838447592</v>
      </c>
      <c r="AO17" s="25"/>
      <c r="AP17" s="168"/>
      <c r="AQ17" s="168"/>
      <c r="AR17" s="168"/>
      <c r="AS17" s="103"/>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row>
    <row r="18" spans="1:105" s="112" customFormat="1" ht="15" customHeight="1">
      <c r="A18" s="257"/>
      <c r="B18" s="258"/>
      <c r="C18" s="210"/>
      <c r="D18" s="148" t="s">
        <v>86</v>
      </c>
      <c r="E18" s="159">
        <v>58675.190785831714</v>
      </c>
      <c r="F18" s="159">
        <v>43726.407062295344</v>
      </c>
      <c r="G18" s="159">
        <v>40123.746905336506</v>
      </c>
      <c r="H18" s="159">
        <v>40891.287744374233</v>
      </c>
      <c r="I18" s="159">
        <v>38875.452199511135</v>
      </c>
      <c r="J18" s="159">
        <v>40479.423952329555</v>
      </c>
      <c r="K18" s="159">
        <v>41742.349637257692</v>
      </c>
      <c r="L18" s="159">
        <v>38982.154463984843</v>
      </c>
      <c r="M18" s="159">
        <v>36627.541922232587</v>
      </c>
      <c r="N18" s="159">
        <v>30083.765575929792</v>
      </c>
      <c r="O18" s="159">
        <v>27896.902120400406</v>
      </c>
      <c r="P18" s="159">
        <v>34303.300038417845</v>
      </c>
      <c r="Q18" s="159">
        <v>31226.242987243953</v>
      </c>
      <c r="R18" s="159">
        <v>36023.005710912475</v>
      </c>
      <c r="S18" s="159">
        <v>34400.98082773402</v>
      </c>
      <c r="T18" s="159">
        <v>34263.62459373771</v>
      </c>
      <c r="U18" s="159">
        <v>38767.278958586641</v>
      </c>
      <c r="V18" s="159">
        <v>41545.064459012894</v>
      </c>
      <c r="W18" s="159">
        <v>41636.500505360091</v>
      </c>
      <c r="X18" s="159">
        <v>33232.814148886908</v>
      </c>
      <c r="Y18" s="159">
        <v>35807.135050287725</v>
      </c>
      <c r="Z18" s="159">
        <v>44392.284971627887</v>
      </c>
      <c r="AA18" s="159">
        <v>39958.801211430939</v>
      </c>
      <c r="AB18" s="159">
        <v>35351.774697844114</v>
      </c>
      <c r="AC18" s="159">
        <v>36625.273824251322</v>
      </c>
      <c r="AD18" s="159">
        <v>40006.809922292945</v>
      </c>
      <c r="AE18" s="159">
        <v>35428.055560166176</v>
      </c>
      <c r="AF18" s="160">
        <v>37550.68315772932</v>
      </c>
      <c r="AG18" s="160">
        <v>33534.413266450058</v>
      </c>
      <c r="AH18" s="160">
        <v>32499.950363181662</v>
      </c>
      <c r="AI18" s="160">
        <v>26865.542603036556</v>
      </c>
      <c r="AJ18" s="160">
        <v>32672.892468384176</v>
      </c>
      <c r="AK18" s="160">
        <v>37266.300237919146</v>
      </c>
      <c r="AL18" s="40"/>
      <c r="AM18" s="40"/>
      <c r="AN18" s="75">
        <f t="shared" si="0"/>
        <v>-0.36487125582695457</v>
      </c>
      <c r="AO18" s="32"/>
      <c r="AP18" s="169"/>
      <c r="AQ18" s="169"/>
      <c r="AR18" s="169"/>
      <c r="AS18" s="14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row>
    <row r="19" spans="1:105" s="112" customFormat="1" ht="15" customHeight="1">
      <c r="A19" s="255" t="s">
        <v>9</v>
      </c>
      <c r="B19" s="248" t="s">
        <v>51</v>
      </c>
      <c r="C19" s="207" t="s">
        <v>87</v>
      </c>
      <c r="D19" s="133" t="s">
        <v>85</v>
      </c>
      <c r="E19" s="157">
        <v>31546.320251384255</v>
      </c>
      <c r="F19" s="157">
        <v>25021.258127998208</v>
      </c>
      <c r="G19" s="157">
        <v>23134.505143703722</v>
      </c>
      <c r="H19" s="157">
        <v>23122.502386360589</v>
      </c>
      <c r="I19" s="157">
        <v>22206.747974025922</v>
      </c>
      <c r="J19" s="157">
        <v>22875.231681564677</v>
      </c>
      <c r="K19" s="157">
        <v>23366.340229528316</v>
      </c>
      <c r="L19" s="157">
        <v>24748.202871789545</v>
      </c>
      <c r="M19" s="157">
        <v>24885.896966683009</v>
      </c>
      <c r="N19" s="157">
        <v>26204.31508060799</v>
      </c>
      <c r="O19" s="157">
        <v>25826.808215609308</v>
      </c>
      <c r="P19" s="157">
        <v>27007.330496314258</v>
      </c>
      <c r="Q19" s="157">
        <v>28100.998848519652</v>
      </c>
      <c r="R19" s="157">
        <v>29537.889458490114</v>
      </c>
      <c r="S19" s="157">
        <v>29497.650461318994</v>
      </c>
      <c r="T19" s="157">
        <v>29962.838535401308</v>
      </c>
      <c r="U19" s="157">
        <v>30356.467842292685</v>
      </c>
      <c r="V19" s="157">
        <v>31781.251520210895</v>
      </c>
      <c r="W19" s="157">
        <v>30828.118474723411</v>
      </c>
      <c r="X19" s="157">
        <v>28677.704241305044</v>
      </c>
      <c r="Y19" s="157">
        <v>28289.566154906315</v>
      </c>
      <c r="Z19" s="157">
        <v>28002.009903162594</v>
      </c>
      <c r="AA19" s="157">
        <v>26265.917163249076</v>
      </c>
      <c r="AB19" s="157">
        <v>25044.739696969609</v>
      </c>
      <c r="AC19" s="157">
        <v>24312.757323880658</v>
      </c>
      <c r="AD19" s="157">
        <v>24770.419914726706</v>
      </c>
      <c r="AE19" s="157">
        <v>24942.282300878531</v>
      </c>
      <c r="AF19" s="158">
        <v>25785.316199923895</v>
      </c>
      <c r="AG19" s="158">
        <v>24659.62552341861</v>
      </c>
      <c r="AH19" s="158">
        <v>24830.697241162121</v>
      </c>
      <c r="AI19" s="158">
        <v>23914.494617707456</v>
      </c>
      <c r="AJ19" s="158">
        <v>24437.178942736264</v>
      </c>
      <c r="AK19" s="158">
        <v>24551.983119628854</v>
      </c>
      <c r="AL19" s="83">
        <v>-0.05</v>
      </c>
      <c r="AM19" s="41">
        <v>1990</v>
      </c>
      <c r="AN19" s="73">
        <f t="shared" si="0"/>
        <v>-0.22171641814384002</v>
      </c>
      <c r="AO19" s="36">
        <v>-0.2</v>
      </c>
      <c r="AP19" s="166">
        <v>1990</v>
      </c>
      <c r="AQ19" s="167">
        <v>-0.55000000000000004</v>
      </c>
      <c r="AR19" s="166">
        <v>2030</v>
      </c>
      <c r="AS19" s="137">
        <f>(AK19/E19)-1</f>
        <v>-0.22171641814384002</v>
      </c>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row>
    <row r="20" spans="1:105" s="112" customFormat="1" ht="15" customHeight="1">
      <c r="A20" s="256"/>
      <c r="B20" s="249"/>
      <c r="C20" s="208"/>
      <c r="D20" s="133" t="s">
        <v>86</v>
      </c>
      <c r="E20" s="157">
        <v>25198.284369217003</v>
      </c>
      <c r="F20" s="157">
        <v>17493.623654664203</v>
      </c>
      <c r="G20" s="157">
        <v>15506.440147837027</v>
      </c>
      <c r="H20" s="157">
        <v>15327.035594134999</v>
      </c>
      <c r="I20" s="157">
        <v>14143.55595157762</v>
      </c>
      <c r="J20" s="157">
        <v>14324.070451318594</v>
      </c>
      <c r="K20" s="157">
        <v>15171.312694988039</v>
      </c>
      <c r="L20" s="157">
        <v>17164.871944588886</v>
      </c>
      <c r="M20" s="157">
        <v>17494.855374769464</v>
      </c>
      <c r="N20" s="157">
        <v>18019.17231384488</v>
      </c>
      <c r="O20" s="157">
        <v>19088.672385005761</v>
      </c>
      <c r="P20" s="157">
        <v>19025.881016430198</v>
      </c>
      <c r="Q20" s="157">
        <v>19837.629008565964</v>
      </c>
      <c r="R20" s="157">
        <v>22101.027710367322</v>
      </c>
      <c r="S20" s="157">
        <v>21731.482839626417</v>
      </c>
      <c r="T20" s="157">
        <v>21959.589000458571</v>
      </c>
      <c r="U20" s="157">
        <v>22539.682966170007</v>
      </c>
      <c r="V20" s="157">
        <v>25118.269158170195</v>
      </c>
      <c r="W20" s="157">
        <v>23962.791275851381</v>
      </c>
      <c r="X20" s="157">
        <v>21706.300860078187</v>
      </c>
      <c r="Y20" s="157">
        <v>21382.736865039165</v>
      </c>
      <c r="Z20" s="157">
        <v>22374.768340918046</v>
      </c>
      <c r="AA20" s="157">
        <v>21080.048451699469</v>
      </c>
      <c r="AB20" s="157">
        <v>18894.229287842689</v>
      </c>
      <c r="AC20" s="157">
        <v>18310.03478646978</v>
      </c>
      <c r="AD20" s="157">
        <v>19078.517579959171</v>
      </c>
      <c r="AE20" s="157">
        <v>19244.073221765633</v>
      </c>
      <c r="AF20" s="158">
        <v>20901.631306477746</v>
      </c>
      <c r="AG20" s="158">
        <v>19166.842384882297</v>
      </c>
      <c r="AH20" s="158">
        <v>19104.850616488158</v>
      </c>
      <c r="AI20" s="158">
        <v>18255.880675698034</v>
      </c>
      <c r="AJ20" s="158">
        <v>18673.44903171029</v>
      </c>
      <c r="AK20" s="158">
        <v>19684.822737230847</v>
      </c>
      <c r="AL20" s="39"/>
      <c r="AM20" s="39"/>
      <c r="AN20" s="74">
        <f t="shared" si="0"/>
        <v>-0.21880305623987517</v>
      </c>
      <c r="AO20" s="25"/>
      <c r="AP20" s="168"/>
      <c r="AQ20" s="168"/>
      <c r="AR20" s="168"/>
      <c r="AS20" s="103"/>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row>
    <row r="21" spans="1:105" s="112" customFormat="1" ht="15" customHeight="1">
      <c r="A21" s="256"/>
      <c r="B21" s="249"/>
      <c r="C21" s="209" t="s">
        <v>88</v>
      </c>
      <c r="D21" s="133" t="s">
        <v>85</v>
      </c>
      <c r="E21" s="157">
        <v>22874.491297179793</v>
      </c>
      <c r="F21" s="157">
        <v>16992.687330930843</v>
      </c>
      <c r="G21" s="157">
        <v>16374.967015672828</v>
      </c>
      <c r="H21" s="157">
        <v>16807.77346749268</v>
      </c>
      <c r="I21" s="157">
        <v>16051.527810150135</v>
      </c>
      <c r="J21" s="157">
        <v>16811.348438872403</v>
      </c>
      <c r="K21" s="157">
        <v>17335.912104314393</v>
      </c>
      <c r="L21" s="157">
        <v>18566.834523198402</v>
      </c>
      <c r="M21" s="157">
        <v>19038.722681075429</v>
      </c>
      <c r="N21" s="157">
        <v>20081.424916445674</v>
      </c>
      <c r="O21" s="157">
        <v>19652.269461899119</v>
      </c>
      <c r="P21" s="157">
        <v>20776.02366477334</v>
      </c>
      <c r="Q21" s="157">
        <v>21916.044197724557</v>
      </c>
      <c r="R21" s="157">
        <v>23227.369542334443</v>
      </c>
      <c r="S21" s="157">
        <v>22854.529551668154</v>
      </c>
      <c r="T21" s="157">
        <v>23297.976151968793</v>
      </c>
      <c r="U21" s="157">
        <v>23499.119056661282</v>
      </c>
      <c r="V21" s="157">
        <v>24804.67241224632</v>
      </c>
      <c r="W21" s="157">
        <v>23520.15520344401</v>
      </c>
      <c r="X21" s="157">
        <v>21756.484498376736</v>
      </c>
      <c r="Y21" s="157">
        <v>20986.247966209074</v>
      </c>
      <c r="Z21" s="157">
        <v>20620.634340101667</v>
      </c>
      <c r="AA21" s="157">
        <v>19056.299905919659</v>
      </c>
      <c r="AB21" s="157">
        <v>18406.077663498269</v>
      </c>
      <c r="AC21" s="157">
        <v>17657.191885841203</v>
      </c>
      <c r="AD21" s="157">
        <v>17803.004927947164</v>
      </c>
      <c r="AE21" s="157">
        <v>18089.978671449942</v>
      </c>
      <c r="AF21" s="158">
        <v>18719.099911671157</v>
      </c>
      <c r="AG21" s="158">
        <v>17702.566418745242</v>
      </c>
      <c r="AH21" s="158">
        <v>17830.287116792533</v>
      </c>
      <c r="AI21" s="158">
        <v>16881.603248792024</v>
      </c>
      <c r="AJ21" s="158">
        <v>17410.669651983109</v>
      </c>
      <c r="AK21" s="158">
        <v>17608.211713994351</v>
      </c>
      <c r="AL21" s="39"/>
      <c r="AM21" s="39"/>
      <c r="AN21" s="74">
        <f t="shared" si="0"/>
        <v>-0.23022499231861493</v>
      </c>
      <c r="AO21" s="25"/>
      <c r="AP21" s="168"/>
      <c r="AQ21" s="168"/>
      <c r="AR21" s="168"/>
      <c r="AS21" s="103"/>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row>
    <row r="22" spans="1:105" s="112" customFormat="1" ht="15" customHeight="1">
      <c r="A22" s="257"/>
      <c r="B22" s="258"/>
      <c r="C22" s="210"/>
      <c r="D22" s="148" t="s">
        <v>86</v>
      </c>
      <c r="E22" s="159">
        <v>16480.415913153305</v>
      </c>
      <c r="F22" s="159">
        <v>9416.0546781285957</v>
      </c>
      <c r="G22" s="159">
        <v>8677.4106287818395</v>
      </c>
      <c r="H22" s="159">
        <v>8910.290158379803</v>
      </c>
      <c r="I22" s="159">
        <v>7926.0488915106107</v>
      </c>
      <c r="J22" s="159">
        <v>8205.1618250518713</v>
      </c>
      <c r="K22" s="159">
        <v>9070.5390041204191</v>
      </c>
      <c r="L22" s="159">
        <v>10911.735609281481</v>
      </c>
      <c r="M22" s="159">
        <v>11527.910018643688</v>
      </c>
      <c r="N22" s="159">
        <v>11845.115289060464</v>
      </c>
      <c r="O22" s="159">
        <v>12705.010761092584</v>
      </c>
      <c r="P22" s="159">
        <v>12714.221951514392</v>
      </c>
      <c r="Q22" s="159">
        <v>13587.81133698024</v>
      </c>
      <c r="R22" s="159">
        <v>15661.110092502899</v>
      </c>
      <c r="S22" s="159">
        <v>15015.420372176895</v>
      </c>
      <c r="T22" s="159">
        <v>15213.540533356405</v>
      </c>
      <c r="U22" s="159">
        <v>15586.881147755281</v>
      </c>
      <c r="V22" s="159">
        <v>17991.421327685326</v>
      </c>
      <c r="W22" s="159">
        <v>16534.07000872869</v>
      </c>
      <c r="X22" s="159">
        <v>14661.556176756607</v>
      </c>
      <c r="Y22" s="159">
        <v>13950.642342181938</v>
      </c>
      <c r="Z22" s="159">
        <v>14822.37825778134</v>
      </c>
      <c r="AA22" s="159">
        <v>13653.652374969388</v>
      </c>
      <c r="AB22" s="159">
        <v>12098.840975426136</v>
      </c>
      <c r="AC22" s="159">
        <v>11495.890585018502</v>
      </c>
      <c r="AD22" s="159">
        <v>11925.31991202115</v>
      </c>
      <c r="AE22" s="159">
        <v>12214.597994655687</v>
      </c>
      <c r="AF22" s="160">
        <v>13551.105660730802</v>
      </c>
      <c r="AG22" s="160">
        <v>12043.789426560666</v>
      </c>
      <c r="AH22" s="160">
        <v>11936.022486943091</v>
      </c>
      <c r="AI22" s="160">
        <v>11002.740352867218</v>
      </c>
      <c r="AJ22" s="160">
        <v>11480.244201844169</v>
      </c>
      <c r="AK22" s="160">
        <v>12534.153955913011</v>
      </c>
      <c r="AL22" s="40"/>
      <c r="AM22" s="40"/>
      <c r="AN22" s="75">
        <f t="shared" si="0"/>
        <v>-0.2394515998889758</v>
      </c>
      <c r="AO22" s="32"/>
      <c r="AP22" s="169"/>
      <c r="AQ22" s="169"/>
      <c r="AR22" s="169"/>
      <c r="AS22" s="14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row>
    <row r="23" spans="1:105" ht="15" customHeight="1">
      <c r="A23" s="255" t="s">
        <v>9</v>
      </c>
      <c r="B23" s="248" t="s">
        <v>52</v>
      </c>
      <c r="C23" s="207" t="s">
        <v>87</v>
      </c>
      <c r="D23" s="133" t="s">
        <v>85</v>
      </c>
      <c r="E23" s="157">
        <v>5570.3489276682267</v>
      </c>
      <c r="F23" s="157">
        <v>6074.899410528973</v>
      </c>
      <c r="G23" s="157">
        <v>6511.3842846298976</v>
      </c>
      <c r="H23" s="157">
        <v>6798.5806701673191</v>
      </c>
      <c r="I23" s="157">
        <v>7055.108601068282</v>
      </c>
      <c r="J23" s="157">
        <v>6970.5206936493623</v>
      </c>
      <c r="K23" s="157">
        <v>7343.5239864201912</v>
      </c>
      <c r="L23" s="157">
        <v>7437.6234858298703</v>
      </c>
      <c r="M23" s="157">
        <v>7753.5127522179882</v>
      </c>
      <c r="N23" s="157">
        <v>8031.569639636301</v>
      </c>
      <c r="O23" s="157">
        <v>8303.519329809902</v>
      </c>
      <c r="P23" s="157">
        <v>8244.7577469162406</v>
      </c>
      <c r="Q23" s="157">
        <v>8480.4362007662403</v>
      </c>
      <c r="R23" s="157">
        <v>8871.5459181120823</v>
      </c>
      <c r="S23" s="157">
        <v>9077.7557642409993</v>
      </c>
      <c r="T23" s="157">
        <v>9226.0110509069727</v>
      </c>
      <c r="U23" s="157">
        <v>9473.0051799583835</v>
      </c>
      <c r="V23" s="157">
        <v>9807.767812972721</v>
      </c>
      <c r="W23" s="157">
        <v>10031.229267173569</v>
      </c>
      <c r="X23" s="157">
        <v>9795.9267913867207</v>
      </c>
      <c r="Y23" s="157">
        <v>9460.2332719780716</v>
      </c>
      <c r="Z23" s="157">
        <v>9162.6109106152526</v>
      </c>
      <c r="AA23" s="157">
        <v>8628.514462488758</v>
      </c>
      <c r="AB23" s="157">
        <v>7921.431634889932</v>
      </c>
      <c r="AC23" s="157">
        <v>8295.6797178404868</v>
      </c>
      <c r="AD23" s="157">
        <v>8343.8454758771895</v>
      </c>
      <c r="AE23" s="157">
        <v>8772.2033421115157</v>
      </c>
      <c r="AF23" s="158">
        <v>8939.6481664935072</v>
      </c>
      <c r="AG23" s="158">
        <v>8837.9801776491731</v>
      </c>
      <c r="AH23" s="158">
        <v>8889.0158107847601</v>
      </c>
      <c r="AI23" s="158">
        <v>8514.7920754177612</v>
      </c>
      <c r="AJ23" s="158">
        <v>8717.5470759643231</v>
      </c>
      <c r="AK23" s="158">
        <v>8772.2938056556868</v>
      </c>
      <c r="AL23" s="41" t="s">
        <v>35</v>
      </c>
      <c r="AM23" s="41">
        <v>1990</v>
      </c>
      <c r="AN23" s="137">
        <f t="shared" si="0"/>
        <v>0.57481944480770775</v>
      </c>
      <c r="AO23" s="138">
        <v>-0.2</v>
      </c>
      <c r="AP23" s="166">
        <v>1990</v>
      </c>
      <c r="AQ23" s="167">
        <v>-0.55000000000000004</v>
      </c>
      <c r="AR23" s="166">
        <v>2030</v>
      </c>
      <c r="AS23" s="137">
        <f>(AK23/E23)-1</f>
        <v>0.57481944480770775</v>
      </c>
    </row>
    <row r="24" spans="1:105" ht="15" customHeight="1">
      <c r="A24" s="256"/>
      <c r="B24" s="249"/>
      <c r="C24" s="208"/>
      <c r="D24" s="133" t="s">
        <v>86</v>
      </c>
      <c r="E24" s="157">
        <v>5417.2799142735948</v>
      </c>
      <c r="F24" s="157">
        <v>5907.9124647624958</v>
      </c>
      <c r="G24" s="157">
        <v>6338.7298231737723</v>
      </c>
      <c r="H24" s="157">
        <v>6623.7683902921226</v>
      </c>
      <c r="I24" s="157">
        <v>6871.7491791492157</v>
      </c>
      <c r="J24" s="157">
        <v>6790.47518849473</v>
      </c>
      <c r="K24" s="157">
        <v>7158.1533053052754</v>
      </c>
      <c r="L24" s="157">
        <v>7253.3931249584593</v>
      </c>
      <c r="M24" s="157">
        <v>7563.005005916867</v>
      </c>
      <c r="N24" s="157">
        <v>7833.1742715542123</v>
      </c>
      <c r="O24" s="157">
        <v>8160.9937712634546</v>
      </c>
      <c r="P24" s="157">
        <v>8076.1377136216461</v>
      </c>
      <c r="Q24" s="157">
        <v>8278.4716672695358</v>
      </c>
      <c r="R24" s="157">
        <v>8657.494280535273</v>
      </c>
      <c r="S24" s="157">
        <v>8863.1685358888135</v>
      </c>
      <c r="T24" s="157">
        <v>9005.1412915576293</v>
      </c>
      <c r="U24" s="157">
        <v>9250.4708083985806</v>
      </c>
      <c r="V24" s="157">
        <v>9624.8327796867597</v>
      </c>
      <c r="W24" s="157">
        <v>9781.3435602355585</v>
      </c>
      <c r="X24" s="157">
        <v>9518.2264765174732</v>
      </c>
      <c r="Y24" s="157">
        <v>9195.1503648776579</v>
      </c>
      <c r="Z24" s="157">
        <v>8861.7881106436053</v>
      </c>
      <c r="AA24" s="157">
        <v>8334.8499732816908</v>
      </c>
      <c r="AB24" s="157">
        <v>7624.1060124983678</v>
      </c>
      <c r="AC24" s="157">
        <v>7996.5320057486306</v>
      </c>
      <c r="AD24" s="157">
        <v>8047.7011485458916</v>
      </c>
      <c r="AE24" s="157">
        <v>8581.2740407492201</v>
      </c>
      <c r="AF24" s="158">
        <v>8632.5813894280509</v>
      </c>
      <c r="AG24" s="158">
        <v>8535.6345765122551</v>
      </c>
      <c r="AH24" s="158">
        <v>8591.9416672134921</v>
      </c>
      <c r="AI24" s="158">
        <v>8216.2162833896855</v>
      </c>
      <c r="AJ24" s="158">
        <v>8482.192698052826</v>
      </c>
      <c r="AK24" s="158">
        <v>8472.8797165172982</v>
      </c>
      <c r="AL24" s="39"/>
      <c r="AM24" s="39"/>
      <c r="AN24" s="103">
        <f t="shared" si="0"/>
        <v>0.56404687418730703</v>
      </c>
      <c r="AO24" s="139"/>
      <c r="AP24" s="168"/>
      <c r="AQ24" s="168"/>
      <c r="AR24" s="168"/>
      <c r="AS24" s="103"/>
    </row>
    <row r="25" spans="1:105" ht="15" customHeight="1">
      <c r="A25" s="256"/>
      <c r="B25" s="249"/>
      <c r="C25" s="209" t="s">
        <v>88</v>
      </c>
      <c r="D25" s="133" t="s">
        <v>85</v>
      </c>
      <c r="E25" s="157">
        <v>4645.4729814705815</v>
      </c>
      <c r="F25" s="157">
        <v>5133.571207582273</v>
      </c>
      <c r="G25" s="157">
        <v>5506.079629333939</v>
      </c>
      <c r="H25" s="157">
        <v>5749.70731305348</v>
      </c>
      <c r="I25" s="157">
        <v>5991.9090048503977</v>
      </c>
      <c r="J25" s="157">
        <v>5862.4033829285054</v>
      </c>
      <c r="K25" s="157">
        <v>6212.3457609861298</v>
      </c>
      <c r="L25" s="157">
        <v>6298.7451295253004</v>
      </c>
      <c r="M25" s="157">
        <v>6592.9381390575072</v>
      </c>
      <c r="N25" s="157">
        <v>6859.5130774244362</v>
      </c>
      <c r="O25" s="157">
        <v>7102.9564763608187</v>
      </c>
      <c r="P25" s="157">
        <v>6976.4837636150778</v>
      </c>
      <c r="Q25" s="157">
        <v>7167.9227163858041</v>
      </c>
      <c r="R25" s="157">
        <v>7557.6086847234519</v>
      </c>
      <c r="S25" s="157">
        <v>7787.5091077327952</v>
      </c>
      <c r="T25" s="157">
        <v>7959.3862950710518</v>
      </c>
      <c r="U25" s="157">
        <v>8186.4592149457394</v>
      </c>
      <c r="V25" s="157">
        <v>8505.3458790107561</v>
      </c>
      <c r="W25" s="157">
        <v>8718.0746062522103</v>
      </c>
      <c r="X25" s="157">
        <v>8474.9481651994629</v>
      </c>
      <c r="Y25" s="157">
        <v>8104.2255846017015</v>
      </c>
      <c r="Z25" s="157">
        <v>7790.6200244890642</v>
      </c>
      <c r="AA25" s="157">
        <v>7264.8828649424186</v>
      </c>
      <c r="AB25" s="157">
        <v>6584.1731197158006</v>
      </c>
      <c r="AC25" s="157">
        <v>6952.6012740342821</v>
      </c>
      <c r="AD25" s="157">
        <v>6974.8560450320319</v>
      </c>
      <c r="AE25" s="157">
        <v>7357.9013282421629</v>
      </c>
      <c r="AF25" s="158">
        <v>7479.3229218968227</v>
      </c>
      <c r="AG25" s="158">
        <v>7341.7729158941684</v>
      </c>
      <c r="AH25" s="158">
        <v>7345.3809355979729</v>
      </c>
      <c r="AI25" s="158">
        <v>6925.6571704879207</v>
      </c>
      <c r="AJ25" s="158">
        <v>7081.4458489000672</v>
      </c>
      <c r="AK25" s="158">
        <v>7118.3931907350416</v>
      </c>
      <c r="AL25" s="39"/>
      <c r="AM25" s="39"/>
      <c r="AN25" s="103">
        <f t="shared" si="0"/>
        <v>0.5323290478985041</v>
      </c>
      <c r="AO25" s="139"/>
      <c r="AP25" s="168"/>
      <c r="AQ25" s="168"/>
      <c r="AR25" s="168"/>
      <c r="AS25" s="103"/>
    </row>
    <row r="26" spans="1:105" ht="15" customHeight="1">
      <c r="A26" s="257"/>
      <c r="B26" s="258"/>
      <c r="C26" s="210"/>
      <c r="D26" s="148" t="s">
        <v>86</v>
      </c>
      <c r="E26" s="159">
        <v>4492.3442516268033</v>
      </c>
      <c r="F26" s="159">
        <v>4966.4121336068329</v>
      </c>
      <c r="G26" s="159">
        <v>5333.3469350560918</v>
      </c>
      <c r="H26" s="159">
        <v>5574.4679784862474</v>
      </c>
      <c r="I26" s="159">
        <v>5807.5024890361692</v>
      </c>
      <c r="J26" s="159">
        <v>5681.9090184362012</v>
      </c>
      <c r="K26" s="159">
        <v>6026.2560346049731</v>
      </c>
      <c r="L26" s="159">
        <v>6113.5024884445183</v>
      </c>
      <c r="M26" s="159">
        <v>6399.1702575478357</v>
      </c>
      <c r="N26" s="159">
        <v>6661.0004334135747</v>
      </c>
      <c r="O26" s="159">
        <v>6953.5133178162196</v>
      </c>
      <c r="P26" s="159">
        <v>6805.3223941959459</v>
      </c>
      <c r="Q26" s="159">
        <v>6965.5072631215044</v>
      </c>
      <c r="R26" s="159">
        <v>7342.7421879094909</v>
      </c>
      <c r="S26" s="159">
        <v>7571.6915988952114</v>
      </c>
      <c r="T26" s="159">
        <v>7737.5252663730289</v>
      </c>
      <c r="U26" s="159">
        <v>7962.5004136936295</v>
      </c>
      <c r="V26" s="159">
        <v>8316.7373817166772</v>
      </c>
      <c r="W26" s="159">
        <v>8467.0054655594759</v>
      </c>
      <c r="X26" s="159">
        <v>8195.9122460943618</v>
      </c>
      <c r="Y26" s="159">
        <v>7836.9519777286896</v>
      </c>
      <c r="Z26" s="159">
        <v>7487.7553290201577</v>
      </c>
      <c r="AA26" s="159">
        <v>6969.034564076489</v>
      </c>
      <c r="AB26" s="159">
        <v>6285.3415461291261</v>
      </c>
      <c r="AC26" s="159">
        <v>6651.9016688339216</v>
      </c>
      <c r="AD26" s="159">
        <v>6677.4223875979487</v>
      </c>
      <c r="AE26" s="159">
        <v>7153.7296811993992</v>
      </c>
      <c r="AF26" s="160">
        <v>7170.7259427201998</v>
      </c>
      <c r="AG26" s="160">
        <v>7037.5278149113947</v>
      </c>
      <c r="AH26" s="160">
        <v>7046.6240449542674</v>
      </c>
      <c r="AI26" s="160">
        <v>6625.2871850499778</v>
      </c>
      <c r="AJ26" s="160">
        <v>6836.722913469378</v>
      </c>
      <c r="AK26" s="160">
        <v>6817.6615262068572</v>
      </c>
      <c r="AL26" s="40"/>
      <c r="AM26" s="40"/>
      <c r="AN26" s="140">
        <f t="shared" si="0"/>
        <v>0.51761778357435362</v>
      </c>
      <c r="AO26" s="141"/>
      <c r="AP26" s="169"/>
      <c r="AQ26" s="169"/>
      <c r="AR26" s="169"/>
      <c r="AS26" s="140"/>
    </row>
    <row r="27" spans="1:105" s="112" customFormat="1" ht="15" customHeight="1">
      <c r="A27" s="255" t="s">
        <v>9</v>
      </c>
      <c r="B27" s="248" t="s">
        <v>6</v>
      </c>
      <c r="C27" s="207" t="s">
        <v>87</v>
      </c>
      <c r="D27" s="133" t="s">
        <v>85</v>
      </c>
      <c r="E27" s="157">
        <v>199386.70888278668</v>
      </c>
      <c r="F27" s="157">
        <v>180862.32549937657</v>
      </c>
      <c r="G27" s="157">
        <v>174988.44423259835</v>
      </c>
      <c r="H27" s="157">
        <v>168156.54945787622</v>
      </c>
      <c r="I27" s="157">
        <v>159400.88065022434</v>
      </c>
      <c r="J27" s="157">
        <v>158415.84497818255</v>
      </c>
      <c r="K27" s="157">
        <v>161630.91572615399</v>
      </c>
      <c r="L27" s="157">
        <v>157199.20944900136</v>
      </c>
      <c r="M27" s="157">
        <v>151181.5919403584</v>
      </c>
      <c r="N27" s="157">
        <v>141096.08338048551</v>
      </c>
      <c r="O27" s="157">
        <v>151386.03853330718</v>
      </c>
      <c r="P27" s="157">
        <v>151141.41100938193</v>
      </c>
      <c r="Q27" s="157">
        <v>147318.94457726183</v>
      </c>
      <c r="R27" s="157">
        <v>150424.99991904537</v>
      </c>
      <c r="S27" s="157">
        <v>151420.98037779497</v>
      </c>
      <c r="T27" s="157">
        <v>149308.22457478094</v>
      </c>
      <c r="U27" s="157">
        <v>150630.09482418277</v>
      </c>
      <c r="V27" s="157">
        <v>152380.68458456383</v>
      </c>
      <c r="W27" s="157">
        <v>147309.57635776087</v>
      </c>
      <c r="X27" s="157">
        <v>137590.0541103241</v>
      </c>
      <c r="Y27" s="157">
        <v>140529.12411929501</v>
      </c>
      <c r="Z27" s="157">
        <v>139120.12535982873</v>
      </c>
      <c r="AA27" s="157">
        <v>135193.431410869</v>
      </c>
      <c r="AB27" s="157">
        <v>129792.72333190743</v>
      </c>
      <c r="AC27" s="157">
        <v>127583.16162960672</v>
      </c>
      <c r="AD27" s="157">
        <v>129240.88736417318</v>
      </c>
      <c r="AE27" s="157">
        <v>130796.98260033182</v>
      </c>
      <c r="AF27" s="158">
        <v>131636.87279651943</v>
      </c>
      <c r="AG27" s="158">
        <v>129789.00156487411</v>
      </c>
      <c r="AH27" s="158">
        <v>123933.43515699178</v>
      </c>
      <c r="AI27" s="158">
        <v>113392.75778789303</v>
      </c>
      <c r="AJ27" s="158">
        <v>118776.41917565926</v>
      </c>
      <c r="AK27" s="158">
        <v>117076.83143442</v>
      </c>
      <c r="AL27" s="41" t="s">
        <v>35</v>
      </c>
      <c r="AM27" s="41">
        <v>1990</v>
      </c>
      <c r="AN27" s="73">
        <f t="shared" si="0"/>
        <v>-0.41281526692310333</v>
      </c>
      <c r="AO27" s="36">
        <v>-0.2</v>
      </c>
      <c r="AP27" s="166">
        <v>1990</v>
      </c>
      <c r="AQ27" s="167">
        <v>-0.55000000000000004</v>
      </c>
      <c r="AR27" s="166">
        <v>2030</v>
      </c>
      <c r="AS27" s="137">
        <f>(AK27/E27)-1</f>
        <v>-0.41281526692310333</v>
      </c>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row>
    <row r="28" spans="1:105" s="112" customFormat="1" ht="15" customHeight="1">
      <c r="A28" s="256"/>
      <c r="B28" s="249"/>
      <c r="C28" s="208"/>
      <c r="D28" s="133" t="s">
        <v>86</v>
      </c>
      <c r="E28" s="157">
        <v>190549.59989268554</v>
      </c>
      <c r="F28" s="157">
        <v>170524.55104855212</v>
      </c>
      <c r="G28" s="157">
        <v>164454.15481813878</v>
      </c>
      <c r="H28" s="157">
        <v>156792.39525589201</v>
      </c>
      <c r="I28" s="157">
        <v>149283.04981987647</v>
      </c>
      <c r="J28" s="157">
        <v>148033.05289002115</v>
      </c>
      <c r="K28" s="157">
        <v>151525.68766041187</v>
      </c>
      <c r="L28" s="157">
        <v>148135.56813465062</v>
      </c>
      <c r="M28" s="157">
        <v>142462.17022379296</v>
      </c>
      <c r="N28" s="157">
        <v>132156.43740323666</v>
      </c>
      <c r="O28" s="157">
        <v>141701.05763533968</v>
      </c>
      <c r="P28" s="157">
        <v>141484.94945412059</v>
      </c>
      <c r="Q28" s="157">
        <v>137868.27714854307</v>
      </c>
      <c r="R28" s="157">
        <v>141474.55608603763</v>
      </c>
      <c r="S28" s="157">
        <v>142756.33802927763</v>
      </c>
      <c r="T28" s="157">
        <v>140585.45059103274</v>
      </c>
      <c r="U28" s="157">
        <v>142964.44587337846</v>
      </c>
      <c r="V28" s="157">
        <v>144948.90710326782</v>
      </c>
      <c r="W28" s="157">
        <v>138625.93462766707</v>
      </c>
      <c r="X28" s="157">
        <v>129151.88725896183</v>
      </c>
      <c r="Y28" s="157">
        <v>132816.62273587802</v>
      </c>
      <c r="Z28" s="157">
        <v>130785.72694219845</v>
      </c>
      <c r="AA28" s="157">
        <v>126636.70124287806</v>
      </c>
      <c r="AB28" s="157">
        <v>121882.22341356233</v>
      </c>
      <c r="AC28" s="157">
        <v>119730.65107205842</v>
      </c>
      <c r="AD28" s="157">
        <v>121386.24269270443</v>
      </c>
      <c r="AE28" s="157">
        <v>123850.17073190227</v>
      </c>
      <c r="AF28" s="158">
        <v>126297.98224071135</v>
      </c>
      <c r="AG28" s="158">
        <v>129776.83930628198</v>
      </c>
      <c r="AH28" s="158">
        <v>130426.32170338214</v>
      </c>
      <c r="AI28" s="158">
        <v>123091.9900553387</v>
      </c>
      <c r="AJ28" s="158">
        <v>125363.88978902523</v>
      </c>
      <c r="AK28" s="158">
        <v>120454.38093148445</v>
      </c>
      <c r="AL28" s="39"/>
      <c r="AM28" s="39"/>
      <c r="AN28" s="74">
        <f t="shared" si="0"/>
        <v>-0.36785812723132238</v>
      </c>
      <c r="AO28" s="25"/>
      <c r="AP28" s="168"/>
      <c r="AQ28" s="168"/>
      <c r="AR28" s="168"/>
      <c r="AS28" s="103"/>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row>
    <row r="29" spans="1:105" s="112" customFormat="1" ht="15" customHeight="1">
      <c r="A29" s="256"/>
      <c r="B29" s="249"/>
      <c r="C29" s="209" t="s">
        <v>88</v>
      </c>
      <c r="D29" s="133" t="s">
        <v>85</v>
      </c>
      <c r="E29" s="157">
        <v>164250.45212774439</v>
      </c>
      <c r="F29" s="157">
        <v>148883.28150683202</v>
      </c>
      <c r="G29" s="157">
        <v>145705.81718638662</v>
      </c>
      <c r="H29" s="157">
        <v>140124.10261765987</v>
      </c>
      <c r="I29" s="157">
        <v>132668.12221055661</v>
      </c>
      <c r="J29" s="157">
        <v>131622.31809036052</v>
      </c>
      <c r="K29" s="157">
        <v>135018.7643649622</v>
      </c>
      <c r="L29" s="157">
        <v>130941.74009852463</v>
      </c>
      <c r="M29" s="157">
        <v>125715.91755395052</v>
      </c>
      <c r="N29" s="157">
        <v>116672.03280990453</v>
      </c>
      <c r="O29" s="157">
        <v>127236.14211029551</v>
      </c>
      <c r="P29" s="157">
        <v>127144.51636351549</v>
      </c>
      <c r="Q29" s="157">
        <v>123967.85015646275</v>
      </c>
      <c r="R29" s="157">
        <v>127571.89079913663</v>
      </c>
      <c r="S29" s="157">
        <v>128291.81350829748</v>
      </c>
      <c r="T29" s="157">
        <v>125690.85940135154</v>
      </c>
      <c r="U29" s="157">
        <v>126537.09947499666</v>
      </c>
      <c r="V29" s="157">
        <v>128366.40364840164</v>
      </c>
      <c r="W29" s="157">
        <v>122934.9002086917</v>
      </c>
      <c r="X29" s="157">
        <v>114982.53854832609</v>
      </c>
      <c r="Y29" s="157">
        <v>117476.26173101028</v>
      </c>
      <c r="Z29" s="157">
        <v>115189.17785650205</v>
      </c>
      <c r="AA29" s="157">
        <v>111287.34670869997</v>
      </c>
      <c r="AB29" s="157">
        <v>106722.48795119804</v>
      </c>
      <c r="AC29" s="157">
        <v>104246.04024610626</v>
      </c>
      <c r="AD29" s="157">
        <v>105000.92205332342</v>
      </c>
      <c r="AE29" s="157">
        <v>106648.40412566843</v>
      </c>
      <c r="AF29" s="158">
        <v>107745.83983234926</v>
      </c>
      <c r="AG29" s="158">
        <v>106335.54524369976</v>
      </c>
      <c r="AH29" s="158">
        <v>101008.81913534395</v>
      </c>
      <c r="AI29" s="158">
        <v>91673.765436244285</v>
      </c>
      <c r="AJ29" s="158">
        <v>96645.176660989979</v>
      </c>
      <c r="AK29" s="158">
        <v>95107.761260386731</v>
      </c>
      <c r="AL29" s="39"/>
      <c r="AM29" s="39"/>
      <c r="AN29" s="74">
        <f t="shared" si="0"/>
        <v>-0.42095890739821229</v>
      </c>
      <c r="AO29" s="25"/>
      <c r="AP29" s="168"/>
      <c r="AQ29" s="168"/>
      <c r="AR29" s="168"/>
      <c r="AS29" s="103"/>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row>
    <row r="30" spans="1:105" s="112" customFormat="1" ht="15" customHeight="1">
      <c r="A30" s="257"/>
      <c r="B30" s="258"/>
      <c r="C30" s="210"/>
      <c r="D30" s="148" t="s">
        <v>86</v>
      </c>
      <c r="E30" s="159">
        <v>155375.92317312479</v>
      </c>
      <c r="F30" s="159">
        <v>138516.71728489641</v>
      </c>
      <c r="G30" s="159">
        <v>135131.20494278471</v>
      </c>
      <c r="H30" s="159">
        <v>128716.62457417269</v>
      </c>
      <c r="I30" s="159">
        <v>122509.66509765727</v>
      </c>
      <c r="J30" s="159">
        <v>121205.8217680629</v>
      </c>
      <c r="K30" s="159">
        <v>124859.87934562487</v>
      </c>
      <c r="L30" s="159">
        <v>121807.2884946312</v>
      </c>
      <c r="M30" s="159">
        <v>116953.1081826858</v>
      </c>
      <c r="N30" s="159">
        <v>107699.74164912902</v>
      </c>
      <c r="O30" s="159">
        <v>117520.07772560944</v>
      </c>
      <c r="P30" s="159">
        <v>117470.98437439825</v>
      </c>
      <c r="Q30" s="159">
        <v>114498.26068293245</v>
      </c>
      <c r="R30" s="159">
        <v>118586.38847332477</v>
      </c>
      <c r="S30" s="159">
        <v>119604.4505570396</v>
      </c>
      <c r="T30" s="159">
        <v>116947.36038885593</v>
      </c>
      <c r="U30" s="159">
        <v>118845.36049356057</v>
      </c>
      <c r="V30" s="159">
        <v>120905.71857048123</v>
      </c>
      <c r="W30" s="159">
        <v>114229.60671289319</v>
      </c>
      <c r="X30" s="159">
        <v>106523.76250051096</v>
      </c>
      <c r="Y30" s="159">
        <v>109741.89303172944</v>
      </c>
      <c r="Z30" s="159">
        <v>106843.20784990389</v>
      </c>
      <c r="AA30" s="159">
        <v>102714.5302514418</v>
      </c>
      <c r="AB30" s="159">
        <v>98803.886437424953</v>
      </c>
      <c r="AC30" s="159">
        <v>96378.888680236574</v>
      </c>
      <c r="AD30" s="159">
        <v>97133.993660507273</v>
      </c>
      <c r="AE30" s="159">
        <v>99692.171201566205</v>
      </c>
      <c r="AF30" s="160">
        <v>102396.88608064494</v>
      </c>
      <c r="AG30" s="160">
        <v>106307.97417221867</v>
      </c>
      <c r="AH30" s="160">
        <v>107483.95254685183</v>
      </c>
      <c r="AI30" s="160">
        <v>101355.06585955614</v>
      </c>
      <c r="AJ30" s="160">
        <v>103217.43844889624</v>
      </c>
      <c r="AK30" s="160">
        <v>98451.812282821789</v>
      </c>
      <c r="AL30" s="40"/>
      <c r="AM30" s="40"/>
      <c r="AN30" s="75">
        <f t="shared" si="0"/>
        <v>-0.36636378228869049</v>
      </c>
      <c r="AO30" s="32"/>
      <c r="AP30" s="169"/>
      <c r="AQ30" s="169"/>
      <c r="AR30" s="169"/>
      <c r="AS30" s="14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row>
    <row r="31" spans="1:105" s="112" customFormat="1" ht="15" customHeight="1">
      <c r="A31" s="245" t="s">
        <v>9</v>
      </c>
      <c r="B31" s="248" t="s">
        <v>53</v>
      </c>
      <c r="C31" s="233" t="s">
        <v>87</v>
      </c>
      <c r="D31" s="133" t="s">
        <v>85</v>
      </c>
      <c r="E31" s="157">
        <v>70388.100237269231</v>
      </c>
      <c r="F31" s="157">
        <v>81068.883934977799</v>
      </c>
      <c r="G31" s="157">
        <v>75197.425864898702</v>
      </c>
      <c r="H31" s="157">
        <v>77548.913440217191</v>
      </c>
      <c r="I31" s="157">
        <v>81509.518373024825</v>
      </c>
      <c r="J31" s="157">
        <v>78647.253714024177</v>
      </c>
      <c r="K31" s="157">
        <v>91731.139410863107</v>
      </c>
      <c r="L31" s="157">
        <v>82216.861214577948</v>
      </c>
      <c r="M31" s="157">
        <v>78273.362327762137</v>
      </c>
      <c r="N31" s="157">
        <v>75607.301150634841</v>
      </c>
      <c r="O31" s="157">
        <v>71308.324140089651</v>
      </c>
      <c r="P31" s="157">
        <v>72889.598276639896</v>
      </c>
      <c r="Q31" s="157">
        <v>72436.564221934052</v>
      </c>
      <c r="R31" s="157">
        <v>77428.792129597539</v>
      </c>
      <c r="S31" s="157">
        <v>71492.905917049982</v>
      </c>
      <c r="T31" s="157">
        <v>67172.284608661314</v>
      </c>
      <c r="U31" s="157">
        <v>74878.997762092346</v>
      </c>
      <c r="V31" s="157">
        <v>70223.861460618689</v>
      </c>
      <c r="W31" s="157">
        <v>66662.861242697429</v>
      </c>
      <c r="X31" s="157">
        <v>63933.021523754338</v>
      </c>
      <c r="Y31" s="157">
        <v>64127.006957078949</v>
      </c>
      <c r="Z31" s="157">
        <v>58950.642070605005</v>
      </c>
      <c r="AA31" s="157">
        <v>54416.174516359031</v>
      </c>
      <c r="AB31" s="157">
        <v>56144.291674593165</v>
      </c>
      <c r="AC31" s="157">
        <v>51973.814235318379</v>
      </c>
      <c r="AD31" s="157">
        <v>49255.934676199307</v>
      </c>
      <c r="AE31" s="157">
        <v>51274.641916037806</v>
      </c>
      <c r="AF31" s="158">
        <v>48960.464396154028</v>
      </c>
      <c r="AG31" s="158">
        <v>48800.854406918719</v>
      </c>
      <c r="AH31" s="158">
        <v>44907.45226998283</v>
      </c>
      <c r="AI31" s="158">
        <v>42252.285043360724</v>
      </c>
      <c r="AJ31" s="158">
        <v>43245.691599819642</v>
      </c>
      <c r="AK31" s="158">
        <v>41769.352630975183</v>
      </c>
      <c r="AL31" s="41" t="s">
        <v>35</v>
      </c>
      <c r="AM31" s="41">
        <v>1990</v>
      </c>
      <c r="AN31" s="73">
        <f t="shared" si="0"/>
        <v>-0.40658502658579976</v>
      </c>
      <c r="AO31" s="36">
        <v>-0.2</v>
      </c>
      <c r="AP31" s="166">
        <v>1990</v>
      </c>
      <c r="AQ31" s="167">
        <v>-0.55000000000000004</v>
      </c>
      <c r="AR31" s="166">
        <v>2030</v>
      </c>
      <c r="AS31" s="137">
        <f>(AK31/E31)-1</f>
        <v>-0.40658502658579976</v>
      </c>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row>
    <row r="32" spans="1:105" s="112" customFormat="1" ht="15.75" customHeight="1">
      <c r="A32" s="246"/>
      <c r="B32" s="249"/>
      <c r="C32" s="234"/>
      <c r="D32" s="133" t="s">
        <v>86</v>
      </c>
      <c r="E32" s="157">
        <v>77082.067815112459</v>
      </c>
      <c r="F32" s="157">
        <v>87096.227346407861</v>
      </c>
      <c r="G32" s="157">
        <v>82132.957202071586</v>
      </c>
      <c r="H32" s="157">
        <v>83162.63751248279</v>
      </c>
      <c r="I32" s="157">
        <v>86646.495678192237</v>
      </c>
      <c r="J32" s="157">
        <v>83964.581936084141</v>
      </c>
      <c r="K32" s="157">
        <v>96334.504733151756</v>
      </c>
      <c r="L32" s="157">
        <v>87294.117568238828</v>
      </c>
      <c r="M32" s="157">
        <v>83266.833514371974</v>
      </c>
      <c r="N32" s="157">
        <v>80912.268229513822</v>
      </c>
      <c r="O32" s="157">
        <v>76395.6253093017</v>
      </c>
      <c r="P32" s="157">
        <v>77465.88800136176</v>
      </c>
      <c r="Q32" s="157">
        <v>78081.106663380851</v>
      </c>
      <c r="R32" s="157">
        <v>82830.866383442932</v>
      </c>
      <c r="S32" s="157">
        <v>76695.92498010998</v>
      </c>
      <c r="T32" s="157">
        <v>72143.130770908465</v>
      </c>
      <c r="U32" s="157">
        <v>80303.928016948194</v>
      </c>
      <c r="V32" s="157">
        <v>75819.223535151701</v>
      </c>
      <c r="W32" s="157">
        <v>70761.919328256947</v>
      </c>
      <c r="X32" s="157">
        <v>67315.339108354485</v>
      </c>
      <c r="Y32" s="157">
        <v>66487.651731908831</v>
      </c>
      <c r="Z32" s="157">
        <v>60554.844412505176</v>
      </c>
      <c r="AA32" s="157">
        <v>55405.615530744391</v>
      </c>
      <c r="AB32" s="157">
        <v>56817.209888186328</v>
      </c>
      <c r="AC32" s="157">
        <v>52863.069696582126</v>
      </c>
      <c r="AD32" s="157">
        <v>49161.096943373763</v>
      </c>
      <c r="AE32" s="157">
        <v>52142.420212198012</v>
      </c>
      <c r="AF32" s="158">
        <v>49675.669710037357</v>
      </c>
      <c r="AG32" s="158">
        <v>51303.588740333165</v>
      </c>
      <c r="AH32" s="158">
        <v>46438.416647905971</v>
      </c>
      <c r="AI32" s="158">
        <v>43544.642683307116</v>
      </c>
      <c r="AJ32" s="158">
        <v>43444.177452201686</v>
      </c>
      <c r="AK32" s="158">
        <v>41388.36299652711</v>
      </c>
      <c r="AL32" s="39"/>
      <c r="AM32" s="39"/>
      <c r="AN32" s="74">
        <f t="shared" si="0"/>
        <v>-0.46306107023749765</v>
      </c>
      <c r="AO32" s="25"/>
      <c r="AP32" s="168"/>
      <c r="AQ32" s="168"/>
      <c r="AR32" s="168"/>
      <c r="AS32" s="103"/>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row>
    <row r="33" spans="1:105" s="112" customFormat="1" ht="15" customHeight="1">
      <c r="A33" s="246"/>
      <c r="B33" s="249"/>
      <c r="C33" s="235" t="s">
        <v>88</v>
      </c>
      <c r="D33" s="133" t="s">
        <v>85</v>
      </c>
      <c r="E33" s="157">
        <v>53369.625381982936</v>
      </c>
      <c r="F33" s="157">
        <v>63985.357966132942</v>
      </c>
      <c r="G33" s="157">
        <v>58200.779365007758</v>
      </c>
      <c r="H33" s="157">
        <v>60463.097232863387</v>
      </c>
      <c r="I33" s="157">
        <v>64546.720979850194</v>
      </c>
      <c r="J33" s="157">
        <v>61530.13594826022</v>
      </c>
      <c r="K33" s="157">
        <v>74763.08557945957</v>
      </c>
      <c r="L33" s="157">
        <v>65314.34273671978</v>
      </c>
      <c r="M33" s="157">
        <v>61122.952699967813</v>
      </c>
      <c r="N33" s="157">
        <v>58539.646759975905</v>
      </c>
      <c r="O33" s="157">
        <v>54194.544940568419</v>
      </c>
      <c r="P33" s="157">
        <v>55795.431706552998</v>
      </c>
      <c r="Q33" s="157">
        <v>55458.773577361746</v>
      </c>
      <c r="R33" s="157">
        <v>60555.631598949389</v>
      </c>
      <c r="S33" s="157">
        <v>55013.952460594366</v>
      </c>
      <c r="T33" s="157">
        <v>51449.766631379665</v>
      </c>
      <c r="U33" s="157">
        <v>59420.570545642855</v>
      </c>
      <c r="V33" s="157">
        <v>54631.081261676816</v>
      </c>
      <c r="W33" s="157">
        <v>51174.754526282501</v>
      </c>
      <c r="X33" s="157">
        <v>48774.673690246993</v>
      </c>
      <c r="Y33" s="157">
        <v>49116.93784886034</v>
      </c>
      <c r="Z33" s="157">
        <v>44161.925924358155</v>
      </c>
      <c r="AA33" s="157">
        <v>39789.0476827272</v>
      </c>
      <c r="AB33" s="157">
        <v>41684.680357215082</v>
      </c>
      <c r="AC33" s="157">
        <v>37504.934250533872</v>
      </c>
      <c r="AD33" s="157">
        <v>35039.320532992911</v>
      </c>
      <c r="AE33" s="157">
        <v>36848.060998339468</v>
      </c>
      <c r="AF33" s="158">
        <v>34597.19398571772</v>
      </c>
      <c r="AG33" s="158">
        <v>34540.956645112878</v>
      </c>
      <c r="AH33" s="158">
        <v>30883.841746946633</v>
      </c>
      <c r="AI33" s="158">
        <v>28224.367261703559</v>
      </c>
      <c r="AJ33" s="158">
        <v>29516.037209794689</v>
      </c>
      <c r="AK33" s="158">
        <v>28371.274067861712</v>
      </c>
      <c r="AL33" s="39"/>
      <c r="AM33" s="39"/>
      <c r="AN33" s="74">
        <f t="shared" si="0"/>
        <v>-0.4684003519829919</v>
      </c>
      <c r="AO33" s="25"/>
      <c r="AP33" s="168"/>
      <c r="AQ33" s="168"/>
      <c r="AR33" s="168"/>
      <c r="AS33" s="103"/>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row>
    <row r="34" spans="1:105" s="112" customFormat="1" ht="14.25" customHeight="1">
      <c r="A34" s="247"/>
      <c r="B34" s="250"/>
      <c r="C34" s="236"/>
      <c r="D34" s="148" t="s">
        <v>86</v>
      </c>
      <c r="E34" s="159">
        <v>59701.705711807364</v>
      </c>
      <c r="F34" s="159">
        <v>69652.735184471094</v>
      </c>
      <c r="G34" s="159">
        <v>64777.132804062174</v>
      </c>
      <c r="H34" s="159">
        <v>65718.417825658034</v>
      </c>
      <c r="I34" s="159">
        <v>69326.048666366347</v>
      </c>
      <c r="J34" s="159">
        <v>66492.530801751607</v>
      </c>
      <c r="K34" s="159">
        <v>79014.198549823021</v>
      </c>
      <c r="L34" s="159">
        <v>70041.980157304934</v>
      </c>
      <c r="M34" s="159">
        <v>65769.356679396631</v>
      </c>
      <c r="N34" s="159">
        <v>63500.144314502286</v>
      </c>
      <c r="O34" s="159">
        <v>58939.888776469481</v>
      </c>
      <c r="P34" s="159">
        <v>60032.222373803073</v>
      </c>
      <c r="Q34" s="159">
        <v>60766.2342821192</v>
      </c>
      <c r="R34" s="159">
        <v>65623.020049596889</v>
      </c>
      <c r="S34" s="159">
        <v>59883.488046227874</v>
      </c>
      <c r="T34" s="159">
        <v>56086.956442109724</v>
      </c>
      <c r="U34" s="159">
        <v>64509.716233019826</v>
      </c>
      <c r="V34" s="159">
        <v>59888.540475980859</v>
      </c>
      <c r="W34" s="159">
        <v>54933.754207028142</v>
      </c>
      <c r="X34" s="159">
        <v>51814.776307363136</v>
      </c>
      <c r="Y34" s="159">
        <v>51135.392886349684</v>
      </c>
      <c r="Z34" s="159">
        <v>45427.672838745835</v>
      </c>
      <c r="AA34" s="159">
        <v>40443.226658963125</v>
      </c>
      <c r="AB34" s="159">
        <v>42027.663510431921</v>
      </c>
      <c r="AC34" s="159">
        <v>38067.612436188123</v>
      </c>
      <c r="AD34" s="159">
        <v>34620.037475805708</v>
      </c>
      <c r="AE34" s="159">
        <v>37387.301394610658</v>
      </c>
      <c r="AF34" s="160">
        <v>34983.861077648849</v>
      </c>
      <c r="AG34" s="160">
        <v>36717.184450539753</v>
      </c>
      <c r="AH34" s="160">
        <v>32082.36638645763</v>
      </c>
      <c r="AI34" s="160">
        <v>29177.71746853603</v>
      </c>
      <c r="AJ34" s="160">
        <v>29370.804871227207</v>
      </c>
      <c r="AK34" s="160">
        <v>27640.396417398402</v>
      </c>
      <c r="AL34" s="40"/>
      <c r="AM34" s="40"/>
      <c r="AN34" s="75">
        <f t="shared" si="0"/>
        <v>-0.53702501314075701</v>
      </c>
      <c r="AO34" s="32"/>
      <c r="AP34" s="169"/>
      <c r="AQ34" s="169"/>
      <c r="AR34" s="169"/>
      <c r="AS34" s="14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row>
    <row r="35" spans="1:105" s="112" customFormat="1" ht="15.75" customHeight="1">
      <c r="A35" s="245" t="s">
        <v>9</v>
      </c>
      <c r="B35" s="259" t="s">
        <v>54</v>
      </c>
      <c r="C35" s="207" t="s">
        <v>87</v>
      </c>
      <c r="D35" s="133" t="s">
        <v>85</v>
      </c>
      <c r="E35" s="157">
        <v>40273.576230402396</v>
      </c>
      <c r="F35" s="157">
        <v>37398.493564635035</v>
      </c>
      <c r="G35" s="157">
        <v>27212.185702939467</v>
      </c>
      <c r="H35" s="157">
        <v>21747.878290732231</v>
      </c>
      <c r="I35" s="157">
        <v>22220.199455612998</v>
      </c>
      <c r="J35" s="157">
        <v>20057.119897997287</v>
      </c>
      <c r="K35" s="157">
        <v>20998.017763359465</v>
      </c>
      <c r="L35" s="157">
        <v>20708.904168614918</v>
      </c>
      <c r="M35" s="157">
        <v>18983.757570614875</v>
      </c>
      <c r="N35" s="157">
        <v>17820.070386220035</v>
      </c>
      <c r="O35" s="157">
        <v>17441.798323755243</v>
      </c>
      <c r="P35" s="157">
        <v>17875.07828953414</v>
      </c>
      <c r="Q35" s="157">
        <v>17287.029014405485</v>
      </c>
      <c r="R35" s="157">
        <v>19219.738938378396</v>
      </c>
      <c r="S35" s="157">
        <v>19356.250078174256</v>
      </c>
      <c r="T35" s="157">
        <v>19132.888732804902</v>
      </c>
      <c r="U35" s="157">
        <v>18478.014763211129</v>
      </c>
      <c r="V35" s="157">
        <v>22029.26382578542</v>
      </c>
      <c r="W35" s="157">
        <v>19930.143286510491</v>
      </c>
      <c r="X35" s="157">
        <v>16494.962105811479</v>
      </c>
      <c r="Y35" s="157">
        <v>21096.261592860537</v>
      </c>
      <c r="Z35" s="157">
        <v>21053.638211557161</v>
      </c>
      <c r="AA35" s="157">
        <v>19941.947339750324</v>
      </c>
      <c r="AB35" s="157">
        <v>21819.402282831143</v>
      </c>
      <c r="AC35" s="157">
        <v>20981.392096085779</v>
      </c>
      <c r="AD35" s="157">
        <v>17913.769908710248</v>
      </c>
      <c r="AE35" s="157">
        <v>19533.129399145579</v>
      </c>
      <c r="AF35" s="158">
        <v>20761.22729327725</v>
      </c>
      <c r="AG35" s="158">
        <v>19950.294930540393</v>
      </c>
      <c r="AH35" s="158">
        <v>14508.112789888668</v>
      </c>
      <c r="AI35" s="158">
        <v>11343.378738802048</v>
      </c>
      <c r="AJ35" s="158">
        <v>12578.984086232129</v>
      </c>
      <c r="AK35" s="158">
        <v>13951.546291206168</v>
      </c>
      <c r="AL35" s="41" t="s">
        <v>35</v>
      </c>
      <c r="AM35" s="41">
        <v>1990</v>
      </c>
      <c r="AN35" s="73">
        <f t="shared" ref="AN35:AN66" si="1">(AK35/E35)-1</f>
        <v>-0.65358064525011839</v>
      </c>
      <c r="AO35" s="36">
        <v>-0.2</v>
      </c>
      <c r="AP35" s="166">
        <v>1990</v>
      </c>
      <c r="AQ35" s="167">
        <v>-0.55000000000000004</v>
      </c>
      <c r="AR35" s="166">
        <v>2030</v>
      </c>
      <c r="AS35" s="137">
        <f>(AK35/E35)-1</f>
        <v>-0.65358064525011839</v>
      </c>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row>
    <row r="36" spans="1:105" s="112" customFormat="1" ht="15.75" customHeight="1">
      <c r="A36" s="246"/>
      <c r="B36" s="260"/>
      <c r="C36" s="208"/>
      <c r="D36" s="133" t="s">
        <v>86</v>
      </c>
      <c r="E36" s="157">
        <v>35038.308395562286</v>
      </c>
      <c r="F36" s="157">
        <v>32310.208364519625</v>
      </c>
      <c r="G36" s="157">
        <v>22903.689825017671</v>
      </c>
      <c r="H36" s="157">
        <v>16554.892981152316</v>
      </c>
      <c r="I36" s="157">
        <v>17429.473782701272</v>
      </c>
      <c r="J36" s="157">
        <v>15093.442891372413</v>
      </c>
      <c r="K36" s="157">
        <v>15737.521451289305</v>
      </c>
      <c r="L36" s="157">
        <v>15321.529666951748</v>
      </c>
      <c r="M36" s="157">
        <v>14086.726267205317</v>
      </c>
      <c r="N36" s="157">
        <v>14021.842781871883</v>
      </c>
      <c r="O36" s="157">
        <v>13972.130429398985</v>
      </c>
      <c r="P36" s="157">
        <v>15031.154489303195</v>
      </c>
      <c r="Q36" s="157">
        <v>15519.600136916086</v>
      </c>
      <c r="R36" s="157">
        <v>18242.385663401659</v>
      </c>
      <c r="S36" s="157">
        <v>17749.022324954596</v>
      </c>
      <c r="T36" s="157">
        <v>16205.613986357415</v>
      </c>
      <c r="U36" s="157">
        <v>14466.452188295787</v>
      </c>
      <c r="V36" s="157">
        <v>16674.440843111024</v>
      </c>
      <c r="W36" s="157">
        <v>14377.950999410279</v>
      </c>
      <c r="X36" s="157">
        <v>10173.244713658736</v>
      </c>
      <c r="Y36" s="157">
        <v>16426.784098830747</v>
      </c>
      <c r="Z36" s="157">
        <v>17885.215792907293</v>
      </c>
      <c r="AA36" s="157">
        <v>18394.047963755314</v>
      </c>
      <c r="AB36" s="157">
        <v>21375.768885234418</v>
      </c>
      <c r="AC36" s="157">
        <v>21333.564985402674</v>
      </c>
      <c r="AD36" s="157">
        <v>18811.830921500816</v>
      </c>
      <c r="AE36" s="157">
        <v>21439.735911211781</v>
      </c>
      <c r="AF36" s="158">
        <v>22529.322315866084</v>
      </c>
      <c r="AG36" s="158">
        <v>23421.050800041095</v>
      </c>
      <c r="AH36" s="158">
        <v>17787.141730637384</v>
      </c>
      <c r="AI36" s="158">
        <v>12586.28314564512</v>
      </c>
      <c r="AJ36" s="158">
        <v>13390.501015572105</v>
      </c>
      <c r="AK36" s="158">
        <v>14290.838255099105</v>
      </c>
      <c r="AL36" s="39"/>
      <c r="AM36" s="39"/>
      <c r="AN36" s="74">
        <f t="shared" si="1"/>
        <v>-0.5921367523293708</v>
      </c>
      <c r="AO36" s="25"/>
      <c r="AP36" s="168"/>
      <c r="AQ36" s="168"/>
      <c r="AR36" s="168"/>
      <c r="AS36" s="103"/>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row>
    <row r="37" spans="1:105" s="112" customFormat="1" ht="15.75" customHeight="1">
      <c r="A37" s="246"/>
      <c r="B37" s="260"/>
      <c r="C37" s="209" t="s">
        <v>88</v>
      </c>
      <c r="D37" s="133" t="s">
        <v>85</v>
      </c>
      <c r="E37" s="157">
        <v>36916.964264554801</v>
      </c>
      <c r="F37" s="157">
        <v>34144.17340124739</v>
      </c>
      <c r="G37" s="157">
        <v>24417.832918892695</v>
      </c>
      <c r="H37" s="157">
        <v>19435.265758917198</v>
      </c>
      <c r="I37" s="157">
        <v>20040.797339349192</v>
      </c>
      <c r="J37" s="157">
        <v>18054.96964334985</v>
      </c>
      <c r="K37" s="157">
        <v>19033.944015286525</v>
      </c>
      <c r="L37" s="157">
        <v>18673.173638602406</v>
      </c>
      <c r="M37" s="157">
        <v>16933.061774484595</v>
      </c>
      <c r="N37" s="157">
        <v>15929.463709002539</v>
      </c>
      <c r="O37" s="157">
        <v>15470.9227907558</v>
      </c>
      <c r="P37" s="157">
        <v>15869.869042678782</v>
      </c>
      <c r="Q37" s="157">
        <v>15357.951286950201</v>
      </c>
      <c r="R37" s="157">
        <v>17250.686764392867</v>
      </c>
      <c r="S37" s="157">
        <v>17322.094478055726</v>
      </c>
      <c r="T37" s="157">
        <v>17089.781084466951</v>
      </c>
      <c r="U37" s="157">
        <v>16438.180919412272</v>
      </c>
      <c r="V37" s="157">
        <v>19930.49312100188</v>
      </c>
      <c r="W37" s="157">
        <v>17814.805547792497</v>
      </c>
      <c r="X37" s="157">
        <v>14404.982670792197</v>
      </c>
      <c r="Y37" s="157">
        <v>18964.734799600123</v>
      </c>
      <c r="Z37" s="157">
        <v>18948.026341252877</v>
      </c>
      <c r="AA37" s="157">
        <v>17761.413809234844</v>
      </c>
      <c r="AB37" s="157">
        <v>19633.824008530675</v>
      </c>
      <c r="AC37" s="157">
        <v>18783.952675205368</v>
      </c>
      <c r="AD37" s="157">
        <v>15779.623232209125</v>
      </c>
      <c r="AE37" s="157">
        <v>17432.913859254324</v>
      </c>
      <c r="AF37" s="158">
        <v>18616.032990161348</v>
      </c>
      <c r="AG37" s="158">
        <v>17800.68587393258</v>
      </c>
      <c r="AH37" s="158">
        <v>12288.098717116629</v>
      </c>
      <c r="AI37" s="158">
        <v>9198.2509299031244</v>
      </c>
      <c r="AJ37" s="158">
        <v>10390.745480529862</v>
      </c>
      <c r="AK37" s="158">
        <v>11757.177479509754</v>
      </c>
      <c r="AL37" s="39"/>
      <c r="AM37" s="39"/>
      <c r="AN37" s="74">
        <f t="shared" si="1"/>
        <v>-0.68152371914290333</v>
      </c>
      <c r="AO37" s="25"/>
      <c r="AP37" s="168"/>
      <c r="AQ37" s="168"/>
      <c r="AR37" s="168"/>
      <c r="AS37" s="103"/>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10"/>
      <c r="CT37" s="110"/>
      <c r="CU37" s="110"/>
      <c r="CV37" s="110"/>
      <c r="CW37" s="110"/>
      <c r="CX37" s="110"/>
      <c r="CY37" s="110"/>
      <c r="CZ37" s="110"/>
      <c r="DA37" s="110"/>
    </row>
    <row r="38" spans="1:105" s="112" customFormat="1" ht="15.75" customHeight="1">
      <c r="A38" s="247"/>
      <c r="B38" s="261"/>
      <c r="C38" s="210"/>
      <c r="D38" s="148" t="s">
        <v>86</v>
      </c>
      <c r="E38" s="159">
        <v>31371.222427721041</v>
      </c>
      <c r="F38" s="159">
        <v>28745.488330134194</v>
      </c>
      <c r="G38" s="159">
        <v>19795.613230724837</v>
      </c>
      <c r="H38" s="159">
        <v>13930.233874483809</v>
      </c>
      <c r="I38" s="159">
        <v>14937.955824558539</v>
      </c>
      <c r="J38" s="159">
        <v>12779.240551743304</v>
      </c>
      <c r="K38" s="159">
        <v>13460.258485071356</v>
      </c>
      <c r="L38" s="159">
        <v>12971.170769282893</v>
      </c>
      <c r="M38" s="159">
        <v>11723.036349609938</v>
      </c>
      <c r="N38" s="159">
        <v>11816.589960917678</v>
      </c>
      <c r="O38" s="159">
        <v>11685.612492372062</v>
      </c>
      <c r="P38" s="159">
        <v>12710.99693168283</v>
      </c>
      <c r="Q38" s="159">
        <v>13271.561896044579</v>
      </c>
      <c r="R38" s="159">
        <v>15956.521276735511</v>
      </c>
      <c r="S38" s="159">
        <v>15396.704051959714</v>
      </c>
      <c r="T38" s="159">
        <v>13843.877916369209</v>
      </c>
      <c r="U38" s="159">
        <v>12098.549993005186</v>
      </c>
      <c r="V38" s="159">
        <v>14253.515684908554</v>
      </c>
      <c r="W38" s="159">
        <v>11937.51347559494</v>
      </c>
      <c r="X38" s="159">
        <v>7757.3604354091012</v>
      </c>
      <c r="Y38" s="159">
        <v>13967.978994870504</v>
      </c>
      <c r="Z38" s="159">
        <v>15451.234769696279</v>
      </c>
      <c r="AA38" s="159">
        <v>15883.82443731181</v>
      </c>
      <c r="AB38" s="159">
        <v>18859.235217110519</v>
      </c>
      <c r="AC38" s="159">
        <v>18803.688060004421</v>
      </c>
      <c r="AD38" s="159">
        <v>16343.199364615477</v>
      </c>
      <c r="AE38" s="159">
        <v>19003.211988431667</v>
      </c>
      <c r="AF38" s="160">
        <v>20047.106700994122</v>
      </c>
      <c r="AG38" s="160">
        <v>20929.896732471687</v>
      </c>
      <c r="AH38" s="160">
        <v>15227.491512962388</v>
      </c>
      <c r="AI38" s="160">
        <v>10100.156475631245</v>
      </c>
      <c r="AJ38" s="160">
        <v>10860.946759295544</v>
      </c>
      <c r="AK38" s="160">
        <v>11754.774122650255</v>
      </c>
      <c r="AL38" s="40"/>
      <c r="AM38" s="40"/>
      <c r="AN38" s="75">
        <f t="shared" si="1"/>
        <v>-0.62530073063830627</v>
      </c>
      <c r="AO38" s="32"/>
      <c r="AP38" s="169"/>
      <c r="AQ38" s="169"/>
      <c r="AR38" s="169"/>
      <c r="AS38" s="14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c r="DA38" s="110"/>
    </row>
    <row r="39" spans="1:105" s="112" customFormat="1" ht="15.75" customHeight="1">
      <c r="A39" s="245" t="s">
        <v>9</v>
      </c>
      <c r="B39" s="259" t="s">
        <v>55</v>
      </c>
      <c r="C39" s="207" t="s">
        <v>87</v>
      </c>
      <c r="D39" s="133" t="s">
        <v>85</v>
      </c>
      <c r="E39" s="157">
        <v>71165.924752028688</v>
      </c>
      <c r="F39" s="157">
        <v>69092.867996661371</v>
      </c>
      <c r="G39" s="157">
        <v>67721.27054440073</v>
      </c>
      <c r="H39" s="157">
        <v>69936.171650204429</v>
      </c>
      <c r="I39" s="157">
        <v>75505.772841543847</v>
      </c>
      <c r="J39" s="157">
        <v>71758.493030121928</v>
      </c>
      <c r="K39" s="157">
        <v>77763.642558484862</v>
      </c>
      <c r="L39" s="157">
        <v>76423.371521815716</v>
      </c>
      <c r="M39" s="157">
        <v>72733.203562855939</v>
      </c>
      <c r="N39" s="157">
        <v>72052.850677260285</v>
      </c>
      <c r="O39" s="157">
        <v>70112.915583053546</v>
      </c>
      <c r="P39" s="157">
        <v>75430.122688202187</v>
      </c>
      <c r="Q39" s="157">
        <v>77838.05002934084</v>
      </c>
      <c r="R39" s="157">
        <v>85424.042449657572</v>
      </c>
      <c r="S39" s="157">
        <v>81663.008364099151</v>
      </c>
      <c r="T39" s="157">
        <v>69625.546326148702</v>
      </c>
      <c r="U39" s="157">
        <v>80996.713241460733</v>
      </c>
      <c r="V39" s="157">
        <v>79324.557809788996</v>
      </c>
      <c r="W39" s="157">
        <v>71180.61291500488</v>
      </c>
      <c r="X39" s="157">
        <v>67558.98971138976</v>
      </c>
      <c r="Y39" s="157">
        <v>75399.643073949075</v>
      </c>
      <c r="Z39" s="157">
        <v>67653.30004330739</v>
      </c>
      <c r="AA39" s="157">
        <v>62114.798336481617</v>
      </c>
      <c r="AB39" s="157">
        <v>62585.65390455805</v>
      </c>
      <c r="AC39" s="157">
        <v>58404.494020177422</v>
      </c>
      <c r="AD39" s="157">
        <v>54904.747286200778</v>
      </c>
      <c r="AE39" s="157">
        <v>57753.672034949239</v>
      </c>
      <c r="AF39" s="158">
        <v>54947.572962008999</v>
      </c>
      <c r="AG39" s="158">
        <v>55878.672024194268</v>
      </c>
      <c r="AH39" s="158">
        <v>52591.179219413811</v>
      </c>
      <c r="AI39" s="158">
        <v>47586.768799882535</v>
      </c>
      <c r="AJ39" s="158">
        <v>47545.903030391884</v>
      </c>
      <c r="AK39" s="158">
        <v>45648.909170504448</v>
      </c>
      <c r="AL39" s="41" t="s">
        <v>35</v>
      </c>
      <c r="AM39" s="41">
        <v>1990</v>
      </c>
      <c r="AN39" s="73">
        <f t="shared" si="1"/>
        <v>-0.35855665011641458</v>
      </c>
      <c r="AO39" s="36">
        <v>-0.2</v>
      </c>
      <c r="AP39" s="166">
        <v>1990</v>
      </c>
      <c r="AQ39" s="167">
        <v>-0.55000000000000004</v>
      </c>
      <c r="AR39" s="166">
        <v>2030</v>
      </c>
      <c r="AS39" s="137">
        <f>(AK39/E39)-1</f>
        <v>-0.35855665011641458</v>
      </c>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c r="CQ39" s="110"/>
      <c r="CR39" s="110"/>
      <c r="CS39" s="110"/>
      <c r="CT39" s="110"/>
      <c r="CU39" s="110"/>
      <c r="CV39" s="110"/>
      <c r="CW39" s="110"/>
      <c r="CX39" s="110"/>
      <c r="CY39" s="110"/>
      <c r="CZ39" s="110"/>
      <c r="DA39" s="110"/>
    </row>
    <row r="40" spans="1:105" s="112" customFormat="1" ht="15.75" customHeight="1">
      <c r="A40" s="246"/>
      <c r="B40" s="260"/>
      <c r="C40" s="208"/>
      <c r="D40" s="133" t="s">
        <v>86</v>
      </c>
      <c r="E40" s="157">
        <v>47991.059526693221</v>
      </c>
      <c r="F40" s="157">
        <v>33512.920788657953</v>
      </c>
      <c r="G40" s="157">
        <v>38174.440963397894</v>
      </c>
      <c r="H40" s="157">
        <v>39752.128305201739</v>
      </c>
      <c r="I40" s="157">
        <v>52135.300508208587</v>
      </c>
      <c r="J40" s="157">
        <v>49758.011768120086</v>
      </c>
      <c r="K40" s="157">
        <v>49456.701596482366</v>
      </c>
      <c r="L40" s="157">
        <v>52763.928657480537</v>
      </c>
      <c r="M40" s="157">
        <v>51139.464208854282</v>
      </c>
      <c r="N40" s="157">
        <v>50286.329521258594</v>
      </c>
      <c r="O40" s="157">
        <v>48855.147113051898</v>
      </c>
      <c r="P40" s="157">
        <v>53554.159002200286</v>
      </c>
      <c r="Q40" s="157">
        <v>54889.248089338878</v>
      </c>
      <c r="R40" s="157">
        <v>62057.630334988942</v>
      </c>
      <c r="S40" s="157">
        <v>56874.621099097072</v>
      </c>
      <c r="T40" s="157">
        <v>44775.180162479672</v>
      </c>
      <c r="U40" s="157">
        <v>52249.17553479159</v>
      </c>
      <c r="V40" s="157">
        <v>60223.647605787497</v>
      </c>
      <c r="W40" s="157">
        <v>49498.85814666946</v>
      </c>
      <c r="X40" s="157">
        <v>33652.657445719589</v>
      </c>
      <c r="Y40" s="157">
        <v>53021.474983613633</v>
      </c>
      <c r="Z40" s="157">
        <v>46033.171263972043</v>
      </c>
      <c r="AA40" s="157">
        <v>38773.07568114606</v>
      </c>
      <c r="AB40" s="157">
        <v>46028.858118223172</v>
      </c>
      <c r="AC40" s="157">
        <v>40863.089720175842</v>
      </c>
      <c r="AD40" s="157">
        <v>41773.671303866271</v>
      </c>
      <c r="AE40" s="157">
        <v>48261.003996615145</v>
      </c>
      <c r="AF40" s="158">
        <v>47916.065106675196</v>
      </c>
      <c r="AG40" s="158">
        <v>58203.149915861322</v>
      </c>
      <c r="AH40" s="158">
        <v>49357.934317746927</v>
      </c>
      <c r="AI40" s="158">
        <v>42232.46418321527</v>
      </c>
      <c r="AJ40" s="158">
        <v>51020.143764058965</v>
      </c>
      <c r="AK40" s="158">
        <v>50091.891360838243</v>
      </c>
      <c r="AL40" s="39"/>
      <c r="AM40" s="39"/>
      <c r="AN40" s="74">
        <f t="shared" si="1"/>
        <v>4.3775483493472711E-2</v>
      </c>
      <c r="AO40" s="25"/>
      <c r="AP40" s="168"/>
      <c r="AQ40" s="168"/>
      <c r="AR40" s="168"/>
      <c r="AS40" s="103"/>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10"/>
      <c r="CT40" s="110"/>
      <c r="CU40" s="110"/>
      <c r="CV40" s="110"/>
      <c r="CW40" s="110"/>
      <c r="CX40" s="110"/>
      <c r="CY40" s="110"/>
      <c r="CZ40" s="110"/>
      <c r="DA40" s="110"/>
    </row>
    <row r="41" spans="1:105" s="112" customFormat="1" ht="15.75" customHeight="1">
      <c r="A41" s="246"/>
      <c r="B41" s="260"/>
      <c r="C41" s="209" t="s">
        <v>88</v>
      </c>
      <c r="D41" s="133" t="s">
        <v>85</v>
      </c>
      <c r="E41" s="157">
        <v>56921.041721129179</v>
      </c>
      <c r="F41" s="157">
        <v>55195.466427997271</v>
      </c>
      <c r="G41" s="157">
        <v>54271.768890219268</v>
      </c>
      <c r="H41" s="157">
        <v>56320.077972042214</v>
      </c>
      <c r="I41" s="157">
        <v>61739.377920019331</v>
      </c>
      <c r="J41" s="157">
        <v>58122.22854725214</v>
      </c>
      <c r="K41" s="157">
        <v>64039.769014799094</v>
      </c>
      <c r="L41" s="157">
        <v>62702.58603921844</v>
      </c>
      <c r="M41" s="157">
        <v>59357.905543344626</v>
      </c>
      <c r="N41" s="157">
        <v>58873.811512151377</v>
      </c>
      <c r="O41" s="157">
        <v>57016.991954105571</v>
      </c>
      <c r="P41" s="157">
        <v>62520.747838399402</v>
      </c>
      <c r="Q41" s="157">
        <v>65048.509884176572</v>
      </c>
      <c r="R41" s="157">
        <v>72658.241485422463</v>
      </c>
      <c r="S41" s="157">
        <v>68945.470342349872</v>
      </c>
      <c r="T41" s="157">
        <v>57063.735066233217</v>
      </c>
      <c r="U41" s="157">
        <v>68373.711730844036</v>
      </c>
      <c r="V41" s="157">
        <v>66764.187405775607</v>
      </c>
      <c r="W41" s="157">
        <v>58625.011995553221</v>
      </c>
      <c r="X41" s="157">
        <v>55920.759083544712</v>
      </c>
      <c r="Y41" s="157">
        <v>64091.617012490307</v>
      </c>
      <c r="Z41" s="157">
        <v>56646.926216629734</v>
      </c>
      <c r="AA41" s="157">
        <v>51154.831149195881</v>
      </c>
      <c r="AB41" s="157">
        <v>51718.945055553362</v>
      </c>
      <c r="AC41" s="157">
        <v>47622.859656756547</v>
      </c>
      <c r="AD41" s="157">
        <v>44192.025258367816</v>
      </c>
      <c r="AE41" s="157">
        <v>47251.901301403137</v>
      </c>
      <c r="AF41" s="158">
        <v>44657.709322931179</v>
      </c>
      <c r="AG41" s="158">
        <v>45734.086253608773</v>
      </c>
      <c r="AH41" s="158">
        <v>42442.247022102158</v>
      </c>
      <c r="AI41" s="158">
        <v>37700.045493492893</v>
      </c>
      <c r="AJ41" s="158">
        <v>37797.869542419103</v>
      </c>
      <c r="AK41" s="158">
        <v>36366.923572569729</v>
      </c>
      <c r="AL41" s="39"/>
      <c r="AM41" s="39"/>
      <c r="AN41" s="74">
        <f t="shared" si="1"/>
        <v>-0.36109876992869105</v>
      </c>
      <c r="AO41" s="25"/>
      <c r="AP41" s="168"/>
      <c r="AQ41" s="168"/>
      <c r="AR41" s="168"/>
      <c r="AS41" s="103"/>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10"/>
      <c r="CT41" s="110"/>
      <c r="CU41" s="110"/>
      <c r="CV41" s="110"/>
      <c r="CW41" s="110"/>
      <c r="CX41" s="110"/>
      <c r="CY41" s="110"/>
      <c r="CZ41" s="110"/>
      <c r="DA41" s="110"/>
    </row>
    <row r="42" spans="1:105" s="112" customFormat="1" ht="15.75" customHeight="1">
      <c r="A42" s="247"/>
      <c r="B42" s="261"/>
      <c r="C42" s="210"/>
      <c r="D42" s="148" t="s">
        <v>86</v>
      </c>
      <c r="E42" s="159">
        <v>30554.850169793714</v>
      </c>
      <c r="F42" s="159">
        <v>16425.981709993852</v>
      </c>
      <c r="G42" s="159">
        <v>21535.052672216429</v>
      </c>
      <c r="H42" s="159">
        <v>22946.859254039526</v>
      </c>
      <c r="I42" s="159">
        <v>35150.729977684066</v>
      </c>
      <c r="J42" s="159">
        <v>32885.570438250295</v>
      </c>
      <c r="K42" s="159">
        <v>32475.475509796597</v>
      </c>
      <c r="L42" s="159">
        <v>35760.799407883271</v>
      </c>
      <c r="M42" s="159">
        <v>34462.41687734297</v>
      </c>
      <c r="N42" s="159">
        <v>33807.895854149683</v>
      </c>
      <c r="O42" s="159">
        <v>32464.77195410393</v>
      </c>
      <c r="P42" s="159">
        <v>37349.939382397497</v>
      </c>
      <c r="Q42" s="159">
        <v>38825.709974174613</v>
      </c>
      <c r="R42" s="159">
        <v>46040.927496753837</v>
      </c>
      <c r="S42" s="159">
        <v>40928.348844347798</v>
      </c>
      <c r="T42" s="159">
        <v>29004.665750564185</v>
      </c>
      <c r="U42" s="159">
        <v>36431.878598174895</v>
      </c>
      <c r="V42" s="159">
        <v>44491.315993774107</v>
      </c>
      <c r="W42" s="159">
        <v>33830.079467217802</v>
      </c>
      <c r="X42" s="159">
        <v>18980.43800687453</v>
      </c>
      <c r="Y42" s="159">
        <v>38753.574767154867</v>
      </c>
      <c r="Z42" s="159">
        <v>32139.841530294379</v>
      </c>
      <c r="AA42" s="159">
        <v>24980.975815860322</v>
      </c>
      <c r="AB42" s="159">
        <v>32377.723859218484</v>
      </c>
      <c r="AC42" s="159">
        <v>27345.312288754965</v>
      </c>
      <c r="AD42" s="159">
        <v>28375.281925033309</v>
      </c>
      <c r="AE42" s="159">
        <v>35120.505389069047</v>
      </c>
      <c r="AF42" s="160">
        <v>34978.022549597379</v>
      </c>
      <c r="AG42" s="160">
        <v>45407.981459275827</v>
      </c>
      <c r="AH42" s="160">
        <v>36560.092873435271</v>
      </c>
      <c r="AI42" s="160">
        <v>29697.402152825627</v>
      </c>
      <c r="AJ42" s="160">
        <v>38638.354313086187</v>
      </c>
      <c r="AK42" s="160">
        <v>38202.728189903522</v>
      </c>
      <c r="AL42" s="40"/>
      <c r="AM42" s="40"/>
      <c r="AN42" s="75">
        <f t="shared" si="1"/>
        <v>0.25029996801196686</v>
      </c>
      <c r="AO42" s="32"/>
      <c r="AP42" s="169"/>
      <c r="AQ42" s="169"/>
      <c r="AR42" s="169"/>
      <c r="AS42" s="14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row>
    <row r="43" spans="1:105" s="112" customFormat="1" ht="15.75" customHeight="1">
      <c r="A43" s="245" t="s">
        <v>9</v>
      </c>
      <c r="B43" s="259" t="s">
        <v>56</v>
      </c>
      <c r="C43" s="207" t="s">
        <v>87</v>
      </c>
      <c r="D43" s="133" t="s">
        <v>85</v>
      </c>
      <c r="E43" s="157">
        <v>537837.22033954237</v>
      </c>
      <c r="F43" s="157">
        <v>563578.37341870088</v>
      </c>
      <c r="G43" s="157">
        <v>553277.05195604858</v>
      </c>
      <c r="H43" s="157">
        <v>531812.54056255042</v>
      </c>
      <c r="I43" s="157">
        <v>523549.45268773037</v>
      </c>
      <c r="J43" s="157">
        <v>529460.51523770648</v>
      </c>
      <c r="K43" s="157">
        <v>547709.93865888566</v>
      </c>
      <c r="L43" s="157">
        <v>539953.86488757841</v>
      </c>
      <c r="M43" s="157">
        <v>553984.59943738184</v>
      </c>
      <c r="N43" s="157">
        <v>549137.81700565747</v>
      </c>
      <c r="O43" s="157">
        <v>543549.89408187685</v>
      </c>
      <c r="P43" s="157">
        <v>548871.72178434033</v>
      </c>
      <c r="Q43" s="157">
        <v>542677.78966375662</v>
      </c>
      <c r="R43" s="157">
        <v>547029.58882793726</v>
      </c>
      <c r="S43" s="157">
        <v>546910.85861471237</v>
      </c>
      <c r="T43" s="157">
        <v>548450.06610231195</v>
      </c>
      <c r="U43" s="157">
        <v>537852.24921277887</v>
      </c>
      <c r="V43" s="157">
        <v>527940.14545064454</v>
      </c>
      <c r="W43" s="157">
        <v>522513.90548346919</v>
      </c>
      <c r="X43" s="157">
        <v>501636.35898450913</v>
      </c>
      <c r="Y43" s="157">
        <v>505151.60951062897</v>
      </c>
      <c r="Z43" s="157">
        <v>480397.19481260941</v>
      </c>
      <c r="AA43" s="157">
        <v>482021.78979976021</v>
      </c>
      <c r="AB43" s="157">
        <v>481511.37038263248</v>
      </c>
      <c r="AC43" s="157">
        <v>449028.12995379558</v>
      </c>
      <c r="AD43" s="157">
        <v>452801.14680657646</v>
      </c>
      <c r="AE43" s="157">
        <v>454789.13828689122</v>
      </c>
      <c r="AF43" s="158">
        <v>457323.99297158152</v>
      </c>
      <c r="AG43" s="158">
        <v>438279.22292934399</v>
      </c>
      <c r="AH43" s="158">
        <v>428203.45167662256</v>
      </c>
      <c r="AI43" s="158">
        <v>388659.5701705825</v>
      </c>
      <c r="AJ43" s="158">
        <v>410791.54049778427</v>
      </c>
      <c r="AK43" s="158">
        <v>394825.64423771919</v>
      </c>
      <c r="AL43" s="41" t="s">
        <v>35</v>
      </c>
      <c r="AM43" s="41">
        <v>1990</v>
      </c>
      <c r="AN43" s="73">
        <f t="shared" si="1"/>
        <v>-0.26590122567482122</v>
      </c>
      <c r="AO43" s="36">
        <v>-0.2</v>
      </c>
      <c r="AP43" s="166">
        <v>1990</v>
      </c>
      <c r="AQ43" s="167">
        <v>-0.55000000000000004</v>
      </c>
      <c r="AR43" s="166">
        <v>2030</v>
      </c>
      <c r="AS43" s="137">
        <f>(AK43/E43)-1</f>
        <v>-0.26590122567482122</v>
      </c>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c r="CP43" s="110"/>
      <c r="CQ43" s="110"/>
      <c r="CR43" s="110"/>
      <c r="CS43" s="110"/>
      <c r="CT43" s="110"/>
      <c r="CU43" s="110"/>
      <c r="CV43" s="110"/>
      <c r="CW43" s="110"/>
      <c r="CX43" s="110"/>
      <c r="CY43" s="110"/>
      <c r="CZ43" s="110"/>
      <c r="DA43" s="110"/>
    </row>
    <row r="44" spans="1:105" s="112" customFormat="1" ht="15.75" customHeight="1">
      <c r="A44" s="246"/>
      <c r="B44" s="260"/>
      <c r="C44" s="208"/>
      <c r="D44" s="133" t="s">
        <v>86</v>
      </c>
      <c r="E44" s="157">
        <v>519548.13675459195</v>
      </c>
      <c r="F44" s="157">
        <v>545119.57581867743</v>
      </c>
      <c r="G44" s="157">
        <v>535997.85546429257</v>
      </c>
      <c r="H44" s="157">
        <v>510261.09319751547</v>
      </c>
      <c r="I44" s="157">
        <v>504212.39434703032</v>
      </c>
      <c r="J44" s="157">
        <v>507032.39659532695</v>
      </c>
      <c r="K44" s="157">
        <v>517674.10046487319</v>
      </c>
      <c r="L44" s="157">
        <v>508679.98546829965</v>
      </c>
      <c r="M44" s="157">
        <v>519471.67677506973</v>
      </c>
      <c r="N44" s="157">
        <v>509737.15129167004</v>
      </c>
      <c r="O44" s="157">
        <v>520492.84211097937</v>
      </c>
      <c r="P44" s="157">
        <v>511299.17256967764</v>
      </c>
      <c r="Q44" s="157">
        <v>495367.12595805083</v>
      </c>
      <c r="R44" s="157">
        <v>495101.03866627062</v>
      </c>
      <c r="S44" s="157">
        <v>493172.11627140944</v>
      </c>
      <c r="T44" s="157">
        <v>495665.00533557305</v>
      </c>
      <c r="U44" s="157">
        <v>485717.75610598561</v>
      </c>
      <c r="V44" s="157">
        <v>480119.45177453774</v>
      </c>
      <c r="W44" s="157">
        <v>475986.85837546497</v>
      </c>
      <c r="X44" s="157">
        <v>466664.80562235287</v>
      </c>
      <c r="Y44" s="157">
        <v>468511.33072519943</v>
      </c>
      <c r="Z44" s="157">
        <v>442686.93576438853</v>
      </c>
      <c r="AA44" s="157">
        <v>440817.20185884391</v>
      </c>
      <c r="AB44" s="157">
        <v>435483.69829009881</v>
      </c>
      <c r="AC44" s="157">
        <v>409339.84287828469</v>
      </c>
      <c r="AD44" s="157">
        <v>416433.95725928457</v>
      </c>
      <c r="AE44" s="157">
        <v>424478.79497995571</v>
      </c>
      <c r="AF44" s="158">
        <v>437879.68585021747</v>
      </c>
      <c r="AG44" s="158">
        <v>413896.76535985136</v>
      </c>
      <c r="AH44" s="158">
        <v>409592.02696065296</v>
      </c>
      <c r="AI44" s="158">
        <v>367305.41203176847</v>
      </c>
      <c r="AJ44" s="158">
        <v>391746.34657746309</v>
      </c>
      <c r="AK44" s="158">
        <v>376325.89539642457</v>
      </c>
      <c r="AL44" s="39"/>
      <c r="AM44" s="39"/>
      <c r="AN44" s="74">
        <f t="shared" si="1"/>
        <v>-0.27566693290985322</v>
      </c>
      <c r="AO44" s="25"/>
      <c r="AP44" s="168"/>
      <c r="AQ44" s="168"/>
      <c r="AR44" s="168"/>
      <c r="AS44" s="103"/>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c r="CP44" s="110"/>
      <c r="CQ44" s="110"/>
      <c r="CR44" s="110"/>
      <c r="CS44" s="110"/>
      <c r="CT44" s="110"/>
      <c r="CU44" s="110"/>
      <c r="CV44" s="110"/>
      <c r="CW44" s="110"/>
      <c r="CX44" s="110"/>
      <c r="CY44" s="110"/>
      <c r="CZ44" s="110"/>
      <c r="DA44" s="110"/>
    </row>
    <row r="45" spans="1:105" s="112" customFormat="1" ht="15.75" customHeight="1">
      <c r="A45" s="246"/>
      <c r="B45" s="260"/>
      <c r="C45" s="209" t="s">
        <v>88</v>
      </c>
      <c r="D45" s="133" t="s">
        <v>85</v>
      </c>
      <c r="E45" s="157">
        <v>396965.95117678214</v>
      </c>
      <c r="F45" s="157">
        <v>421616.41340194613</v>
      </c>
      <c r="G45" s="157">
        <v>411408.04541775945</v>
      </c>
      <c r="H45" s="157">
        <v>392217.28042060678</v>
      </c>
      <c r="I45" s="157">
        <v>385567.33164324402</v>
      </c>
      <c r="J45" s="157">
        <v>390833.32742222206</v>
      </c>
      <c r="K45" s="157">
        <v>407347.78980110004</v>
      </c>
      <c r="L45" s="157">
        <v>400261.26916822314</v>
      </c>
      <c r="M45" s="157">
        <v>418993.69442550623</v>
      </c>
      <c r="N45" s="157">
        <v>418066.41089614743</v>
      </c>
      <c r="O45" s="157">
        <v>412428.86291559821</v>
      </c>
      <c r="P45" s="157">
        <v>417119.98580638476</v>
      </c>
      <c r="Q45" s="157">
        <v>412783.21220802312</v>
      </c>
      <c r="R45" s="157">
        <v>419028.20365544135</v>
      </c>
      <c r="S45" s="157">
        <v>420945.96393815946</v>
      </c>
      <c r="T45" s="157">
        <v>423707.78653401555</v>
      </c>
      <c r="U45" s="157">
        <v>414087.14796274761</v>
      </c>
      <c r="V45" s="157">
        <v>404218.78807131998</v>
      </c>
      <c r="W45" s="157">
        <v>397492.01652076084</v>
      </c>
      <c r="X45" s="157">
        <v>379701.9297724209</v>
      </c>
      <c r="Y45" s="157">
        <v>385425.52174238791</v>
      </c>
      <c r="Z45" s="157">
        <v>363403.18896168459</v>
      </c>
      <c r="AA45" s="157">
        <v>365444.3943151086</v>
      </c>
      <c r="AB45" s="157">
        <v>367526.42605318752</v>
      </c>
      <c r="AC45" s="157">
        <v>335581.40757868835</v>
      </c>
      <c r="AD45" s="157">
        <v>340460.51549299259</v>
      </c>
      <c r="AE45" s="157">
        <v>343393.00838329637</v>
      </c>
      <c r="AF45" s="158">
        <v>346103.26447999984</v>
      </c>
      <c r="AG45" s="158">
        <v>330925.12797685672</v>
      </c>
      <c r="AH45" s="158">
        <v>324252.34974450135</v>
      </c>
      <c r="AI45" s="158">
        <v>288711.71250344458</v>
      </c>
      <c r="AJ45" s="158">
        <v>314018.53685365769</v>
      </c>
      <c r="AK45" s="158">
        <v>301766.27629199479</v>
      </c>
      <c r="AL45" s="39"/>
      <c r="AM45" s="39"/>
      <c r="AN45" s="74">
        <f t="shared" si="1"/>
        <v>-0.23981823781755973</v>
      </c>
      <c r="AO45" s="25"/>
      <c r="AP45" s="168"/>
      <c r="AQ45" s="168"/>
      <c r="AR45" s="168"/>
      <c r="AS45" s="103"/>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c r="CP45" s="110"/>
      <c r="CQ45" s="110"/>
      <c r="CR45" s="110"/>
      <c r="CS45" s="110"/>
      <c r="CT45" s="110"/>
      <c r="CU45" s="110"/>
      <c r="CV45" s="110"/>
      <c r="CW45" s="110"/>
      <c r="CX45" s="110"/>
      <c r="CY45" s="110"/>
      <c r="CZ45" s="110"/>
      <c r="DA45" s="110"/>
    </row>
    <row r="46" spans="1:105" s="112" customFormat="1" ht="15.75" customHeight="1">
      <c r="A46" s="247"/>
      <c r="B46" s="261"/>
      <c r="C46" s="210"/>
      <c r="D46" s="148" t="s">
        <v>86</v>
      </c>
      <c r="E46" s="159">
        <v>375981.1273736594</v>
      </c>
      <c r="F46" s="159">
        <v>400598.35075193481</v>
      </c>
      <c r="G46" s="159">
        <v>391578.96231856442</v>
      </c>
      <c r="H46" s="159">
        <v>368182.99035107566</v>
      </c>
      <c r="I46" s="159">
        <v>361114.69331092038</v>
      </c>
      <c r="J46" s="159">
        <v>363129.01529481716</v>
      </c>
      <c r="K46" s="159">
        <v>372920.16920212517</v>
      </c>
      <c r="L46" s="159">
        <v>365220.74604064558</v>
      </c>
      <c r="M46" s="159">
        <v>381213.36291498557</v>
      </c>
      <c r="N46" s="159">
        <v>375779.55799070408</v>
      </c>
      <c r="O46" s="159">
        <v>386751.4889982281</v>
      </c>
      <c r="P46" s="159">
        <v>377146.58577773336</v>
      </c>
      <c r="Q46" s="159">
        <v>363152.84816297411</v>
      </c>
      <c r="R46" s="159">
        <v>364773.47632011469</v>
      </c>
      <c r="S46" s="159">
        <v>365061.27070004703</v>
      </c>
      <c r="T46" s="159">
        <v>368768.10204036819</v>
      </c>
      <c r="U46" s="159">
        <v>359853.73216341774</v>
      </c>
      <c r="V46" s="159">
        <v>354241.25452970323</v>
      </c>
      <c r="W46" s="159">
        <v>348799.78069012368</v>
      </c>
      <c r="X46" s="159">
        <v>342521.82291872206</v>
      </c>
      <c r="Y46" s="159">
        <v>346589.47794374678</v>
      </c>
      <c r="Z46" s="159">
        <v>323541.19765225769</v>
      </c>
      <c r="AA46" s="159">
        <v>322152.41055070865</v>
      </c>
      <c r="AB46" s="159">
        <v>319543.00712177472</v>
      </c>
      <c r="AC46" s="159">
        <v>293966.56205060717</v>
      </c>
      <c r="AD46" s="159">
        <v>302199.63419954357</v>
      </c>
      <c r="AE46" s="159">
        <v>311212.77024129528</v>
      </c>
      <c r="AF46" s="160">
        <v>324829.9798109656</v>
      </c>
      <c r="AG46" s="160">
        <v>304799.32028068998</v>
      </c>
      <c r="AH46" s="160">
        <v>303940.90347773518</v>
      </c>
      <c r="AI46" s="160">
        <v>265759.53281716688</v>
      </c>
      <c r="AJ46" s="160">
        <v>293377.1939727561</v>
      </c>
      <c r="AK46" s="160">
        <v>281494.0298629952</v>
      </c>
      <c r="AL46" s="40"/>
      <c r="AM46" s="40"/>
      <c r="AN46" s="75">
        <f t="shared" si="1"/>
        <v>-0.25130808604858657</v>
      </c>
      <c r="AO46" s="32"/>
      <c r="AP46" s="169"/>
      <c r="AQ46" s="169"/>
      <c r="AR46" s="169"/>
      <c r="AS46" s="14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10"/>
      <c r="CT46" s="110"/>
      <c r="CU46" s="110"/>
      <c r="CV46" s="110"/>
      <c r="CW46" s="110"/>
      <c r="CX46" s="110"/>
      <c r="CY46" s="110"/>
      <c r="CZ46" s="110"/>
      <c r="DA46" s="110"/>
    </row>
    <row r="47" spans="1:105" s="112" customFormat="1" ht="15.75" customHeight="1">
      <c r="A47" s="245" t="s">
        <v>9</v>
      </c>
      <c r="B47" s="248" t="s">
        <v>57</v>
      </c>
      <c r="C47" s="233" t="s">
        <v>87</v>
      </c>
      <c r="D47" s="133" t="s">
        <v>85</v>
      </c>
      <c r="E47" s="157">
        <v>1250658.1495490705</v>
      </c>
      <c r="F47" s="157">
        <v>1204651.6956489037</v>
      </c>
      <c r="G47" s="157">
        <v>1155057.5854496749</v>
      </c>
      <c r="H47" s="157">
        <v>1145879.3480970445</v>
      </c>
      <c r="I47" s="157">
        <v>1127753.8650159969</v>
      </c>
      <c r="J47" s="157">
        <v>1120598.15315384</v>
      </c>
      <c r="K47" s="157">
        <v>1137857.9000539314</v>
      </c>
      <c r="L47" s="157">
        <v>1102105.2293041875</v>
      </c>
      <c r="M47" s="157">
        <v>1077634.2324508538</v>
      </c>
      <c r="N47" s="157">
        <v>1043398.4354387718</v>
      </c>
      <c r="O47" s="157">
        <v>1040431.477676946</v>
      </c>
      <c r="P47" s="157">
        <v>1055087.9832802082</v>
      </c>
      <c r="Q47" s="157">
        <v>1033356.4644835691</v>
      </c>
      <c r="R47" s="157">
        <v>1024724.9620435191</v>
      </c>
      <c r="S47" s="157">
        <v>1001225.0622408746</v>
      </c>
      <c r="T47" s="157">
        <v>987522.87085543142</v>
      </c>
      <c r="U47" s="157">
        <v>1000996.6987688101</v>
      </c>
      <c r="V47" s="157">
        <v>960750.00024954311</v>
      </c>
      <c r="W47" s="157">
        <v>968599.95306423027</v>
      </c>
      <c r="X47" s="157">
        <v>899803.2074166938</v>
      </c>
      <c r="Y47" s="157">
        <v>927911.77573002246</v>
      </c>
      <c r="Z47" s="157">
        <v>904308.97991900775</v>
      </c>
      <c r="AA47" s="157">
        <v>914497.8379461359</v>
      </c>
      <c r="AB47" s="157">
        <v>931474.36524521292</v>
      </c>
      <c r="AC47" s="157">
        <v>890888.47894010635</v>
      </c>
      <c r="AD47" s="157">
        <v>899384.16325066437</v>
      </c>
      <c r="AE47" s="157">
        <v>894710.83013201354</v>
      </c>
      <c r="AF47" s="158">
        <v>879843.00901728007</v>
      </c>
      <c r="AG47" s="158">
        <v>851701.94527577446</v>
      </c>
      <c r="AH47" s="158">
        <v>796761.00714057812</v>
      </c>
      <c r="AI47" s="158">
        <v>731752.74787715054</v>
      </c>
      <c r="AJ47" s="158">
        <v>759599.6474273128</v>
      </c>
      <c r="AK47" s="158">
        <v>749963.10718891129</v>
      </c>
      <c r="AL47" s="41" t="s">
        <v>35</v>
      </c>
      <c r="AM47" s="41">
        <v>1990</v>
      </c>
      <c r="AN47" s="73">
        <f t="shared" si="1"/>
        <v>-0.40034524425454443</v>
      </c>
      <c r="AO47" s="36">
        <v>-0.2</v>
      </c>
      <c r="AP47" s="166">
        <v>1990</v>
      </c>
      <c r="AQ47" s="167">
        <v>-0.55000000000000004</v>
      </c>
      <c r="AR47" s="166">
        <v>2030</v>
      </c>
      <c r="AS47" s="137">
        <f>(AK47/E47)-1</f>
        <v>-0.40034524425454443</v>
      </c>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c r="CV47" s="110"/>
      <c r="CW47" s="110"/>
      <c r="CX47" s="110"/>
      <c r="CY47" s="110"/>
      <c r="CZ47" s="110"/>
      <c r="DA47" s="110"/>
    </row>
    <row r="48" spans="1:105" s="112" customFormat="1" ht="15.75" customHeight="1">
      <c r="A48" s="246"/>
      <c r="B48" s="249"/>
      <c r="C48" s="234"/>
      <c r="D48" s="133" t="s">
        <v>86</v>
      </c>
      <c r="E48" s="157">
        <v>1283538.4512010997</v>
      </c>
      <c r="F48" s="157">
        <v>1179320.9695088107</v>
      </c>
      <c r="G48" s="157">
        <v>1123778.7893150013</v>
      </c>
      <c r="H48" s="157">
        <v>1115088.0547739177</v>
      </c>
      <c r="I48" s="157">
        <v>1102468.2028724109</v>
      </c>
      <c r="J48" s="157">
        <v>1101905.6892694812</v>
      </c>
      <c r="K48" s="157">
        <v>1115681.2056854223</v>
      </c>
      <c r="L48" s="157">
        <v>1080599.632405452</v>
      </c>
      <c r="M48" s="157">
        <v>1056830.4919480283</v>
      </c>
      <c r="N48" s="157">
        <v>1019328.7119169462</v>
      </c>
      <c r="O48" s="157">
        <v>1036573.1803999289</v>
      </c>
      <c r="P48" s="157">
        <v>1041965.5702890402</v>
      </c>
      <c r="Q48" s="157">
        <v>1053143.2272173343</v>
      </c>
      <c r="R48" s="157">
        <v>1040594.1287887073</v>
      </c>
      <c r="S48" s="157">
        <v>1013685.4471054096</v>
      </c>
      <c r="T48" s="157">
        <v>996388.06644829293</v>
      </c>
      <c r="U48" s="157">
        <v>1003209.7194524845</v>
      </c>
      <c r="V48" s="157">
        <v>966635.85122457438</v>
      </c>
      <c r="W48" s="157">
        <v>962614.2975802162</v>
      </c>
      <c r="X48" s="157">
        <v>889261.98944766261</v>
      </c>
      <c r="Y48" s="157">
        <v>926797.64446868538</v>
      </c>
      <c r="Z48" s="157">
        <v>895934.2869815767</v>
      </c>
      <c r="AA48" s="157">
        <v>898686.30574232736</v>
      </c>
      <c r="AB48" s="157">
        <v>917510.50114442781</v>
      </c>
      <c r="AC48" s="157">
        <v>884768.13469341863</v>
      </c>
      <c r="AD48" s="157">
        <v>891566.96924470644</v>
      </c>
      <c r="AE48" s="157">
        <v>884944.47452846542</v>
      </c>
      <c r="AF48" s="158">
        <v>873690.98605498904</v>
      </c>
      <c r="AG48" s="158">
        <v>852461.85474787082</v>
      </c>
      <c r="AH48" s="158">
        <v>794299.24760885432</v>
      </c>
      <c r="AI48" s="158">
        <v>737550.26660830097</v>
      </c>
      <c r="AJ48" s="158">
        <v>762221.49330263294</v>
      </c>
      <c r="AK48" s="158">
        <v>754344.75921428471</v>
      </c>
      <c r="AL48" s="39"/>
      <c r="AM48" s="39"/>
      <c r="AN48" s="74">
        <f t="shared" si="1"/>
        <v>-0.41229282339894857</v>
      </c>
      <c r="AO48" s="25"/>
      <c r="AP48" s="168"/>
      <c r="AQ48" s="168"/>
      <c r="AR48" s="168"/>
      <c r="AS48" s="103"/>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row>
    <row r="49" spans="1:105" s="112" customFormat="1" ht="15.75" customHeight="1">
      <c r="A49" s="246"/>
      <c r="B49" s="249"/>
      <c r="C49" s="235" t="s">
        <v>88</v>
      </c>
      <c r="D49" s="133" t="s">
        <v>85</v>
      </c>
      <c r="E49" s="157">
        <v>1054795.85530407</v>
      </c>
      <c r="F49" s="157">
        <v>1016929.4959398101</v>
      </c>
      <c r="G49" s="157">
        <v>969464.37724609999</v>
      </c>
      <c r="H49" s="157">
        <v>959385.94142152986</v>
      </c>
      <c r="I49" s="157">
        <v>943227.66423097986</v>
      </c>
      <c r="J49" s="157">
        <v>939933.61808585003</v>
      </c>
      <c r="K49" s="157">
        <v>959690.13419596013</v>
      </c>
      <c r="L49" s="157">
        <v>931508.10685287986</v>
      </c>
      <c r="M49" s="157">
        <v>923498.63532500993</v>
      </c>
      <c r="N49" s="157">
        <v>895442.07621560013</v>
      </c>
      <c r="O49" s="157">
        <v>898975.77113236021</v>
      </c>
      <c r="P49" s="157">
        <v>915254.75625388999</v>
      </c>
      <c r="Q49" s="157">
        <v>898834.27053610003</v>
      </c>
      <c r="R49" s="157">
        <v>894501.06439113989</v>
      </c>
      <c r="S49" s="157">
        <v>876569.88668031013</v>
      </c>
      <c r="T49" s="157">
        <v>867880.55246310984</v>
      </c>
      <c r="U49" s="157">
        <v>886434.33891715994</v>
      </c>
      <c r="V49" s="157">
        <v>846116.17720659007</v>
      </c>
      <c r="W49" s="157">
        <v>856607.44726744993</v>
      </c>
      <c r="X49" s="157">
        <v>789950.74619635986</v>
      </c>
      <c r="Y49" s="157">
        <v>826679.91165208002</v>
      </c>
      <c r="Z49" s="157">
        <v>804513.78805586998</v>
      </c>
      <c r="AA49" s="157">
        <v>814090.23728577991</v>
      </c>
      <c r="AB49" s="157">
        <v>831742.83039847005</v>
      </c>
      <c r="AC49" s="157">
        <v>792578.75105140998</v>
      </c>
      <c r="AD49" s="157">
        <v>800844.49175376003</v>
      </c>
      <c r="AE49" s="157">
        <v>798013.58479426999</v>
      </c>
      <c r="AF49" s="158">
        <v>784593.90106062987</v>
      </c>
      <c r="AG49" s="158">
        <v>760052.90489522007</v>
      </c>
      <c r="AH49" s="158">
        <v>709826.68429215997</v>
      </c>
      <c r="AI49" s="158">
        <v>648356.8577220398</v>
      </c>
      <c r="AJ49" s="158">
        <v>678777.26443932019</v>
      </c>
      <c r="AK49" s="158">
        <v>671471.52548831003</v>
      </c>
      <c r="AL49" s="39"/>
      <c r="AM49" s="39"/>
      <c r="AN49" s="74">
        <f t="shared" si="1"/>
        <v>-0.3634109177507695</v>
      </c>
      <c r="AO49" s="25"/>
      <c r="AP49" s="168"/>
      <c r="AQ49" s="168"/>
      <c r="AR49" s="168"/>
      <c r="AS49" s="103"/>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c r="CP49" s="110"/>
      <c r="CQ49" s="110"/>
      <c r="CR49" s="110"/>
      <c r="CS49" s="110"/>
      <c r="CT49" s="110"/>
      <c r="CU49" s="110"/>
      <c r="CV49" s="110"/>
      <c r="CW49" s="110"/>
      <c r="CX49" s="110"/>
      <c r="CY49" s="110"/>
      <c r="CZ49" s="110"/>
      <c r="DA49" s="110"/>
    </row>
    <row r="50" spans="1:105" s="112" customFormat="1" ht="15.75" customHeight="1">
      <c r="A50" s="247"/>
      <c r="B50" s="250"/>
      <c r="C50" s="236"/>
      <c r="D50" s="148" t="s">
        <v>86</v>
      </c>
      <c r="E50" s="159">
        <v>1080533.5959153592</v>
      </c>
      <c r="F50" s="159">
        <v>984463.07537571702</v>
      </c>
      <c r="G50" s="159">
        <v>931015.79696954647</v>
      </c>
      <c r="H50" s="159">
        <v>921458.58611162298</v>
      </c>
      <c r="I50" s="159">
        <v>910809.81683685374</v>
      </c>
      <c r="J50" s="159">
        <v>914116.91955855128</v>
      </c>
      <c r="K50" s="159">
        <v>930383.24659392098</v>
      </c>
      <c r="L50" s="159">
        <v>902879.52975075424</v>
      </c>
      <c r="M50" s="159">
        <v>895576.57780159439</v>
      </c>
      <c r="N50" s="159">
        <v>864259.9134902145</v>
      </c>
      <c r="O50" s="159">
        <v>887998.18511367321</v>
      </c>
      <c r="P50" s="159">
        <v>894792.95188986196</v>
      </c>
      <c r="Q50" s="159">
        <v>911252.55538057513</v>
      </c>
      <c r="R50" s="159">
        <v>902955.29659437807</v>
      </c>
      <c r="S50" s="159">
        <v>881588.53718697501</v>
      </c>
      <c r="T50" s="159">
        <v>869261.71908010135</v>
      </c>
      <c r="U50" s="159">
        <v>881222.18606484425</v>
      </c>
      <c r="V50" s="159">
        <v>844565.05559014145</v>
      </c>
      <c r="W50" s="159">
        <v>843164.2009296359</v>
      </c>
      <c r="X50" s="159">
        <v>771953.21330219868</v>
      </c>
      <c r="Y50" s="159">
        <v>818098.77517862292</v>
      </c>
      <c r="Z50" s="159">
        <v>788655.84739517886</v>
      </c>
      <c r="AA50" s="159">
        <v>790771.46593712142</v>
      </c>
      <c r="AB50" s="159">
        <v>810256.24976649485</v>
      </c>
      <c r="AC50" s="159">
        <v>778893.65231796226</v>
      </c>
      <c r="AD50" s="159">
        <v>785430.94663512206</v>
      </c>
      <c r="AE50" s="159">
        <v>780686.88667794189</v>
      </c>
      <c r="AF50" s="160">
        <v>770873.34859031881</v>
      </c>
      <c r="AG50" s="160">
        <v>753106.58711595647</v>
      </c>
      <c r="AH50" s="160">
        <v>699756.21359337622</v>
      </c>
      <c r="AI50" s="160">
        <v>646544.46905315027</v>
      </c>
      <c r="AJ50" s="160">
        <v>673807.71577476035</v>
      </c>
      <c r="AK50" s="160">
        <v>668219.44608867343</v>
      </c>
      <c r="AL50" s="40"/>
      <c r="AM50" s="40"/>
      <c r="AN50" s="75">
        <f t="shared" si="1"/>
        <v>-0.38158383171547716</v>
      </c>
      <c r="AO50" s="32"/>
      <c r="AP50" s="169"/>
      <c r="AQ50" s="169"/>
      <c r="AR50" s="169"/>
      <c r="AS50" s="14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row>
    <row r="51" spans="1:105" s="112" customFormat="1" ht="15.75" customHeight="1">
      <c r="A51" s="245" t="s">
        <v>9</v>
      </c>
      <c r="B51" s="248" t="s">
        <v>58</v>
      </c>
      <c r="C51" s="233" t="s">
        <v>87</v>
      </c>
      <c r="D51" s="133" t="s">
        <v>85</v>
      </c>
      <c r="E51" s="157">
        <v>103985.68589356897</v>
      </c>
      <c r="F51" s="157">
        <v>104006.31860413059</v>
      </c>
      <c r="G51" s="157">
        <v>105287.68455319191</v>
      </c>
      <c r="H51" s="157">
        <v>104828.03182469525</v>
      </c>
      <c r="I51" s="157">
        <v>107457.61555848732</v>
      </c>
      <c r="J51" s="157">
        <v>109581.14262948367</v>
      </c>
      <c r="K51" s="157">
        <v>112615.88841949066</v>
      </c>
      <c r="L51" s="157">
        <v>117470.44055433013</v>
      </c>
      <c r="M51" s="157">
        <v>122993.70576169078</v>
      </c>
      <c r="N51" s="157">
        <v>122985.88217352158</v>
      </c>
      <c r="O51" s="157">
        <v>126659.4393382847</v>
      </c>
      <c r="P51" s="157">
        <v>127730.96206097519</v>
      </c>
      <c r="Q51" s="157">
        <v>127719.22065323035</v>
      </c>
      <c r="R51" s="157">
        <v>131569.07614207521</v>
      </c>
      <c r="S51" s="157">
        <v>132214.90039242205</v>
      </c>
      <c r="T51" s="157">
        <v>136747.55634803759</v>
      </c>
      <c r="U51" s="157">
        <v>133269.72341167153</v>
      </c>
      <c r="V51" s="157">
        <v>135883.30327504012</v>
      </c>
      <c r="W51" s="157">
        <v>132518.61079381139</v>
      </c>
      <c r="X51" s="157">
        <v>125326.39580713917</v>
      </c>
      <c r="Y51" s="157">
        <v>119233.58167627289</v>
      </c>
      <c r="Z51" s="157">
        <v>116256.83697606478</v>
      </c>
      <c r="AA51" s="157">
        <v>113007.78397733421</v>
      </c>
      <c r="AB51" s="157">
        <v>103354.44283768118</v>
      </c>
      <c r="AC51" s="157">
        <v>99937.243203222533</v>
      </c>
      <c r="AD51" s="157">
        <v>96072.749029787054</v>
      </c>
      <c r="AE51" s="157">
        <v>92397.520034649788</v>
      </c>
      <c r="AF51" s="158">
        <v>96246.212332919589</v>
      </c>
      <c r="AG51" s="158">
        <v>93010.744604907421</v>
      </c>
      <c r="AH51" s="158">
        <v>86306.080713671356</v>
      </c>
      <c r="AI51" s="158">
        <v>75855.312727711163</v>
      </c>
      <c r="AJ51" s="158">
        <v>78003.718523525007</v>
      </c>
      <c r="AK51" s="158">
        <v>78314.029074664417</v>
      </c>
      <c r="AL51" s="41" t="s">
        <v>35</v>
      </c>
      <c r="AM51" s="41">
        <v>1990</v>
      </c>
      <c r="AN51" s="73">
        <f t="shared" si="1"/>
        <v>-0.24687683307854413</v>
      </c>
      <c r="AO51" s="36">
        <v>-0.2</v>
      </c>
      <c r="AP51" s="166">
        <v>1990</v>
      </c>
      <c r="AQ51" s="167">
        <v>-0.55000000000000004</v>
      </c>
      <c r="AR51" s="166">
        <v>2030</v>
      </c>
      <c r="AS51" s="137">
        <f>(AK51/E51)-1</f>
        <v>-0.24687683307854413</v>
      </c>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c r="CP51" s="110"/>
      <c r="CQ51" s="110"/>
      <c r="CR51" s="110"/>
      <c r="CS51" s="110"/>
      <c r="CT51" s="110"/>
      <c r="CU51" s="110"/>
      <c r="CV51" s="110"/>
      <c r="CW51" s="110"/>
      <c r="CX51" s="110"/>
      <c r="CY51" s="110"/>
      <c r="CZ51" s="110"/>
      <c r="DA51" s="110"/>
    </row>
    <row r="52" spans="1:105" s="112" customFormat="1" ht="15.75" customHeight="1">
      <c r="A52" s="246"/>
      <c r="B52" s="249"/>
      <c r="C52" s="234"/>
      <c r="D52" s="133" t="s">
        <v>86</v>
      </c>
      <c r="E52" s="157">
        <v>101716.95064596381</v>
      </c>
      <c r="F52" s="157">
        <v>101604.78149535949</v>
      </c>
      <c r="G52" s="157">
        <v>102698.01419960026</v>
      </c>
      <c r="H52" s="157">
        <v>101757.42921180447</v>
      </c>
      <c r="I52" s="157">
        <v>104649.7431327246</v>
      </c>
      <c r="J52" s="157">
        <v>106521.77090408039</v>
      </c>
      <c r="K52" s="157">
        <v>110165.77391534622</v>
      </c>
      <c r="L52" s="157">
        <v>115287.64530703569</v>
      </c>
      <c r="M52" s="157">
        <v>120772.66435576514</v>
      </c>
      <c r="N52" s="157">
        <v>120256.25897357419</v>
      </c>
      <c r="O52" s="157">
        <v>124149.21667693451</v>
      </c>
      <c r="P52" s="157">
        <v>125086.70037042923</v>
      </c>
      <c r="Q52" s="157">
        <v>124735.59160540765</v>
      </c>
      <c r="R52" s="157">
        <v>128834.46906587154</v>
      </c>
      <c r="S52" s="157">
        <v>129498.31309778089</v>
      </c>
      <c r="T52" s="157">
        <v>133197.40112714225</v>
      </c>
      <c r="U52" s="157">
        <v>129659.22590062814</v>
      </c>
      <c r="V52" s="157">
        <v>133634.8372715493</v>
      </c>
      <c r="W52" s="157">
        <v>129185.76232666335</v>
      </c>
      <c r="X52" s="157">
        <v>121897.40434707023</v>
      </c>
      <c r="Y52" s="157">
        <v>115831.85801580759</v>
      </c>
      <c r="Z52" s="157">
        <v>112745.93749605057</v>
      </c>
      <c r="AA52" s="157">
        <v>109456.45203482674</v>
      </c>
      <c r="AB52" s="157">
        <v>101312.51368374539</v>
      </c>
      <c r="AC52" s="157">
        <v>99311.325809722082</v>
      </c>
      <c r="AD52" s="157">
        <v>91799.138304327818</v>
      </c>
      <c r="AE52" s="157">
        <v>88311.861484228022</v>
      </c>
      <c r="AF52" s="158">
        <v>92360.228938217348</v>
      </c>
      <c r="AG52" s="158">
        <v>88327.107558351418</v>
      </c>
      <c r="AH52" s="158">
        <v>81166.312851722731</v>
      </c>
      <c r="AI52" s="158">
        <v>70652.773760111522</v>
      </c>
      <c r="AJ52" s="158">
        <v>72990.82965709061</v>
      </c>
      <c r="AK52" s="158">
        <v>72923.154066830073</v>
      </c>
      <c r="AL52" s="39"/>
      <c r="AM52" s="39"/>
      <c r="AN52" s="74">
        <f t="shared" si="1"/>
        <v>-0.28307766204428864</v>
      </c>
      <c r="AO52" s="25"/>
      <c r="AP52" s="168"/>
      <c r="AQ52" s="168"/>
      <c r="AR52" s="168"/>
      <c r="AS52" s="103"/>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10"/>
      <c r="CT52" s="110"/>
      <c r="CU52" s="110"/>
      <c r="CV52" s="110"/>
      <c r="CW52" s="110"/>
      <c r="CX52" s="110"/>
      <c r="CY52" s="110"/>
      <c r="CZ52" s="110"/>
      <c r="DA52" s="110"/>
    </row>
    <row r="53" spans="1:105" s="112" customFormat="1" ht="15.75" customHeight="1">
      <c r="A53" s="246"/>
      <c r="B53" s="249"/>
      <c r="C53" s="235" t="s">
        <v>88</v>
      </c>
      <c r="D53" s="133" t="s">
        <v>85</v>
      </c>
      <c r="E53" s="157">
        <v>83438.038861784284</v>
      </c>
      <c r="F53" s="157">
        <v>83407.498119643278</v>
      </c>
      <c r="G53" s="157">
        <v>84975.661167511644</v>
      </c>
      <c r="H53" s="157">
        <v>84284.959022561074</v>
      </c>
      <c r="I53" s="157">
        <v>86430.253844255742</v>
      </c>
      <c r="J53" s="157">
        <v>86963.205467091466</v>
      </c>
      <c r="K53" s="157">
        <v>89114.94719353698</v>
      </c>
      <c r="L53" s="157">
        <v>93801.539880585362</v>
      </c>
      <c r="M53" s="157">
        <v>98621.795475591411</v>
      </c>
      <c r="N53" s="157">
        <v>97934.808342300152</v>
      </c>
      <c r="O53" s="157">
        <v>102973.18076648182</v>
      </c>
      <c r="P53" s="157">
        <v>105361.87517572568</v>
      </c>
      <c r="Q53" s="157">
        <v>105000.51275266048</v>
      </c>
      <c r="R53" s="157">
        <v>109066.71741065015</v>
      </c>
      <c r="S53" s="157">
        <v>109485.26591348113</v>
      </c>
      <c r="T53" s="157">
        <v>113888.95761210455</v>
      </c>
      <c r="U53" s="157">
        <v>112419.54950038325</v>
      </c>
      <c r="V53" s="157">
        <v>114545.68970445171</v>
      </c>
      <c r="W53" s="157">
        <v>111080.3536204296</v>
      </c>
      <c r="X53" s="157">
        <v>104319.83748194762</v>
      </c>
      <c r="Y53" s="157">
        <v>97354.136668859006</v>
      </c>
      <c r="Z53" s="157">
        <v>94505.220302268877</v>
      </c>
      <c r="AA53" s="157">
        <v>91392.592817436802</v>
      </c>
      <c r="AB53" s="157">
        <v>81713.254216486821</v>
      </c>
      <c r="AC53" s="157">
        <v>78635.692564148805</v>
      </c>
      <c r="AD53" s="157">
        <v>74926.66528779763</v>
      </c>
      <c r="AE53" s="157">
        <v>71359.606522678398</v>
      </c>
      <c r="AF53" s="158">
        <v>74841.754588262847</v>
      </c>
      <c r="AG53" s="158">
        <v>71778.094394659274</v>
      </c>
      <c r="AH53" s="158">
        <v>65736.280655831957</v>
      </c>
      <c r="AI53" s="158">
        <v>55558.177790312438</v>
      </c>
      <c r="AJ53" s="158">
        <v>57519.205576953616</v>
      </c>
      <c r="AK53" s="158">
        <v>58122.294235063651</v>
      </c>
      <c r="AL53" s="39"/>
      <c r="AM53" s="39"/>
      <c r="AN53" s="74">
        <f t="shared" si="1"/>
        <v>-0.30340771394035693</v>
      </c>
      <c r="AO53" s="25"/>
      <c r="AP53" s="168"/>
      <c r="AQ53" s="168"/>
      <c r="AR53" s="168"/>
      <c r="AS53" s="103"/>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c r="CP53" s="110"/>
      <c r="CQ53" s="110"/>
      <c r="CR53" s="110"/>
      <c r="CS53" s="110"/>
      <c r="CT53" s="110"/>
      <c r="CU53" s="110"/>
      <c r="CV53" s="110"/>
      <c r="CW53" s="110"/>
      <c r="CX53" s="110"/>
      <c r="CY53" s="110"/>
      <c r="CZ53" s="110"/>
      <c r="DA53" s="110"/>
    </row>
    <row r="54" spans="1:105" s="112" customFormat="1" ht="15.75" customHeight="1">
      <c r="A54" s="247"/>
      <c r="B54" s="250"/>
      <c r="C54" s="236"/>
      <c r="D54" s="148" t="s">
        <v>86</v>
      </c>
      <c r="E54" s="159">
        <v>81093.359871992623</v>
      </c>
      <c r="F54" s="159">
        <v>80966.75963848723</v>
      </c>
      <c r="G54" s="159">
        <v>82273.680854281934</v>
      </c>
      <c r="H54" s="159">
        <v>81113.036502292292</v>
      </c>
      <c r="I54" s="159">
        <v>83527.155761091795</v>
      </c>
      <c r="J54" s="159">
        <v>83847.513120390242</v>
      </c>
      <c r="K54" s="159">
        <v>86628.306867512772</v>
      </c>
      <c r="L54" s="159">
        <v>91543.789181234315</v>
      </c>
      <c r="M54" s="159">
        <v>96206.067469059417</v>
      </c>
      <c r="N54" s="159">
        <v>95183.563524241559</v>
      </c>
      <c r="O54" s="159">
        <v>100206.36197524867</v>
      </c>
      <c r="P54" s="159">
        <v>102674.61942167184</v>
      </c>
      <c r="Q54" s="159">
        <v>102001.99355617033</v>
      </c>
      <c r="R54" s="159">
        <v>106314.68949771908</v>
      </c>
      <c r="S54" s="159">
        <v>106740.65723023607</v>
      </c>
      <c r="T54" s="159">
        <v>110313.87671770927</v>
      </c>
      <c r="U54" s="159">
        <v>108770.95779680125</v>
      </c>
      <c r="V54" s="159">
        <v>111899.95728957898</v>
      </c>
      <c r="W54" s="159">
        <v>107680.83316298168</v>
      </c>
      <c r="X54" s="159">
        <v>100820.64527332934</v>
      </c>
      <c r="Y54" s="159">
        <v>93918.467762722386</v>
      </c>
      <c r="Z54" s="159">
        <v>90959.314414037071</v>
      </c>
      <c r="AA54" s="159">
        <v>87775.097446718151</v>
      </c>
      <c r="AB54" s="159">
        <v>79638.679721924156</v>
      </c>
      <c r="AC54" s="159">
        <v>77985.355539089986</v>
      </c>
      <c r="AD54" s="159">
        <v>70627.148306389659</v>
      </c>
      <c r="AE54" s="159">
        <v>67223.392902462554</v>
      </c>
      <c r="AF54" s="160">
        <v>70921.006334181831</v>
      </c>
      <c r="AG54" s="160">
        <v>67058.468413517548</v>
      </c>
      <c r="AH54" s="160">
        <v>60490.978545407655</v>
      </c>
      <c r="AI54" s="160">
        <v>50320.36439264685</v>
      </c>
      <c r="AJ54" s="160">
        <v>52328.705702563733</v>
      </c>
      <c r="AK54" s="160">
        <v>52652.155591789357</v>
      </c>
      <c r="AL54" s="40"/>
      <c r="AM54" s="40"/>
      <c r="AN54" s="75">
        <f t="shared" si="1"/>
        <v>-0.35072174004256618</v>
      </c>
      <c r="AO54" s="32"/>
      <c r="AP54" s="169"/>
      <c r="AQ54" s="169"/>
      <c r="AR54" s="169"/>
      <c r="AS54" s="14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c r="CP54" s="110"/>
      <c r="CQ54" s="110"/>
      <c r="CR54" s="110"/>
      <c r="CS54" s="110"/>
      <c r="CT54" s="110"/>
      <c r="CU54" s="110"/>
      <c r="CV54" s="110"/>
      <c r="CW54" s="110"/>
      <c r="CX54" s="110"/>
      <c r="CY54" s="110"/>
      <c r="CZ54" s="110"/>
      <c r="DA54" s="110"/>
    </row>
    <row r="55" spans="1:105" s="112" customFormat="1" ht="15.75" customHeight="1">
      <c r="A55" s="245" t="s">
        <v>9</v>
      </c>
      <c r="B55" s="248" t="s">
        <v>59</v>
      </c>
      <c r="C55" s="233" t="s">
        <v>87</v>
      </c>
      <c r="D55" s="133" t="s">
        <v>85</v>
      </c>
      <c r="E55" s="134">
        <v>95061.82265691596</v>
      </c>
      <c r="F55" s="134">
        <v>88848.046058909007</v>
      </c>
      <c r="G55" s="134">
        <v>78861.161282415269</v>
      </c>
      <c r="H55" s="134">
        <v>79352.053418371012</v>
      </c>
      <c r="I55" s="134">
        <v>78871.161652687064</v>
      </c>
      <c r="J55" s="134">
        <v>77669.516524382925</v>
      </c>
      <c r="K55" s="134">
        <v>79916.273994546049</v>
      </c>
      <c r="L55" s="134">
        <v>78499.438132211086</v>
      </c>
      <c r="M55" s="134">
        <v>77984.731266026836</v>
      </c>
      <c r="N55" s="134">
        <v>78310.491145127162</v>
      </c>
      <c r="O55" s="134">
        <v>75452.941413451495</v>
      </c>
      <c r="P55" s="134">
        <v>77276.823241097445</v>
      </c>
      <c r="Q55" s="134">
        <v>75651.350722442337</v>
      </c>
      <c r="R55" s="134">
        <v>78576.094552699462</v>
      </c>
      <c r="S55" s="134">
        <v>77438.903467104203</v>
      </c>
      <c r="T55" s="134">
        <v>77255.144248321376</v>
      </c>
      <c r="U55" s="134">
        <v>75729.608284000569</v>
      </c>
      <c r="V55" s="134">
        <v>74014.381172983703</v>
      </c>
      <c r="W55" s="134">
        <v>71944.42791405943</v>
      </c>
      <c r="X55" s="134">
        <v>65920.943131293025</v>
      </c>
      <c r="Y55" s="134">
        <v>66508.628871802779</v>
      </c>
      <c r="Z55" s="134">
        <v>64829.761778499131</v>
      </c>
      <c r="AA55" s="134">
        <v>61510.853526356746</v>
      </c>
      <c r="AB55" s="134">
        <v>58517.567872096806</v>
      </c>
      <c r="AC55" s="134">
        <v>58864.960785173549</v>
      </c>
      <c r="AD55" s="134">
        <v>62072.234310464904</v>
      </c>
      <c r="AE55" s="134">
        <v>62600.479436178095</v>
      </c>
      <c r="AF55" s="133">
        <v>64960.123296631347</v>
      </c>
      <c r="AG55" s="133">
        <v>64914.003785270921</v>
      </c>
      <c r="AH55" s="133">
        <v>64650.746698247189</v>
      </c>
      <c r="AI55" s="133">
        <v>62683.214495361681</v>
      </c>
      <c r="AJ55" s="133">
        <v>63744.711028757585</v>
      </c>
      <c r="AK55" s="158">
        <v>59535.286360596605</v>
      </c>
      <c r="AL55" s="41" t="s">
        <v>35</v>
      </c>
      <c r="AM55" s="41">
        <v>1990</v>
      </c>
      <c r="AN55" s="73">
        <f>(AJ55/E55)-1</f>
        <v>-0.32943941903137897</v>
      </c>
      <c r="AO55" s="36">
        <v>-0.2</v>
      </c>
      <c r="AP55" s="166">
        <v>1990</v>
      </c>
      <c r="AQ55" s="167">
        <v>-0.55000000000000004</v>
      </c>
      <c r="AR55" s="166">
        <v>2030</v>
      </c>
      <c r="AS55" s="137">
        <f>(AJ55/E55)-1</f>
        <v>-0.32943941903137897</v>
      </c>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c r="CP55" s="110"/>
      <c r="CQ55" s="110"/>
      <c r="CR55" s="110"/>
      <c r="CS55" s="110"/>
      <c r="CT55" s="110"/>
      <c r="CU55" s="110"/>
      <c r="CV55" s="110"/>
      <c r="CW55" s="110"/>
      <c r="CX55" s="110"/>
      <c r="CY55" s="110"/>
      <c r="CZ55" s="110"/>
      <c r="DA55" s="110"/>
    </row>
    <row r="56" spans="1:105" s="112" customFormat="1" ht="15.75" customHeight="1">
      <c r="A56" s="246"/>
      <c r="B56" s="249"/>
      <c r="C56" s="234"/>
      <c r="D56" s="133" t="s">
        <v>86</v>
      </c>
      <c r="E56" s="134">
        <v>91761.533209532019</v>
      </c>
      <c r="F56" s="134">
        <v>86353.281391192839</v>
      </c>
      <c r="G56" s="134">
        <v>75842.106804153591</v>
      </c>
      <c r="H56" s="134">
        <v>73714.315442401392</v>
      </c>
      <c r="I56" s="134">
        <v>72615.755201077045</v>
      </c>
      <c r="J56" s="134">
        <v>71396.747447386704</v>
      </c>
      <c r="K56" s="134">
        <v>77288.987818228241</v>
      </c>
      <c r="L56" s="134">
        <v>75418.647465631715</v>
      </c>
      <c r="M56" s="134">
        <v>73805.704486695889</v>
      </c>
      <c r="N56" s="134">
        <v>76334.381030298304</v>
      </c>
      <c r="O56" s="134">
        <v>74365.658190634102</v>
      </c>
      <c r="P56" s="134">
        <v>74534.109030182721</v>
      </c>
      <c r="Q56" s="134">
        <v>73599.94447351851</v>
      </c>
      <c r="R56" s="134">
        <v>74151.906900102331</v>
      </c>
      <c r="S56" s="134">
        <v>73976.469885911953</v>
      </c>
      <c r="T56" s="134">
        <v>71262.90002079746</v>
      </c>
      <c r="U56" s="134">
        <v>71657.063226605824</v>
      </c>
      <c r="V56" s="134">
        <v>69649.874111602738</v>
      </c>
      <c r="W56" s="134">
        <v>65881.166779733656</v>
      </c>
      <c r="X56" s="134">
        <v>61322.852182538925</v>
      </c>
      <c r="Y56" s="134">
        <v>61713.790223183874</v>
      </c>
      <c r="Z56" s="134">
        <v>60657.99478391734</v>
      </c>
      <c r="AA56" s="134">
        <v>56762.02497191351</v>
      </c>
      <c r="AB56" s="134">
        <v>54456.327726638759</v>
      </c>
      <c r="AC56" s="134">
        <v>53779.605478258469</v>
      </c>
      <c r="AD56" s="134">
        <v>56397.162864096528</v>
      </c>
      <c r="AE56" s="134">
        <v>58058.95571488014</v>
      </c>
      <c r="AF56" s="133">
        <v>59616.325980050795</v>
      </c>
      <c r="AG56" s="133">
        <v>60123.054437939812</v>
      </c>
      <c r="AH56" s="133">
        <v>59282.149327626175</v>
      </c>
      <c r="AI56" s="133">
        <v>55591.143147793329</v>
      </c>
      <c r="AJ56" s="133">
        <v>56562.647591080589</v>
      </c>
      <c r="AK56" s="158">
        <v>52748.554613083725</v>
      </c>
      <c r="AL56" s="39"/>
      <c r="AM56" s="39"/>
      <c r="AN56" s="73">
        <f t="shared" ref="AN56:AN58" si="2">(AJ56/E56)-1</f>
        <v>-0.38359086195821146</v>
      </c>
      <c r="AO56" s="25"/>
      <c r="AP56" s="168"/>
      <c r="AQ56" s="168"/>
      <c r="AR56" s="168"/>
      <c r="AS56" s="103"/>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row>
    <row r="57" spans="1:105" s="112" customFormat="1" ht="15.75" customHeight="1">
      <c r="A57" s="246"/>
      <c r="B57" s="249"/>
      <c r="C57" s="235" t="s">
        <v>88</v>
      </c>
      <c r="D57" s="133" t="s">
        <v>85</v>
      </c>
      <c r="E57" s="134">
        <v>73427.365393175074</v>
      </c>
      <c r="F57" s="134">
        <v>69824.87862702382</v>
      </c>
      <c r="G57" s="134">
        <v>62280.75130379574</v>
      </c>
      <c r="H57" s="134">
        <v>62991.334837051436</v>
      </c>
      <c r="I57" s="134">
        <v>61880.354636305907</v>
      </c>
      <c r="J57" s="134">
        <v>61464.13512385825</v>
      </c>
      <c r="K57" s="134">
        <v>63083.043232882526</v>
      </c>
      <c r="L57" s="134">
        <v>61675.939828566792</v>
      </c>
      <c r="M57" s="134">
        <v>61255.40673533774</v>
      </c>
      <c r="N57" s="134">
        <v>61575.132512461023</v>
      </c>
      <c r="O57" s="134">
        <v>58244.414813661482</v>
      </c>
      <c r="P57" s="134">
        <v>59827.764659815832</v>
      </c>
      <c r="Q57" s="134">
        <v>58841.990297363969</v>
      </c>
      <c r="R57" s="134">
        <v>61611.235057743732</v>
      </c>
      <c r="S57" s="134">
        <v>59984.90954548226</v>
      </c>
      <c r="T57" s="134">
        <v>60142.065255893132</v>
      </c>
      <c r="U57" s="134">
        <v>59528.572014502461</v>
      </c>
      <c r="V57" s="134">
        <v>58448.585068334287</v>
      </c>
      <c r="W57" s="134">
        <v>57184.407000500622</v>
      </c>
      <c r="X57" s="134">
        <v>51457.498871936266</v>
      </c>
      <c r="Y57" s="134">
        <v>51992.71169848022</v>
      </c>
      <c r="Z57" s="134">
        <v>50156.008250846571</v>
      </c>
      <c r="AA57" s="134">
        <v>46720.169039668894</v>
      </c>
      <c r="AB57" s="134">
        <v>43486.520153052465</v>
      </c>
      <c r="AC57" s="134">
        <v>43638.88574989167</v>
      </c>
      <c r="AD57" s="134">
        <v>46566.926164556513</v>
      </c>
      <c r="AE57" s="134">
        <v>47039.147085045617</v>
      </c>
      <c r="AF57" s="133">
        <v>49423.532657087759</v>
      </c>
      <c r="AG57" s="133">
        <v>49376.218322778543</v>
      </c>
      <c r="AH57" s="133">
        <v>49165.747412253317</v>
      </c>
      <c r="AI57" s="133">
        <v>47107.428485972596</v>
      </c>
      <c r="AJ57" s="133">
        <v>48330.957783837614</v>
      </c>
      <c r="AK57" s="158">
        <v>45279.8364668668</v>
      </c>
      <c r="AL57" s="39"/>
      <c r="AM57" s="39"/>
      <c r="AN57" s="73">
        <f t="shared" si="2"/>
        <v>-0.34178548385817642</v>
      </c>
      <c r="AO57" s="25"/>
      <c r="AP57" s="168"/>
      <c r="AQ57" s="168"/>
      <c r="AR57" s="168"/>
      <c r="AS57" s="103"/>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row>
    <row r="58" spans="1:105" s="112" customFormat="1" ht="15.75" customHeight="1">
      <c r="A58" s="247"/>
      <c r="B58" s="250"/>
      <c r="C58" s="236"/>
      <c r="D58" s="148" t="s">
        <v>86</v>
      </c>
      <c r="E58" s="149">
        <v>70081.953417288038</v>
      </c>
      <c r="F58" s="149">
        <v>67285.465638903086</v>
      </c>
      <c r="G58" s="149">
        <v>59218.457422489075</v>
      </c>
      <c r="H58" s="149">
        <v>57312.67378262688</v>
      </c>
      <c r="I58" s="149">
        <v>55583.724991690353</v>
      </c>
      <c r="J58" s="149">
        <v>55149.140900247839</v>
      </c>
      <c r="K58" s="149">
        <v>60411.885227068437</v>
      </c>
      <c r="L58" s="149">
        <v>58551.225760244626</v>
      </c>
      <c r="M58" s="149">
        <v>57025.466276804647</v>
      </c>
      <c r="N58" s="149">
        <v>59563.955439279278</v>
      </c>
      <c r="O58" s="149">
        <v>57097.839981466495</v>
      </c>
      <c r="P58" s="149">
        <v>57039.521514193511</v>
      </c>
      <c r="Q58" s="149">
        <v>56741.326243597803</v>
      </c>
      <c r="R58" s="149">
        <v>57140.756146839572</v>
      </c>
      <c r="S58" s="149">
        <v>56485.509633042013</v>
      </c>
      <c r="T58" s="149">
        <v>54094.024411830294</v>
      </c>
      <c r="U58" s="149">
        <v>55429.918962237629</v>
      </c>
      <c r="V58" s="149">
        <v>54035.12787482061</v>
      </c>
      <c r="W58" s="149">
        <v>51085.859632859894</v>
      </c>
      <c r="X58" s="149">
        <v>46810.930054315038</v>
      </c>
      <c r="Y58" s="149">
        <v>47168.166319048367</v>
      </c>
      <c r="Z58" s="149">
        <v>45929.401180642366</v>
      </c>
      <c r="AA58" s="149">
        <v>41889.372926573771</v>
      </c>
      <c r="AB58" s="149">
        <v>39390.33599385705</v>
      </c>
      <c r="AC58" s="149">
        <v>38506.950880133008</v>
      </c>
      <c r="AD58" s="149">
        <v>40840.984952911283</v>
      </c>
      <c r="AE58" s="149">
        <v>42465.739686026318</v>
      </c>
      <c r="AF58" s="150">
        <v>44028.901077256451</v>
      </c>
      <c r="AG58" s="150">
        <v>44551.075047721162</v>
      </c>
      <c r="AH58" s="150">
        <v>43750.978264546895</v>
      </c>
      <c r="AI58" s="150">
        <v>39978.077531641145</v>
      </c>
      <c r="AJ58" s="150">
        <v>41109.194948410266</v>
      </c>
      <c r="AK58" s="158">
        <v>38360.098367725484</v>
      </c>
      <c r="AL58" s="40"/>
      <c r="AM58" s="40"/>
      <c r="AN58" s="73">
        <f t="shared" si="2"/>
        <v>-0.41341254140514128</v>
      </c>
      <c r="AO58" s="32"/>
      <c r="AP58" s="169"/>
      <c r="AQ58" s="169"/>
      <c r="AR58" s="169"/>
      <c r="AS58" s="14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row>
    <row r="59" spans="1:105" s="112" customFormat="1" ht="15.75" customHeight="1">
      <c r="A59" s="245" t="s">
        <v>9</v>
      </c>
      <c r="B59" s="248" t="s">
        <v>60</v>
      </c>
      <c r="C59" s="233" t="s">
        <v>87</v>
      </c>
      <c r="D59" s="133" t="s">
        <v>85</v>
      </c>
      <c r="E59" s="157">
        <v>55231.479981973956</v>
      </c>
      <c r="F59" s="157">
        <v>56154.194497858181</v>
      </c>
      <c r="G59" s="157">
        <v>56199.407700426214</v>
      </c>
      <c r="H59" s="157">
        <v>56807.499105756397</v>
      </c>
      <c r="I59" s="157">
        <v>58216.826944477922</v>
      </c>
      <c r="J59" s="157">
        <v>59705.97708815294</v>
      </c>
      <c r="K59" s="157">
        <v>61869.753696650587</v>
      </c>
      <c r="L59" s="157">
        <v>63306.263009476606</v>
      </c>
      <c r="M59" s="157">
        <v>65923.563540716015</v>
      </c>
      <c r="N59" s="157">
        <v>67182.151350114756</v>
      </c>
      <c r="O59" s="157">
        <v>69375.153140218477</v>
      </c>
      <c r="P59" s="157">
        <v>71476.888426578415</v>
      </c>
      <c r="Q59" s="157">
        <v>69638.232468800925</v>
      </c>
      <c r="R59" s="157">
        <v>70136.629677727382</v>
      </c>
      <c r="S59" s="157">
        <v>69400.748347078377</v>
      </c>
      <c r="T59" s="157">
        <v>71213.79003849467</v>
      </c>
      <c r="U59" s="157">
        <v>70703.821205569358</v>
      </c>
      <c r="V59" s="157">
        <v>69566.108685509505</v>
      </c>
      <c r="W59" s="157">
        <v>69032.538292547368</v>
      </c>
      <c r="X59" s="157">
        <v>63256.161924107844</v>
      </c>
      <c r="Y59" s="157">
        <v>62759.679924429227</v>
      </c>
      <c r="Z59" s="157">
        <v>58582.429045825556</v>
      </c>
      <c r="AA59" s="157">
        <v>59668.461020421018</v>
      </c>
      <c r="AB59" s="157">
        <v>59446.154903609873</v>
      </c>
      <c r="AC59" s="157">
        <v>58952.361284559178</v>
      </c>
      <c r="AD59" s="157">
        <v>61447.650581981645</v>
      </c>
      <c r="AE59" s="157">
        <v>63725.09488062928</v>
      </c>
      <c r="AF59" s="158">
        <v>63148.042036383129</v>
      </c>
      <c r="AG59" s="158">
        <v>63452.239741121666</v>
      </c>
      <c r="AH59" s="158">
        <v>60870.871654725823</v>
      </c>
      <c r="AI59" s="158">
        <v>58746.00935838349</v>
      </c>
      <c r="AJ59" s="158">
        <v>61755.121838626961</v>
      </c>
      <c r="AK59" s="158">
        <v>60604.885624290917</v>
      </c>
      <c r="AL59" s="41" t="s">
        <v>35</v>
      </c>
      <c r="AM59" s="41">
        <v>1990</v>
      </c>
      <c r="AN59" s="73">
        <f t="shared" si="1"/>
        <v>9.7288822317828316E-2</v>
      </c>
      <c r="AO59" s="36">
        <v>-0.2</v>
      </c>
      <c r="AP59" s="166">
        <v>1990</v>
      </c>
      <c r="AQ59" s="167">
        <v>-0.55000000000000004</v>
      </c>
      <c r="AR59" s="166">
        <v>2030</v>
      </c>
      <c r="AS59" s="137">
        <f>(AK59/E59)-1</f>
        <v>9.7288822317828316E-2</v>
      </c>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row>
    <row r="60" spans="1:105" s="112" customFormat="1" ht="15.75" customHeight="1">
      <c r="A60" s="246"/>
      <c r="B60" s="249"/>
      <c r="C60" s="234"/>
      <c r="D60" s="133" t="s">
        <v>86</v>
      </c>
      <c r="E60" s="157">
        <v>60242.303931726317</v>
      </c>
      <c r="F60" s="157">
        <v>61084.711362541893</v>
      </c>
      <c r="G60" s="157">
        <v>60927.050211417205</v>
      </c>
      <c r="H60" s="157">
        <v>61809.31743732113</v>
      </c>
      <c r="I60" s="157">
        <v>63362.706558224534</v>
      </c>
      <c r="J60" s="157">
        <v>65857.415607889983</v>
      </c>
      <c r="K60" s="157">
        <v>67767.733814099585</v>
      </c>
      <c r="L60" s="157">
        <v>68487.299394656467</v>
      </c>
      <c r="M60" s="157">
        <v>71093.725545834561</v>
      </c>
      <c r="N60" s="157">
        <v>72398.562797171719</v>
      </c>
      <c r="O60" s="157">
        <v>75243.256640049614</v>
      </c>
      <c r="P60" s="157">
        <v>78664.778474427483</v>
      </c>
      <c r="Q60" s="157">
        <v>76410.918322065627</v>
      </c>
      <c r="R60" s="157">
        <v>77505.896442511541</v>
      </c>
      <c r="S60" s="157">
        <v>75458.444121938388</v>
      </c>
      <c r="T60" s="157">
        <v>77425.835835013102</v>
      </c>
      <c r="U60" s="157">
        <v>76866.560926454331</v>
      </c>
      <c r="V60" s="157">
        <v>74746.386699427661</v>
      </c>
      <c r="W60" s="157">
        <v>73522.366309809353</v>
      </c>
      <c r="X60" s="157">
        <v>67370.261231263838</v>
      </c>
      <c r="Y60" s="157">
        <v>68007.89138789197</v>
      </c>
      <c r="Z60" s="157">
        <v>62910.087608789356</v>
      </c>
      <c r="AA60" s="157">
        <v>63053.954676451533</v>
      </c>
      <c r="AB60" s="157">
        <v>63608.224591159669</v>
      </c>
      <c r="AC60" s="157">
        <v>62690.254073516764</v>
      </c>
      <c r="AD60" s="157">
        <v>65530.090605041398</v>
      </c>
      <c r="AE60" s="157">
        <v>66923.409784422096</v>
      </c>
      <c r="AF60" s="158">
        <v>68313.438409218055</v>
      </c>
      <c r="AG60" s="158">
        <v>67638.729697536604</v>
      </c>
      <c r="AH60" s="158">
        <v>65152.854741323965</v>
      </c>
      <c r="AI60" s="158">
        <v>63898.456592911731</v>
      </c>
      <c r="AJ60" s="158">
        <v>66382.908633585947</v>
      </c>
      <c r="AK60" s="158">
        <v>64588.224635511266</v>
      </c>
      <c r="AL60" s="39"/>
      <c r="AM60" s="39"/>
      <c r="AN60" s="74">
        <f t="shared" si="1"/>
        <v>7.2140678894191401E-2</v>
      </c>
      <c r="AO60" s="25"/>
      <c r="AP60" s="168"/>
      <c r="AQ60" s="168"/>
      <c r="AR60" s="168"/>
      <c r="AS60" s="103"/>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row>
    <row r="61" spans="1:105" s="112" customFormat="1" ht="15.75" customHeight="1">
      <c r="A61" s="246"/>
      <c r="B61" s="249"/>
      <c r="C61" s="235" t="s">
        <v>88</v>
      </c>
      <c r="D61" s="133" t="s">
        <v>85</v>
      </c>
      <c r="E61" s="157">
        <v>32945.300077938286</v>
      </c>
      <c r="F61" s="157">
        <v>33675.164771184092</v>
      </c>
      <c r="G61" s="157">
        <v>33496.13275232858</v>
      </c>
      <c r="H61" s="157">
        <v>33717.149094462329</v>
      </c>
      <c r="I61" s="157">
        <v>34838.994226896517</v>
      </c>
      <c r="J61" s="157">
        <v>35853.360255556669</v>
      </c>
      <c r="K61" s="157">
        <v>37469.464787342724</v>
      </c>
      <c r="L61" s="157">
        <v>38804.93593101186</v>
      </c>
      <c r="M61" s="157">
        <v>40708.441106099854</v>
      </c>
      <c r="N61" s="157">
        <v>42440.314853975637</v>
      </c>
      <c r="O61" s="157">
        <v>45249.517236856969</v>
      </c>
      <c r="P61" s="157">
        <v>47607.71180509129</v>
      </c>
      <c r="Q61" s="157">
        <v>46081.387605597854</v>
      </c>
      <c r="R61" s="157">
        <v>45683.964723466415</v>
      </c>
      <c r="S61" s="157">
        <v>46166.736923751698</v>
      </c>
      <c r="T61" s="157">
        <v>48152.697261749716</v>
      </c>
      <c r="U61" s="157">
        <v>47596.800884670316</v>
      </c>
      <c r="V61" s="157">
        <v>47656.78530302272</v>
      </c>
      <c r="W61" s="157">
        <v>47358.699213085252</v>
      </c>
      <c r="X61" s="157">
        <v>42191.31401097378</v>
      </c>
      <c r="Y61" s="157">
        <v>41791.596977278183</v>
      </c>
      <c r="Z61" s="157">
        <v>38054.137085809118</v>
      </c>
      <c r="AA61" s="157">
        <v>38224.185139170811</v>
      </c>
      <c r="AB61" s="157">
        <v>37278.920511488948</v>
      </c>
      <c r="AC61" s="157">
        <v>36850.168246957306</v>
      </c>
      <c r="AD61" s="157">
        <v>38715.991141806473</v>
      </c>
      <c r="AE61" s="157">
        <v>40366.879338184408</v>
      </c>
      <c r="AF61" s="158">
        <v>39075.647120157293</v>
      </c>
      <c r="AG61" s="158">
        <v>39009.367560067367</v>
      </c>
      <c r="AH61" s="158">
        <v>37323.389255393966</v>
      </c>
      <c r="AI61" s="158">
        <v>35124.470416408534</v>
      </c>
      <c r="AJ61" s="158">
        <v>37544.272060163988</v>
      </c>
      <c r="AK61" s="158">
        <v>36711.386527374292</v>
      </c>
      <c r="AL61" s="39"/>
      <c r="AM61" s="39"/>
      <c r="AN61" s="74">
        <f t="shared" si="1"/>
        <v>0.1143133145100097</v>
      </c>
      <c r="AO61" s="25"/>
      <c r="AP61" s="168"/>
      <c r="AQ61" s="168"/>
      <c r="AR61" s="168"/>
      <c r="AS61" s="103"/>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row>
    <row r="62" spans="1:105" s="112" customFormat="1" ht="15.75" customHeight="1">
      <c r="A62" s="247"/>
      <c r="B62" s="250"/>
      <c r="C62" s="236"/>
      <c r="D62" s="148" t="s">
        <v>86</v>
      </c>
      <c r="E62" s="159">
        <v>33661.262937737665</v>
      </c>
      <c r="F62" s="159">
        <v>34366.304111158257</v>
      </c>
      <c r="G62" s="159">
        <v>34045.575100228198</v>
      </c>
      <c r="H62" s="159">
        <v>34518.419129337351</v>
      </c>
      <c r="I62" s="159">
        <v>35786.219133348306</v>
      </c>
      <c r="J62" s="159">
        <v>37777.106186523641</v>
      </c>
      <c r="K62" s="159">
        <v>39139.002534449646</v>
      </c>
      <c r="L62" s="159">
        <v>39848.804844153812</v>
      </c>
      <c r="M62" s="159">
        <v>41797.989496976807</v>
      </c>
      <c r="N62" s="159">
        <v>43597.182291893841</v>
      </c>
      <c r="O62" s="159">
        <v>47009.983096958233</v>
      </c>
      <c r="P62" s="159">
        <v>50425.013973094836</v>
      </c>
      <c r="Q62" s="159">
        <v>48828.355881319985</v>
      </c>
      <c r="R62" s="159">
        <v>48750.240456196043</v>
      </c>
      <c r="S62" s="159">
        <v>48051.581074481139</v>
      </c>
      <c r="T62" s="159">
        <v>50172.808434297112</v>
      </c>
      <c r="U62" s="159">
        <v>49591.454776906183</v>
      </c>
      <c r="V62" s="159">
        <v>48708.341280632289</v>
      </c>
      <c r="W62" s="159">
        <v>47729.828000336653</v>
      </c>
      <c r="X62" s="159">
        <v>42170.637058984394</v>
      </c>
      <c r="Y62" s="159">
        <v>42501.432414747716</v>
      </c>
      <c r="Z62" s="159">
        <v>38099.154852402244</v>
      </c>
      <c r="AA62" s="159">
        <v>37503.681845007675</v>
      </c>
      <c r="AB62" s="159">
        <v>37261.106862244327</v>
      </c>
      <c r="AC62" s="159">
        <v>36385.129666580404</v>
      </c>
      <c r="AD62" s="159">
        <v>38714.665106715795</v>
      </c>
      <c r="AE62" s="159">
        <v>39545.923394135825</v>
      </c>
      <c r="AF62" s="160">
        <v>39865.293992488449</v>
      </c>
      <c r="AG62" s="160">
        <v>39024.198012382098</v>
      </c>
      <c r="AH62" s="160">
        <v>37434.869751626669</v>
      </c>
      <c r="AI62" s="160">
        <v>36123.155573895718</v>
      </c>
      <c r="AJ62" s="160">
        <v>37936.108113026006</v>
      </c>
      <c r="AK62" s="160">
        <v>36355.054291054992</v>
      </c>
      <c r="AL62" s="40"/>
      <c r="AM62" s="40"/>
      <c r="AN62" s="75">
        <f t="shared" si="1"/>
        <v>8.002644934326919E-2</v>
      </c>
      <c r="AO62" s="32"/>
      <c r="AP62" s="169"/>
      <c r="AQ62" s="169"/>
      <c r="AR62" s="169"/>
      <c r="AS62" s="14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row>
    <row r="63" spans="1:105" s="112" customFormat="1" ht="15.75" customHeight="1">
      <c r="A63" s="245" t="s">
        <v>9</v>
      </c>
      <c r="B63" s="248" t="s">
        <v>61</v>
      </c>
      <c r="C63" s="233" t="s">
        <v>87</v>
      </c>
      <c r="D63" s="133" t="s">
        <v>85</v>
      </c>
      <c r="E63" s="157">
        <v>521061.92173375579</v>
      </c>
      <c r="F63" s="157">
        <v>522298.46397973876</v>
      </c>
      <c r="G63" s="157">
        <v>521486.97703929292</v>
      </c>
      <c r="H63" s="157">
        <v>514684.27732254617</v>
      </c>
      <c r="I63" s="157">
        <v>508811.30243881256</v>
      </c>
      <c r="J63" s="157">
        <v>535289.21084426716</v>
      </c>
      <c r="K63" s="157">
        <v>530085.04911555292</v>
      </c>
      <c r="L63" s="157">
        <v>537762.58208295691</v>
      </c>
      <c r="M63" s="157">
        <v>550562.61405269534</v>
      </c>
      <c r="N63" s="157">
        <v>556335.15062124305</v>
      </c>
      <c r="O63" s="157">
        <v>560248.85263339314</v>
      </c>
      <c r="P63" s="157">
        <v>562350.92726325977</v>
      </c>
      <c r="Q63" s="157">
        <v>568690.10774121562</v>
      </c>
      <c r="R63" s="157">
        <v>588233.69437205326</v>
      </c>
      <c r="S63" s="157">
        <v>593688.73749575648</v>
      </c>
      <c r="T63" s="157">
        <v>594557.04726046696</v>
      </c>
      <c r="U63" s="157">
        <v>584033.15670049854</v>
      </c>
      <c r="V63" s="157">
        <v>578444.90016672667</v>
      </c>
      <c r="W63" s="157">
        <v>565442.85597782827</v>
      </c>
      <c r="X63" s="157">
        <v>510214.98357761157</v>
      </c>
      <c r="Y63" s="157">
        <v>521511.21285995719</v>
      </c>
      <c r="Z63" s="157">
        <v>508256.1547847304</v>
      </c>
      <c r="AA63" s="157">
        <v>488879.0537364725</v>
      </c>
      <c r="AB63" s="157">
        <v>452894.00858463353</v>
      </c>
      <c r="AC63" s="157">
        <v>431278.16115766589</v>
      </c>
      <c r="AD63" s="157">
        <v>441864.28301524476</v>
      </c>
      <c r="AE63" s="157">
        <v>438411.74002435821</v>
      </c>
      <c r="AF63" s="158">
        <v>431598.54323384952</v>
      </c>
      <c r="AG63" s="158">
        <v>427507.104732943</v>
      </c>
      <c r="AH63" s="158">
        <v>415707.22053446795</v>
      </c>
      <c r="AI63" s="158">
        <v>378346.05208577757</v>
      </c>
      <c r="AJ63" s="158">
        <v>410542.03908478213</v>
      </c>
      <c r="AK63" s="158">
        <v>412312.77687142766</v>
      </c>
      <c r="AL63" s="41" t="s">
        <v>35</v>
      </c>
      <c r="AM63" s="41">
        <v>1990</v>
      </c>
      <c r="AN63" s="73">
        <f t="shared" si="1"/>
        <v>-0.20870675888286283</v>
      </c>
      <c r="AO63" s="36">
        <v>-0.2</v>
      </c>
      <c r="AP63" s="166">
        <v>1990</v>
      </c>
      <c r="AQ63" s="167">
        <v>-0.55000000000000004</v>
      </c>
      <c r="AR63" s="166">
        <v>2030</v>
      </c>
      <c r="AS63" s="137">
        <f>(AK63/E63)-1</f>
        <v>-0.20870675888286283</v>
      </c>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0"/>
      <c r="CW63" s="110"/>
      <c r="CX63" s="110"/>
      <c r="CY63" s="110"/>
      <c r="CZ63" s="110"/>
      <c r="DA63" s="110"/>
    </row>
    <row r="64" spans="1:105" s="112" customFormat="1" ht="15.75" customHeight="1">
      <c r="A64" s="246"/>
      <c r="B64" s="249"/>
      <c r="C64" s="234"/>
      <c r="D64" s="133" t="s">
        <v>86</v>
      </c>
      <c r="E64" s="157">
        <v>517418.7724441209</v>
      </c>
      <c r="F64" s="157">
        <v>503655.82288670185</v>
      </c>
      <c r="G64" s="157">
        <v>505003.26640404039</v>
      </c>
      <c r="H64" s="157">
        <v>511023.3071590605</v>
      </c>
      <c r="I64" s="157">
        <v>492133.05854929984</v>
      </c>
      <c r="J64" s="157">
        <v>511901.55105190846</v>
      </c>
      <c r="K64" s="157">
        <v>505222.05790310283</v>
      </c>
      <c r="L64" s="157">
        <v>521360.30063635047</v>
      </c>
      <c r="M64" s="157">
        <v>536733.23284861492</v>
      </c>
      <c r="N64" s="157">
        <v>533212.87062973983</v>
      </c>
      <c r="O64" s="157">
        <v>540025.82609798794</v>
      </c>
      <c r="P64" s="157">
        <v>532183.14297404618</v>
      </c>
      <c r="Q64" s="157">
        <v>534226.51907540299</v>
      </c>
      <c r="R64" s="157">
        <v>561610.9044549336</v>
      </c>
      <c r="S64" s="157">
        <v>560810.7173533442</v>
      </c>
      <c r="T64" s="157">
        <v>560872.01327083714</v>
      </c>
      <c r="U64" s="157">
        <v>549676.15068353352</v>
      </c>
      <c r="V64" s="157">
        <v>566572.39901184803</v>
      </c>
      <c r="W64" s="157">
        <v>535435.15619049687</v>
      </c>
      <c r="X64" s="157">
        <v>477081.7146143422</v>
      </c>
      <c r="Y64" s="157">
        <v>481827.57854994194</v>
      </c>
      <c r="Z64" s="157">
        <v>475599.45300927921</v>
      </c>
      <c r="AA64" s="157">
        <v>465268.10909942223</v>
      </c>
      <c r="AB64" s="157">
        <v>413236.97780094523</v>
      </c>
      <c r="AC64" s="157">
        <v>391043.22844880691</v>
      </c>
      <c r="AD64" s="157">
        <v>399928.98163456039</v>
      </c>
      <c r="AE64" s="157">
        <v>397498.86451696919</v>
      </c>
      <c r="AF64" s="158">
        <v>411171.74480622727</v>
      </c>
      <c r="AG64" s="158">
        <v>385606.99983104796</v>
      </c>
      <c r="AH64" s="158">
        <v>378004.78429832612</v>
      </c>
      <c r="AI64" s="158">
        <v>350846.92403957032</v>
      </c>
      <c r="AJ64" s="158">
        <v>385754.94777561742</v>
      </c>
      <c r="AK64" s="158">
        <v>391113.48740974697</v>
      </c>
      <c r="AL64" s="39"/>
      <c r="AM64" s="39"/>
      <c r="AN64" s="74">
        <f t="shared" si="1"/>
        <v>-0.24410649895392877</v>
      </c>
      <c r="AO64" s="25"/>
      <c r="AP64" s="168"/>
      <c r="AQ64" s="168"/>
      <c r="AR64" s="168"/>
      <c r="AS64" s="103"/>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0"/>
      <c r="CW64" s="110"/>
      <c r="CX64" s="110"/>
      <c r="CY64" s="110"/>
      <c r="CZ64" s="110"/>
      <c r="DA64" s="110"/>
    </row>
    <row r="65" spans="1:105" s="112" customFormat="1" ht="15.75" customHeight="1">
      <c r="A65" s="246"/>
      <c r="B65" s="249"/>
      <c r="C65" s="235" t="s">
        <v>88</v>
      </c>
      <c r="D65" s="133" t="s">
        <v>85</v>
      </c>
      <c r="E65" s="157">
        <v>438208.03415225976</v>
      </c>
      <c r="F65" s="157">
        <v>437741.82951315359</v>
      </c>
      <c r="G65" s="157">
        <v>437936.51081099402</v>
      </c>
      <c r="H65" s="157">
        <v>430267.77120697312</v>
      </c>
      <c r="I65" s="157">
        <v>424506.70728806884</v>
      </c>
      <c r="J65" s="157">
        <v>448595.81495714694</v>
      </c>
      <c r="K65" s="157">
        <v>442842.9220604219</v>
      </c>
      <c r="L65" s="157">
        <v>448570.95934125013</v>
      </c>
      <c r="M65" s="157">
        <v>460824.36610725225</v>
      </c>
      <c r="N65" s="157">
        <v>465507.83793331089</v>
      </c>
      <c r="O65" s="157">
        <v>469598.27367921185</v>
      </c>
      <c r="P65" s="157">
        <v>469679.25509939878</v>
      </c>
      <c r="Q65" s="157">
        <v>477107.22083119024</v>
      </c>
      <c r="R65" s="157">
        <v>495093.78187109821</v>
      </c>
      <c r="S65" s="157">
        <v>500687.23527862917</v>
      </c>
      <c r="T65" s="157">
        <v>501365.56913755176</v>
      </c>
      <c r="U65" s="157">
        <v>496074.7883822085</v>
      </c>
      <c r="V65" s="157">
        <v>489794.13638403767</v>
      </c>
      <c r="W65" s="157">
        <v>478127.96195400099</v>
      </c>
      <c r="X65" s="157">
        <v>424061.778545218</v>
      </c>
      <c r="Y65" s="157">
        <v>435700.91673271096</v>
      </c>
      <c r="Z65" s="157">
        <v>423897.86761071195</v>
      </c>
      <c r="AA65" s="157">
        <v>403444.45510844188</v>
      </c>
      <c r="AB65" s="157">
        <v>369461.6759211648</v>
      </c>
      <c r="AC65" s="157">
        <v>349390.64179159544</v>
      </c>
      <c r="AD65" s="157">
        <v>361246.3475228317</v>
      </c>
      <c r="AE65" s="157">
        <v>358135.74208435451</v>
      </c>
      <c r="AF65" s="158">
        <v>352668.56530287204</v>
      </c>
      <c r="AG65" s="158">
        <v>349050.97270389413</v>
      </c>
      <c r="AH65" s="158">
        <v>339641.01658512995</v>
      </c>
      <c r="AI65" s="158">
        <v>302613.85918286303</v>
      </c>
      <c r="AJ65" s="158">
        <v>335919.6563333149</v>
      </c>
      <c r="AK65" s="158">
        <v>340904.19562774687</v>
      </c>
      <c r="AL65" s="39"/>
      <c r="AM65" s="39"/>
      <c r="AN65" s="74">
        <f t="shared" si="1"/>
        <v>-0.22204941703716852</v>
      </c>
      <c r="AO65" s="25"/>
      <c r="AP65" s="168"/>
      <c r="AQ65" s="168"/>
      <c r="AR65" s="168"/>
      <c r="AS65" s="103"/>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10"/>
      <c r="CT65" s="110"/>
      <c r="CU65" s="110"/>
      <c r="CV65" s="110"/>
      <c r="CW65" s="110"/>
      <c r="CX65" s="110"/>
      <c r="CY65" s="110"/>
      <c r="CZ65" s="110"/>
      <c r="DA65" s="110"/>
    </row>
    <row r="66" spans="1:105" s="112" customFormat="1" ht="15.75" customHeight="1">
      <c r="A66" s="247"/>
      <c r="B66" s="250"/>
      <c r="C66" s="236"/>
      <c r="D66" s="148" t="s">
        <v>86</v>
      </c>
      <c r="E66" s="159">
        <v>432936.72836411622</v>
      </c>
      <c r="F66" s="159">
        <v>417927.31041095476</v>
      </c>
      <c r="G66" s="159">
        <v>420215.9920273929</v>
      </c>
      <c r="H66" s="159">
        <v>424804.78757689183</v>
      </c>
      <c r="I66" s="159">
        <v>406467.23551381187</v>
      </c>
      <c r="J66" s="159">
        <v>424242.48029050557</v>
      </c>
      <c r="K66" s="159">
        <v>417159.89609137876</v>
      </c>
      <c r="L66" s="159">
        <v>431012.0121158695</v>
      </c>
      <c r="M66" s="159">
        <v>445670.36246455088</v>
      </c>
      <c r="N66" s="159">
        <v>441487.03538843262</v>
      </c>
      <c r="O66" s="159">
        <v>448286.42565163976</v>
      </c>
      <c r="P66" s="159">
        <v>438624.03540139901</v>
      </c>
      <c r="Q66" s="159">
        <v>441942.24992106541</v>
      </c>
      <c r="R66" s="159">
        <v>467493.57375219167</v>
      </c>
      <c r="S66" s="159">
        <v>467031.5003476722</v>
      </c>
      <c r="T66" s="159">
        <v>466925.46962851129</v>
      </c>
      <c r="U66" s="159">
        <v>461014.0459513425</v>
      </c>
      <c r="V66" s="159">
        <v>476240.422990894</v>
      </c>
      <c r="W66" s="159">
        <v>447186.97179967276</v>
      </c>
      <c r="X66" s="159">
        <v>389966.55506740126</v>
      </c>
      <c r="Y66" s="159">
        <v>395418.92361848481</v>
      </c>
      <c r="Z66" s="159">
        <v>390466.44123710907</v>
      </c>
      <c r="AA66" s="159">
        <v>378526.92269338429</v>
      </c>
      <c r="AB66" s="159">
        <v>329397.5629912914</v>
      </c>
      <c r="AC66" s="159">
        <v>308656.44720799738</v>
      </c>
      <c r="AD66" s="159">
        <v>318828.26243204717</v>
      </c>
      <c r="AE66" s="159">
        <v>316618.94403174269</v>
      </c>
      <c r="AF66" s="160">
        <v>330589.60619837348</v>
      </c>
      <c r="AG66" s="160">
        <v>306636.33656957664</v>
      </c>
      <c r="AH66" s="160">
        <v>301380.13779220101</v>
      </c>
      <c r="AI66" s="160">
        <v>274409.02381633071</v>
      </c>
      <c r="AJ66" s="160">
        <v>310024.43953925575</v>
      </c>
      <c r="AK66" s="160">
        <v>318796.20954698592</v>
      </c>
      <c r="AL66" s="40"/>
      <c r="AM66" s="40"/>
      <c r="AN66" s="75">
        <f t="shared" si="1"/>
        <v>-0.26364249401620132</v>
      </c>
      <c r="AO66" s="32"/>
      <c r="AP66" s="169"/>
      <c r="AQ66" s="169"/>
      <c r="AR66" s="169"/>
      <c r="AS66" s="14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row>
    <row r="67" spans="1:105" s="112" customFormat="1" ht="15.75" customHeight="1">
      <c r="A67" s="245" t="s">
        <v>9</v>
      </c>
      <c r="B67" s="248" t="s">
        <v>62</v>
      </c>
      <c r="C67" s="233" t="s">
        <v>87</v>
      </c>
      <c r="D67" s="133" t="s">
        <v>85</v>
      </c>
      <c r="E67" s="157">
        <v>26020.479370044981</v>
      </c>
      <c r="F67" s="157">
        <v>24130.488458216263</v>
      </c>
      <c r="G67" s="157">
        <v>19359.738627598548</v>
      </c>
      <c r="H67" s="157">
        <v>15903.167082631675</v>
      </c>
      <c r="I67" s="157">
        <v>13956.168692997828</v>
      </c>
      <c r="J67" s="157">
        <v>12587.643552977126</v>
      </c>
      <c r="K67" s="157">
        <v>12637.112864852788</v>
      </c>
      <c r="L67" s="157">
        <v>12078.165586715204</v>
      </c>
      <c r="M67" s="157">
        <v>11574.115870303654</v>
      </c>
      <c r="N67" s="157">
        <v>10787.863311660856</v>
      </c>
      <c r="O67" s="157">
        <v>10166.473965914365</v>
      </c>
      <c r="P67" s="157">
        <v>10758.816086645795</v>
      </c>
      <c r="Q67" s="157">
        <v>10726.707390095991</v>
      </c>
      <c r="R67" s="157">
        <v>10921.104399115855</v>
      </c>
      <c r="S67" s="157">
        <v>10862.535296151789</v>
      </c>
      <c r="T67" s="157">
        <v>11020.074293871654</v>
      </c>
      <c r="U67" s="157">
        <v>11489.424316160123</v>
      </c>
      <c r="V67" s="157">
        <v>11935.204897422544</v>
      </c>
      <c r="W67" s="157">
        <v>11474.903238343326</v>
      </c>
      <c r="X67" s="157">
        <v>10790.249820103823</v>
      </c>
      <c r="Y67" s="157">
        <v>11871.067346909666</v>
      </c>
      <c r="Z67" s="157">
        <v>11077.410234415815</v>
      </c>
      <c r="AA67" s="157">
        <v>10894.224206957851</v>
      </c>
      <c r="AB67" s="157">
        <v>10803.022279223789</v>
      </c>
      <c r="AC67" s="157">
        <v>10715.278758619686</v>
      </c>
      <c r="AD67" s="157">
        <v>10754.390081626783</v>
      </c>
      <c r="AE67" s="157">
        <v>10750.843148165894</v>
      </c>
      <c r="AF67" s="158">
        <v>10783.866058149497</v>
      </c>
      <c r="AG67" s="158">
        <v>11277.359361392117</v>
      </c>
      <c r="AH67" s="158">
        <v>11140.968228447826</v>
      </c>
      <c r="AI67" s="158">
        <v>10491.404373442505</v>
      </c>
      <c r="AJ67" s="158">
        <v>10733.991137407575</v>
      </c>
      <c r="AK67" s="158">
        <v>10119.774440582254</v>
      </c>
      <c r="AL67" s="41" t="s">
        <v>35</v>
      </c>
      <c r="AM67" s="41">
        <v>1990</v>
      </c>
      <c r="AN67" s="73">
        <f t="shared" ref="AN67:AN98" si="3">(AK67/E67)-1</f>
        <v>-0.61108424265879457</v>
      </c>
      <c r="AO67" s="36">
        <v>-0.2</v>
      </c>
      <c r="AP67" s="166">
        <v>1990</v>
      </c>
      <c r="AQ67" s="167">
        <v>-0.55000000000000004</v>
      </c>
      <c r="AR67" s="166">
        <v>2030</v>
      </c>
      <c r="AS67" s="137">
        <f>(AK67/E67)-1</f>
        <v>-0.61108424265879457</v>
      </c>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10"/>
      <c r="CT67" s="110"/>
      <c r="CU67" s="110"/>
      <c r="CV67" s="110"/>
      <c r="CW67" s="110"/>
      <c r="CX67" s="110"/>
      <c r="CY67" s="110"/>
      <c r="CZ67" s="110"/>
      <c r="DA67" s="110"/>
    </row>
    <row r="68" spans="1:105" s="112" customFormat="1" ht="15.75" customHeight="1">
      <c r="A68" s="246"/>
      <c r="B68" s="249"/>
      <c r="C68" s="234"/>
      <c r="D68" s="133" t="s">
        <v>86</v>
      </c>
      <c r="E68" s="157">
        <v>13630.393156271213</v>
      </c>
      <c r="F68" s="157">
        <v>11319.820152250228</v>
      </c>
      <c r="G68" s="157">
        <v>6160.8996033471412</v>
      </c>
      <c r="H68" s="157">
        <v>2827.2772287970893</v>
      </c>
      <c r="I68" s="157">
        <v>-2019.6420864063241</v>
      </c>
      <c r="J68" s="157">
        <v>-2250.6180611953359</v>
      </c>
      <c r="K68" s="157">
        <v>-2367.407662028605</v>
      </c>
      <c r="L68" s="157">
        <v>-1157.6202002897194</v>
      </c>
      <c r="M68" s="157">
        <v>-711.99526128250795</v>
      </c>
      <c r="N68" s="157">
        <v>2179.0565079547523</v>
      </c>
      <c r="O68" s="157">
        <v>-1684.6518622427868</v>
      </c>
      <c r="P68" s="157">
        <v>-1591.8363639643651</v>
      </c>
      <c r="Q68" s="157">
        <v>104.37866815450263</v>
      </c>
      <c r="R68" s="157">
        <v>724.51322899310605</v>
      </c>
      <c r="S68" s="157">
        <v>4390.8865397079626</v>
      </c>
      <c r="T68" s="157">
        <v>5114.7430236501041</v>
      </c>
      <c r="U68" s="157">
        <v>4814.7727889415564</v>
      </c>
      <c r="V68" s="157">
        <v>5697.8182852586369</v>
      </c>
      <c r="W68" s="157">
        <v>4863.2044591331251</v>
      </c>
      <c r="X68" s="157">
        <v>7094.1810472877632</v>
      </c>
      <c r="Y68" s="157">
        <v>9976.2977877070007</v>
      </c>
      <c r="Z68" s="157">
        <v>8802.1157490695077</v>
      </c>
      <c r="AA68" s="157">
        <v>7280.1597914773793</v>
      </c>
      <c r="AB68" s="157">
        <v>8497.691397843113</v>
      </c>
      <c r="AC68" s="157">
        <v>12316.000840730516</v>
      </c>
      <c r="AD68" s="157">
        <v>11117.293958192038</v>
      </c>
      <c r="AE68" s="157">
        <v>9302.1460277731931</v>
      </c>
      <c r="AF68" s="158">
        <v>7893.1501702857622</v>
      </c>
      <c r="AG68" s="158">
        <v>10889.449254925692</v>
      </c>
      <c r="AH68" s="158">
        <v>9172.4549553780635</v>
      </c>
      <c r="AI68" s="158">
        <v>11249.689961805238</v>
      </c>
      <c r="AJ68" s="158">
        <v>12935.653935440745</v>
      </c>
      <c r="AK68" s="158">
        <v>15063.938633580237</v>
      </c>
      <c r="AL68" s="39"/>
      <c r="AM68" s="39"/>
      <c r="AN68" s="74">
        <f t="shared" si="3"/>
        <v>0.10517271665413874</v>
      </c>
      <c r="AO68" s="25"/>
      <c r="AP68" s="168"/>
      <c r="AQ68" s="168"/>
      <c r="AR68" s="168"/>
      <c r="AS68" s="103"/>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row>
    <row r="69" spans="1:105" s="112" customFormat="1" ht="15.75" customHeight="1">
      <c r="A69" s="246"/>
      <c r="B69" s="249"/>
      <c r="C69" s="235" t="s">
        <v>88</v>
      </c>
      <c r="D69" s="133" t="s">
        <v>85</v>
      </c>
      <c r="E69" s="157">
        <v>19661.602816417741</v>
      </c>
      <c r="F69" s="157">
        <v>17919.585955798961</v>
      </c>
      <c r="G69" s="157">
        <v>14193.532950744955</v>
      </c>
      <c r="H69" s="157">
        <v>11921.674216874504</v>
      </c>
      <c r="I69" s="157">
        <v>10370.181333034001</v>
      </c>
      <c r="J69" s="157">
        <v>9133.9414276046246</v>
      </c>
      <c r="K69" s="157">
        <v>9211.6594712518508</v>
      </c>
      <c r="L69" s="157">
        <v>8679.9159431742282</v>
      </c>
      <c r="M69" s="157">
        <v>8306.0226047125088</v>
      </c>
      <c r="N69" s="157">
        <v>7717.8598594194455</v>
      </c>
      <c r="O69" s="157">
        <v>7081.62954558604</v>
      </c>
      <c r="P69" s="157">
        <v>7496.5063115441726</v>
      </c>
      <c r="Q69" s="157">
        <v>7520.4183369840048</v>
      </c>
      <c r="R69" s="157">
        <v>7726.0404396663471</v>
      </c>
      <c r="S69" s="157">
        <v>7731.1977953674805</v>
      </c>
      <c r="T69" s="157">
        <v>7810.763687582139</v>
      </c>
      <c r="U69" s="157">
        <v>8310.1147993119939</v>
      </c>
      <c r="V69" s="157">
        <v>8637.2330924843318</v>
      </c>
      <c r="W69" s="157">
        <v>8198.0575913551183</v>
      </c>
      <c r="X69" s="157">
        <v>7456.1955505367896</v>
      </c>
      <c r="Y69" s="157">
        <v>8554.5214259030017</v>
      </c>
      <c r="Z69" s="157">
        <v>7811.0336603314372</v>
      </c>
      <c r="AA69" s="157">
        <v>7519.7243135846302</v>
      </c>
      <c r="AB69" s="157">
        <v>7368.7542460680625</v>
      </c>
      <c r="AC69" s="157">
        <v>7172.2080659879221</v>
      </c>
      <c r="AD69" s="157">
        <v>7262.430987444307</v>
      </c>
      <c r="AE69" s="157">
        <v>7210.6949069833536</v>
      </c>
      <c r="AF69" s="158">
        <v>7215.3315838482677</v>
      </c>
      <c r="AG69" s="158">
        <v>7857.3374080755457</v>
      </c>
      <c r="AH69" s="158">
        <v>7648.4826984280953</v>
      </c>
      <c r="AI69" s="158">
        <v>6997.9878281346419</v>
      </c>
      <c r="AJ69" s="158">
        <v>7238.0928575618891</v>
      </c>
      <c r="AK69" s="158">
        <v>6619.7165532474764</v>
      </c>
      <c r="AL69" s="39"/>
      <c r="AM69" s="39"/>
      <c r="AN69" s="74">
        <f t="shared" si="3"/>
        <v>-0.66331755274194071</v>
      </c>
      <c r="AO69" s="25"/>
      <c r="AP69" s="168"/>
      <c r="AQ69" s="168"/>
      <c r="AR69" s="168"/>
      <c r="AS69" s="103"/>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row>
    <row r="70" spans="1:105" s="112" customFormat="1" ht="15.75" customHeight="1">
      <c r="A70" s="247"/>
      <c r="B70" s="250"/>
      <c r="C70" s="236"/>
      <c r="D70" s="148" t="s">
        <v>86</v>
      </c>
      <c r="E70" s="159">
        <v>6262.6543881831731</v>
      </c>
      <c r="F70" s="159">
        <v>4087.1074199113227</v>
      </c>
      <c r="G70" s="159">
        <v>-118.69488688885212</v>
      </c>
      <c r="H70" s="159">
        <v>-2180.0831488032818</v>
      </c>
      <c r="I70" s="159">
        <v>-6628.3282546741502</v>
      </c>
      <c r="J70" s="159">
        <v>-6737.5752403326387</v>
      </c>
      <c r="K70" s="159">
        <v>-6827.7243998551421</v>
      </c>
      <c r="L70" s="159">
        <v>-5593.1410885170935</v>
      </c>
      <c r="M70" s="159">
        <v>-5018.0708390208529</v>
      </c>
      <c r="N70" s="159">
        <v>-1962.2665188946585</v>
      </c>
      <c r="O70" s="159">
        <v>-5819.7311006399123</v>
      </c>
      <c r="P70" s="159">
        <v>-5868.5203185955861</v>
      </c>
      <c r="Q70" s="159">
        <v>-4153.0373889478833</v>
      </c>
      <c r="R70" s="159">
        <v>-3503.508194907603</v>
      </c>
      <c r="S70" s="159">
        <v>227.18464001165466</v>
      </c>
      <c r="T70" s="159">
        <v>897.63382098778857</v>
      </c>
      <c r="U70" s="159">
        <v>572.86267625982873</v>
      </c>
      <c r="V70" s="159">
        <v>1382.1553540260238</v>
      </c>
      <c r="W70" s="159">
        <v>564.68445838971729</v>
      </c>
      <c r="X70" s="159">
        <v>2715.7735335047291</v>
      </c>
      <c r="Y70" s="159">
        <v>5601.4305255627369</v>
      </c>
      <c r="Z70" s="159">
        <v>4464.0597269259306</v>
      </c>
      <c r="AA70" s="159">
        <v>2812.4553731233582</v>
      </c>
      <c r="AB70" s="159">
        <v>3944.2734807849856</v>
      </c>
      <c r="AC70" s="159">
        <v>7611.1994012747518</v>
      </c>
      <c r="AD70" s="159">
        <v>6414.8119142639625</v>
      </c>
      <c r="AE70" s="159">
        <v>4499.5899729234534</v>
      </c>
      <c r="AF70" s="160">
        <v>3010.2085803957325</v>
      </c>
      <c r="AG70" s="160">
        <v>6060.5011780987215</v>
      </c>
      <c r="AH70" s="160">
        <v>4284.971748926333</v>
      </c>
      <c r="AI70" s="160">
        <v>6348.6347521437747</v>
      </c>
      <c r="AJ70" s="160">
        <v>8005.73279231986</v>
      </c>
      <c r="AK70" s="160">
        <v>10105.104003509459</v>
      </c>
      <c r="AL70" s="40"/>
      <c r="AM70" s="40"/>
      <c r="AN70" s="75">
        <f t="shared" si="3"/>
        <v>0.61354968311463853</v>
      </c>
      <c r="AO70" s="32"/>
      <c r="AP70" s="169"/>
      <c r="AQ70" s="169"/>
      <c r="AR70" s="169"/>
      <c r="AS70" s="14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10"/>
      <c r="CT70" s="110"/>
      <c r="CU70" s="110"/>
      <c r="CV70" s="110"/>
      <c r="CW70" s="110"/>
      <c r="CX70" s="110"/>
      <c r="CY70" s="110"/>
      <c r="CZ70" s="110"/>
      <c r="DA70" s="110"/>
    </row>
    <row r="71" spans="1:105" ht="15.75" customHeight="1">
      <c r="A71" s="245" t="s">
        <v>9</v>
      </c>
      <c r="B71" s="248" t="s">
        <v>63</v>
      </c>
      <c r="C71" s="233" t="s">
        <v>87</v>
      </c>
      <c r="D71" s="133" t="s">
        <v>85</v>
      </c>
      <c r="E71" s="157">
        <v>48020.049662313329</v>
      </c>
      <c r="F71" s="157">
        <v>49979.147144831339</v>
      </c>
      <c r="G71" s="157">
        <v>30947.151163045037</v>
      </c>
      <c r="H71" s="157">
        <v>24825.12948426896</v>
      </c>
      <c r="I71" s="157">
        <v>23435.230942393435</v>
      </c>
      <c r="J71" s="157">
        <v>22401.484977664761</v>
      </c>
      <c r="K71" s="157">
        <v>23371.656478383589</v>
      </c>
      <c r="L71" s="157">
        <v>22918.837929334783</v>
      </c>
      <c r="M71" s="157">
        <v>23809.769972785049</v>
      </c>
      <c r="N71" s="157">
        <v>21001.821984186099</v>
      </c>
      <c r="O71" s="157">
        <v>19394.234220592611</v>
      </c>
      <c r="P71" s="157">
        <v>20166.666987267825</v>
      </c>
      <c r="Q71" s="157">
        <v>20523.616261203002</v>
      </c>
      <c r="R71" s="157">
        <v>20689.902794629765</v>
      </c>
      <c r="S71" s="157">
        <v>21488.797789666511</v>
      </c>
      <c r="T71" s="157">
        <v>22335.376872330969</v>
      </c>
      <c r="U71" s="157">
        <v>22658.49884255719</v>
      </c>
      <c r="V71" s="157">
        <v>24590.434823569616</v>
      </c>
      <c r="W71" s="157">
        <v>23722.79376557318</v>
      </c>
      <c r="X71" s="157">
        <v>19713.669153391525</v>
      </c>
      <c r="Y71" s="157">
        <v>20632.756603445512</v>
      </c>
      <c r="Z71" s="157">
        <v>20995.270273141963</v>
      </c>
      <c r="AA71" s="157">
        <v>20971.421836539244</v>
      </c>
      <c r="AB71" s="157">
        <v>19845.056628301063</v>
      </c>
      <c r="AC71" s="157">
        <v>19739.585718602251</v>
      </c>
      <c r="AD71" s="157">
        <v>20029.495637802214</v>
      </c>
      <c r="AE71" s="157">
        <v>20093.141352136263</v>
      </c>
      <c r="AF71" s="158">
        <v>20217.277230964421</v>
      </c>
      <c r="AG71" s="158">
        <v>19897.325335732887</v>
      </c>
      <c r="AH71" s="158">
        <v>20109.99253666374</v>
      </c>
      <c r="AI71" s="158">
        <v>20009.823002167868</v>
      </c>
      <c r="AJ71" s="158">
        <v>20174.034653866813</v>
      </c>
      <c r="AK71" s="158">
        <v>18903.727726492576</v>
      </c>
      <c r="AL71" s="41" t="s">
        <v>35</v>
      </c>
      <c r="AM71" s="41">
        <v>1990</v>
      </c>
      <c r="AN71" s="137">
        <f t="shared" si="3"/>
        <v>-0.60633677267251074</v>
      </c>
      <c r="AO71" s="138">
        <v>-0.2</v>
      </c>
      <c r="AP71" s="166">
        <v>1990</v>
      </c>
      <c r="AQ71" s="167">
        <v>-0.55000000000000004</v>
      </c>
      <c r="AR71" s="166">
        <v>2030</v>
      </c>
      <c r="AS71" s="137">
        <f>(AK71/E71)-1</f>
        <v>-0.60633677267251074</v>
      </c>
    </row>
    <row r="72" spans="1:105" ht="15.75" customHeight="1">
      <c r="A72" s="246"/>
      <c r="B72" s="249"/>
      <c r="C72" s="234"/>
      <c r="D72" s="133" t="s">
        <v>86</v>
      </c>
      <c r="E72" s="157">
        <v>42668.485302193782</v>
      </c>
      <c r="F72" s="157">
        <v>44308.289175590355</v>
      </c>
      <c r="G72" s="157">
        <v>26075.803278693165</v>
      </c>
      <c r="H72" s="157">
        <v>18419.049953303915</v>
      </c>
      <c r="I72" s="157">
        <v>17514.755097341702</v>
      </c>
      <c r="J72" s="157">
        <v>17756.359800362083</v>
      </c>
      <c r="K72" s="157">
        <v>24255.307598803473</v>
      </c>
      <c r="L72" s="157">
        <v>22588.154056226042</v>
      </c>
      <c r="M72" s="157">
        <v>15889.747743098143</v>
      </c>
      <c r="N72" s="157">
        <v>13766.382972691246</v>
      </c>
      <c r="O72" s="157">
        <v>9869.2367271959865</v>
      </c>
      <c r="P72" s="157">
        <v>12813.58530332657</v>
      </c>
      <c r="Q72" s="157">
        <v>14124.105529075114</v>
      </c>
      <c r="R72" s="157">
        <v>15055.946561415059</v>
      </c>
      <c r="S72" s="157">
        <v>16398.493614439867</v>
      </c>
      <c r="T72" s="157">
        <v>18141.731536075531</v>
      </c>
      <c r="U72" s="157">
        <v>18871.001062084426</v>
      </c>
      <c r="V72" s="157">
        <v>18970.582994406268</v>
      </c>
      <c r="W72" s="157">
        <v>17419.194747664882</v>
      </c>
      <c r="X72" s="157">
        <v>12447.293757259307</v>
      </c>
      <c r="Y72" s="157">
        <v>10202.811647308254</v>
      </c>
      <c r="Z72" s="157">
        <v>10462.762075588536</v>
      </c>
      <c r="AA72" s="157">
        <v>10874.919553955053</v>
      </c>
      <c r="AB72" s="157">
        <v>10322.881353463956</v>
      </c>
      <c r="AC72" s="157">
        <v>10969.672043475968</v>
      </c>
      <c r="AD72" s="157">
        <v>12094.45366642818</v>
      </c>
      <c r="AE72" s="157">
        <v>12957.251888082739</v>
      </c>
      <c r="AF72" s="158">
        <v>13664.297588737511</v>
      </c>
      <c r="AG72" s="158">
        <v>14158.304222236555</v>
      </c>
      <c r="AH72" s="158">
        <v>14185.130053470111</v>
      </c>
      <c r="AI72" s="158">
        <v>13918.638021508597</v>
      </c>
      <c r="AJ72" s="158">
        <v>14651.586058615962</v>
      </c>
      <c r="AK72" s="158">
        <v>12529.028970349969</v>
      </c>
      <c r="AL72" s="39"/>
      <c r="AM72" s="39"/>
      <c r="AN72" s="103">
        <f t="shared" si="3"/>
        <v>-0.70636339955321081</v>
      </c>
      <c r="AO72" s="139"/>
      <c r="AP72" s="168"/>
      <c r="AQ72" s="168"/>
      <c r="AR72" s="168"/>
      <c r="AS72" s="103"/>
    </row>
    <row r="73" spans="1:105" ht="15.75" customHeight="1">
      <c r="A73" s="246"/>
      <c r="B73" s="249"/>
      <c r="C73" s="235" t="s">
        <v>88</v>
      </c>
      <c r="D73" s="133" t="s">
        <v>85</v>
      </c>
      <c r="E73" s="157">
        <v>35737.672979781142</v>
      </c>
      <c r="F73" s="157">
        <v>37820.376878610143</v>
      </c>
      <c r="G73" s="157">
        <v>21168.441129714203</v>
      </c>
      <c r="H73" s="157">
        <v>16319.713060519422</v>
      </c>
      <c r="I73" s="157">
        <v>15767.04225010445</v>
      </c>
      <c r="J73" s="157">
        <v>15057.342781265401</v>
      </c>
      <c r="K73" s="157">
        <v>15739.962965727376</v>
      </c>
      <c r="L73" s="157">
        <v>15162.846388198917</v>
      </c>
      <c r="M73" s="157">
        <v>15997.052620087683</v>
      </c>
      <c r="N73" s="157">
        <v>13449.595727283169</v>
      </c>
      <c r="O73" s="157">
        <v>11843.034690003837</v>
      </c>
      <c r="P73" s="157">
        <v>12593.7367044692</v>
      </c>
      <c r="Q73" s="157">
        <v>12666.029065258435</v>
      </c>
      <c r="R73" s="157">
        <v>12659.430765767995</v>
      </c>
      <c r="S73" s="157">
        <v>13254.14341943641</v>
      </c>
      <c r="T73" s="157">
        <v>13862.545313812006</v>
      </c>
      <c r="U73" s="157">
        <v>14195.264807386608</v>
      </c>
      <c r="V73" s="157">
        <v>15473.50358531155</v>
      </c>
      <c r="W73" s="157">
        <v>14918.791051921335</v>
      </c>
      <c r="X73" s="157">
        <v>12829.125490852608</v>
      </c>
      <c r="Y73" s="157">
        <v>13801.892302283048</v>
      </c>
      <c r="Z73" s="157">
        <v>13959.648972953712</v>
      </c>
      <c r="AA73" s="157">
        <v>14054.136730711452</v>
      </c>
      <c r="AB73" s="157">
        <v>13152.416844360987</v>
      </c>
      <c r="AC73" s="157">
        <v>12852.864829843369</v>
      </c>
      <c r="AD73" s="157">
        <v>13053.391972786387</v>
      </c>
      <c r="AE73" s="157">
        <v>13119.952571166252</v>
      </c>
      <c r="AF73" s="158">
        <v>13283.916860335206</v>
      </c>
      <c r="AG73" s="158">
        <v>13432.245952020048</v>
      </c>
      <c r="AH73" s="158">
        <v>13665.541325799191</v>
      </c>
      <c r="AI73" s="158">
        <v>13524.975539116058</v>
      </c>
      <c r="AJ73" s="158">
        <v>13810.829568118172</v>
      </c>
      <c r="AK73" s="158">
        <v>12952.536976783713</v>
      </c>
      <c r="AL73" s="39"/>
      <c r="AM73" s="39"/>
      <c r="AN73" s="103">
        <f t="shared" si="3"/>
        <v>-0.63756630197742004</v>
      </c>
      <c r="AO73" s="139"/>
      <c r="AP73" s="168"/>
      <c r="AQ73" s="168"/>
      <c r="AR73" s="168"/>
      <c r="AS73" s="103"/>
    </row>
    <row r="74" spans="1:105" ht="15.75" customHeight="1">
      <c r="A74" s="247"/>
      <c r="B74" s="250"/>
      <c r="C74" s="236"/>
      <c r="D74" s="148" t="s">
        <v>86</v>
      </c>
      <c r="E74" s="159">
        <v>30284.564391064054</v>
      </c>
      <c r="F74" s="159">
        <v>32048.897773858596</v>
      </c>
      <c r="G74" s="159">
        <v>16189.306418503493</v>
      </c>
      <c r="H74" s="159">
        <v>9810.7612353966033</v>
      </c>
      <c r="I74" s="159">
        <v>9732.8320011504584</v>
      </c>
      <c r="J74" s="159">
        <v>10306.777710859365</v>
      </c>
      <c r="K74" s="159">
        <v>16519.226252676082</v>
      </c>
      <c r="L74" s="159">
        <v>14729.49627564645</v>
      </c>
      <c r="M74" s="159">
        <v>7977.9599243748116</v>
      </c>
      <c r="N74" s="159">
        <v>6106.9324939037842</v>
      </c>
      <c r="O74" s="159">
        <v>2217.9137048105149</v>
      </c>
      <c r="P74" s="159">
        <v>5144.2464046390351</v>
      </c>
      <c r="Q74" s="159">
        <v>6169.2764812903797</v>
      </c>
      <c r="R74" s="159">
        <v>6924.4520147725216</v>
      </c>
      <c r="S74" s="159">
        <v>8055.6135575173375</v>
      </c>
      <c r="T74" s="159">
        <v>9572.8898412991221</v>
      </c>
      <c r="U74" s="159">
        <v>10285.540159777986</v>
      </c>
      <c r="V74" s="159">
        <v>9756.9828949090061</v>
      </c>
      <c r="W74" s="159">
        <v>8511.2130429210501</v>
      </c>
      <c r="X74" s="159">
        <v>5447.1852238130587</v>
      </c>
      <c r="Y74" s="159">
        <v>3259.0482068379406</v>
      </c>
      <c r="Z74" s="159">
        <v>3313.4228526891638</v>
      </c>
      <c r="AA74" s="159">
        <v>3848.7665854105544</v>
      </c>
      <c r="AB74" s="159">
        <v>3517.9005100979757</v>
      </c>
      <c r="AC74" s="159">
        <v>3966.5582486791409</v>
      </c>
      <c r="AD74" s="159">
        <v>5004.7759119298862</v>
      </c>
      <c r="AE74" s="159">
        <v>5863.5293655951828</v>
      </c>
      <c r="AF74" s="160">
        <v>6609.9192201783098</v>
      </c>
      <c r="AG74" s="160">
        <v>7564.2510166591837</v>
      </c>
      <c r="AH74" s="160">
        <v>7610.8546059302753</v>
      </c>
      <c r="AI74" s="160">
        <v>7317.4254717161002</v>
      </c>
      <c r="AJ74" s="160">
        <v>8163.0613196181293</v>
      </c>
      <c r="AK74" s="160">
        <v>6463.0305473435465</v>
      </c>
      <c r="AL74" s="40"/>
      <c r="AM74" s="40"/>
      <c r="AN74" s="140">
        <f t="shared" si="3"/>
        <v>-0.78658994516524838</v>
      </c>
      <c r="AO74" s="141"/>
      <c r="AP74" s="169"/>
      <c r="AQ74" s="169"/>
      <c r="AR74" s="169"/>
      <c r="AS74" s="140"/>
    </row>
    <row r="75" spans="1:105" s="112" customFormat="1" ht="15.75" customHeight="1">
      <c r="A75" s="245" t="s">
        <v>9</v>
      </c>
      <c r="B75" s="248" t="s">
        <v>64</v>
      </c>
      <c r="C75" s="233" t="s">
        <v>87</v>
      </c>
      <c r="D75" s="133" t="s">
        <v>85</v>
      </c>
      <c r="E75" s="157">
        <v>12726.71376807695</v>
      </c>
      <c r="F75" s="157">
        <v>13349.373456042458</v>
      </c>
      <c r="G75" s="157">
        <v>13114.479828612915</v>
      </c>
      <c r="H75" s="157">
        <v>13278.362285544817</v>
      </c>
      <c r="I75" s="157">
        <v>12433.462702968498</v>
      </c>
      <c r="J75" s="157">
        <v>10062.474468820337</v>
      </c>
      <c r="K75" s="157">
        <v>10123.89677929662</v>
      </c>
      <c r="L75" s="157">
        <v>9483.2282553456062</v>
      </c>
      <c r="M75" s="157">
        <v>8588.8896363322056</v>
      </c>
      <c r="N75" s="157">
        <v>9056.3617171227506</v>
      </c>
      <c r="O75" s="157">
        <v>9638.1159183063301</v>
      </c>
      <c r="P75" s="157">
        <v>10142.887320769698</v>
      </c>
      <c r="Q75" s="157">
        <v>10919.054363817411</v>
      </c>
      <c r="R75" s="157">
        <v>11375.194612206958</v>
      </c>
      <c r="S75" s="157">
        <v>12745.739723580076</v>
      </c>
      <c r="T75" s="157">
        <v>13000.496914965539</v>
      </c>
      <c r="U75" s="157">
        <v>12829.808546237009</v>
      </c>
      <c r="V75" s="157">
        <v>12242.317640664949</v>
      </c>
      <c r="W75" s="157">
        <v>12131.478373296681</v>
      </c>
      <c r="X75" s="157">
        <v>11584.832402142916</v>
      </c>
      <c r="Y75" s="157">
        <v>12158.063440724673</v>
      </c>
      <c r="Z75" s="157">
        <v>12037.825698391687</v>
      </c>
      <c r="AA75" s="157">
        <v>11803.371800799643</v>
      </c>
      <c r="AB75" s="157">
        <v>11281.154097147601</v>
      </c>
      <c r="AC75" s="157">
        <v>10782.161461959384</v>
      </c>
      <c r="AD75" s="157">
        <v>10313.090269832808</v>
      </c>
      <c r="AE75" s="157">
        <v>10079.636376522847</v>
      </c>
      <c r="AF75" s="158">
        <v>10260.516112493675</v>
      </c>
      <c r="AG75" s="158">
        <v>10562.685411019105</v>
      </c>
      <c r="AH75" s="158">
        <v>10731.072800572572</v>
      </c>
      <c r="AI75" s="158">
        <v>9037.0951345978847</v>
      </c>
      <c r="AJ75" s="158">
        <v>9383.284909220929</v>
      </c>
      <c r="AK75" s="158">
        <v>8192.3271257926845</v>
      </c>
      <c r="AL75" s="41" t="s">
        <v>35</v>
      </c>
      <c r="AM75" s="41">
        <v>1990</v>
      </c>
      <c r="AN75" s="73">
        <f t="shared" si="3"/>
        <v>-0.35628888375395806</v>
      </c>
      <c r="AO75" s="36">
        <v>-0.2</v>
      </c>
      <c r="AP75" s="166">
        <v>1990</v>
      </c>
      <c r="AQ75" s="167">
        <v>-0.55000000000000004</v>
      </c>
      <c r="AR75" s="166">
        <v>2030</v>
      </c>
      <c r="AS75" s="137">
        <f>(AK75/E75)-1</f>
        <v>-0.35628888375395806</v>
      </c>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10"/>
      <c r="CT75" s="110"/>
      <c r="CU75" s="110"/>
      <c r="CV75" s="110"/>
      <c r="CW75" s="110"/>
      <c r="CX75" s="110"/>
      <c r="CY75" s="110"/>
      <c r="CZ75" s="110"/>
      <c r="DA75" s="110"/>
    </row>
    <row r="76" spans="1:105" s="112" customFormat="1" ht="15.75" customHeight="1">
      <c r="A76" s="246"/>
      <c r="B76" s="249"/>
      <c r="C76" s="234"/>
      <c r="D76" s="133" t="s">
        <v>86</v>
      </c>
      <c r="E76" s="157">
        <v>12735.694332989089</v>
      </c>
      <c r="F76" s="157">
        <v>13290.45107020763</v>
      </c>
      <c r="G76" s="157">
        <v>12649.948126806037</v>
      </c>
      <c r="H76" s="157">
        <v>12687.132492959547</v>
      </c>
      <c r="I76" s="157">
        <v>11990.017845805207</v>
      </c>
      <c r="J76" s="157">
        <v>9539.8242769208991</v>
      </c>
      <c r="K76" s="157">
        <v>9565.5205590915448</v>
      </c>
      <c r="L76" s="157">
        <v>8838.911922379566</v>
      </c>
      <c r="M76" s="157">
        <v>8050.453160473252</v>
      </c>
      <c r="N76" s="157">
        <v>8451.6156452624746</v>
      </c>
      <c r="O76" s="157">
        <v>9023.3551150491567</v>
      </c>
      <c r="P76" s="157">
        <v>9549.5089101143767</v>
      </c>
      <c r="Q76" s="157">
        <v>10335.999799940417</v>
      </c>
      <c r="R76" s="157">
        <v>10811.873803545914</v>
      </c>
      <c r="S76" s="157">
        <v>12136.27057666646</v>
      </c>
      <c r="T76" s="157">
        <v>12434.520589082251</v>
      </c>
      <c r="U76" s="157">
        <v>12344.819483623431</v>
      </c>
      <c r="V76" s="157">
        <v>11849.589461398456</v>
      </c>
      <c r="W76" s="157">
        <v>11720.784874531257</v>
      </c>
      <c r="X76" s="157">
        <v>11161.779100002226</v>
      </c>
      <c r="Y76" s="157">
        <v>11952.660708561956</v>
      </c>
      <c r="Z76" s="157">
        <v>11739.656950847117</v>
      </c>
      <c r="AA76" s="157">
        <v>11435.174234922028</v>
      </c>
      <c r="AB76" s="157">
        <v>10767.317964910299</v>
      </c>
      <c r="AC76" s="157">
        <v>10359.573032460552</v>
      </c>
      <c r="AD76" s="157">
        <v>9943.8848209234129</v>
      </c>
      <c r="AE76" s="157">
        <v>9611.3173464946976</v>
      </c>
      <c r="AF76" s="158">
        <v>9881.0878956422384</v>
      </c>
      <c r="AG76" s="158">
        <v>10321.537117455549</v>
      </c>
      <c r="AH76" s="158">
        <v>10367.482036694735</v>
      </c>
      <c r="AI76" s="158">
        <v>8589.4494918420514</v>
      </c>
      <c r="AJ76" s="158">
        <v>8777.9401957958707</v>
      </c>
      <c r="AK76" s="158">
        <v>7544.1160434769999</v>
      </c>
      <c r="AL76" s="39"/>
      <c r="AM76" s="39"/>
      <c r="AN76" s="74">
        <f>(AK76/E76)-1</f>
        <v>-0.40763998834868531</v>
      </c>
      <c r="AO76" s="25"/>
      <c r="AP76" s="168"/>
      <c r="AQ76" s="168"/>
      <c r="AR76" s="168"/>
      <c r="AS76" s="103"/>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10"/>
      <c r="CT76" s="110"/>
      <c r="CU76" s="110"/>
      <c r="CV76" s="110"/>
      <c r="CW76" s="110"/>
      <c r="CX76" s="110"/>
      <c r="CY76" s="110"/>
      <c r="CZ76" s="110"/>
      <c r="DA76" s="110"/>
    </row>
    <row r="77" spans="1:105" s="112" customFormat="1" ht="15.75" customHeight="1">
      <c r="A77" s="246"/>
      <c r="B77" s="249"/>
      <c r="C77" s="235" t="s">
        <v>88</v>
      </c>
      <c r="D77" s="133" t="s">
        <v>85</v>
      </c>
      <c r="E77" s="157">
        <v>11813.174448063992</v>
      </c>
      <c r="F77" s="157">
        <v>12423.834329747369</v>
      </c>
      <c r="G77" s="157">
        <v>12192.271043173347</v>
      </c>
      <c r="H77" s="157">
        <v>12341.04314728281</v>
      </c>
      <c r="I77" s="157">
        <v>11525.179620527777</v>
      </c>
      <c r="J77" s="157">
        <v>9135.5678791124756</v>
      </c>
      <c r="K77" s="157">
        <v>9186.1378705775696</v>
      </c>
      <c r="L77" s="157">
        <v>8546.7589096423308</v>
      </c>
      <c r="M77" s="157">
        <v>7654.7222267057296</v>
      </c>
      <c r="N77" s="157">
        <v>8117.3608807774563</v>
      </c>
      <c r="O77" s="157">
        <v>8702.4325580980367</v>
      </c>
      <c r="P77" s="157">
        <v>9205.6361105118012</v>
      </c>
      <c r="Q77" s="157">
        <v>9978.7111380021361</v>
      </c>
      <c r="R77" s="157">
        <v>10451.037070658298</v>
      </c>
      <c r="S77" s="157">
        <v>11819.384919978023</v>
      </c>
      <c r="T77" s="157">
        <v>12076.765463041334</v>
      </c>
      <c r="U77" s="157">
        <v>11908.739739428001</v>
      </c>
      <c r="V77" s="157">
        <v>11304.98555109822</v>
      </c>
      <c r="W77" s="157">
        <v>11169.353475757416</v>
      </c>
      <c r="X77" s="157">
        <v>10625.156163684422</v>
      </c>
      <c r="Y77" s="157">
        <v>11194.659763927008</v>
      </c>
      <c r="Z77" s="157">
        <v>11097.074354381972</v>
      </c>
      <c r="AA77" s="157">
        <v>10866.492051079038</v>
      </c>
      <c r="AB77" s="157">
        <v>10333.663338645032</v>
      </c>
      <c r="AC77" s="157">
        <v>9816.076624150377</v>
      </c>
      <c r="AD77" s="157">
        <v>9345.2654915328076</v>
      </c>
      <c r="AE77" s="157">
        <v>9090.3871541332537</v>
      </c>
      <c r="AF77" s="158">
        <v>9262.8359821672202</v>
      </c>
      <c r="AG77" s="158">
        <v>9567.2909932369421</v>
      </c>
      <c r="AH77" s="158">
        <v>9761.7639824720227</v>
      </c>
      <c r="AI77" s="158">
        <v>8074.9254840969843</v>
      </c>
      <c r="AJ77" s="158">
        <v>8420.5783875645557</v>
      </c>
      <c r="AK77" s="158">
        <v>7276.72369090747</v>
      </c>
      <c r="AL77" s="39"/>
      <c r="AM77" s="39"/>
      <c r="AN77" s="74">
        <f t="shared" si="3"/>
        <v>-0.38401623349428993</v>
      </c>
      <c r="AO77" s="25"/>
      <c r="AP77" s="168"/>
      <c r="AQ77" s="168"/>
      <c r="AR77" s="168"/>
      <c r="AS77" s="103"/>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10"/>
      <c r="CT77" s="110"/>
      <c r="CU77" s="110"/>
      <c r="CV77" s="110"/>
      <c r="CW77" s="110"/>
      <c r="CX77" s="110"/>
      <c r="CY77" s="110"/>
      <c r="CZ77" s="110"/>
      <c r="DA77" s="110"/>
    </row>
    <row r="78" spans="1:105" s="112" customFormat="1" ht="15.75" customHeight="1">
      <c r="A78" s="247"/>
      <c r="B78" s="250"/>
      <c r="C78" s="236"/>
      <c r="D78" s="148" t="s">
        <v>86</v>
      </c>
      <c r="E78" s="159">
        <v>11812.011928147987</v>
      </c>
      <c r="F78" s="159">
        <v>12354.768859084397</v>
      </c>
      <c r="G78" s="159">
        <v>11717.596256538325</v>
      </c>
      <c r="H78" s="159">
        <v>11739.670269869395</v>
      </c>
      <c r="I78" s="159">
        <v>11071.591678536341</v>
      </c>
      <c r="J78" s="159">
        <v>8602.774602384894</v>
      </c>
      <c r="K78" s="159">
        <v>8617.6185655443514</v>
      </c>
      <c r="L78" s="159">
        <v>7892.2994918481472</v>
      </c>
      <c r="M78" s="159">
        <v>7106.1426660186316</v>
      </c>
      <c r="N78" s="159">
        <v>7502.4717240890368</v>
      </c>
      <c r="O78" s="159">
        <v>8077.5270609934496</v>
      </c>
      <c r="P78" s="159">
        <v>8602.1130060090654</v>
      </c>
      <c r="Q78" s="159">
        <v>9379.6609130698762</v>
      </c>
      <c r="R78" s="159">
        <v>9871.7206009419879</v>
      </c>
      <c r="S78" s="159">
        <v>11193.920112009142</v>
      </c>
      <c r="T78" s="159">
        <v>11494.793476102779</v>
      </c>
      <c r="U78" s="159">
        <v>11407.755015759158</v>
      </c>
      <c r="V78" s="159">
        <v>10896.26171077646</v>
      </c>
      <c r="W78" s="159">
        <v>10740.905144452738</v>
      </c>
      <c r="X78" s="159">
        <v>10184.348029004479</v>
      </c>
      <c r="Y78" s="159">
        <v>10971.502199225037</v>
      </c>
      <c r="Z78" s="159">
        <v>10781.150774298147</v>
      </c>
      <c r="AA78" s="159">
        <v>10480.53965266217</v>
      </c>
      <c r="AB78" s="159">
        <v>9810.8834811183297</v>
      </c>
      <c r="AC78" s="159">
        <v>9384.5444693621448</v>
      </c>
      <c r="AD78" s="159">
        <v>8967.1163173340119</v>
      </c>
      <c r="AE78" s="159">
        <v>8613.5583640009809</v>
      </c>
      <c r="AF78" s="160">
        <v>8874.8980052116603</v>
      </c>
      <c r="AG78" s="160">
        <v>9317.6329395692646</v>
      </c>
      <c r="AH78" s="160">
        <v>9389.6634584900621</v>
      </c>
      <c r="AI78" s="160">
        <v>7618.7700812370285</v>
      </c>
      <c r="AJ78" s="160">
        <v>7806.723914035374</v>
      </c>
      <c r="AK78" s="160">
        <v>6625.7166088984595</v>
      </c>
      <c r="AL78" s="40"/>
      <c r="AM78" s="40"/>
      <c r="AN78" s="75">
        <f t="shared" si="3"/>
        <v>-0.43906959718611549</v>
      </c>
      <c r="AO78" s="32"/>
      <c r="AP78" s="169"/>
      <c r="AQ78" s="169"/>
      <c r="AR78" s="169"/>
      <c r="AS78" s="14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row>
    <row r="79" spans="1:105" s="112" customFormat="1" ht="15.75" customHeight="1">
      <c r="A79" s="245" t="s">
        <v>9</v>
      </c>
      <c r="B79" s="248" t="s">
        <v>65</v>
      </c>
      <c r="C79" s="233" t="s">
        <v>87</v>
      </c>
      <c r="D79" s="133" t="s">
        <v>85</v>
      </c>
      <c r="E79" s="157">
        <v>2626.1392260285484</v>
      </c>
      <c r="F79" s="157">
        <v>2479.8520552291893</v>
      </c>
      <c r="G79" s="157">
        <v>2512.8271921525929</v>
      </c>
      <c r="H79" s="157">
        <v>3115.5735831478355</v>
      </c>
      <c r="I79" s="157">
        <v>2893.6713621273962</v>
      </c>
      <c r="J79" s="157">
        <v>2690.9395400814556</v>
      </c>
      <c r="K79" s="157">
        <v>2781.5347615030687</v>
      </c>
      <c r="L79" s="157">
        <v>2813.1700667266891</v>
      </c>
      <c r="M79" s="157">
        <v>2787.3733577597504</v>
      </c>
      <c r="N79" s="157">
        <v>2844.8581972793563</v>
      </c>
      <c r="O79" s="157">
        <v>2749.4498792697909</v>
      </c>
      <c r="P79" s="157">
        <v>3025.637251507801</v>
      </c>
      <c r="Q79" s="157">
        <v>3046.4744538958939</v>
      </c>
      <c r="R79" s="157">
        <v>3268.7262272899015</v>
      </c>
      <c r="S79" s="157">
        <v>3175.6627048783957</v>
      </c>
      <c r="T79" s="157">
        <v>2989.4765432081117</v>
      </c>
      <c r="U79" s="157">
        <v>3035.6553785652768</v>
      </c>
      <c r="V79" s="157">
        <v>3127.0785640000904</v>
      </c>
      <c r="W79" s="157">
        <v>3040.6280764125313</v>
      </c>
      <c r="X79" s="157">
        <v>2908.0135942336815</v>
      </c>
      <c r="Y79" s="157">
        <v>2965.5367061461898</v>
      </c>
      <c r="Z79" s="157">
        <v>2971.3333662178534</v>
      </c>
      <c r="AA79" s="157">
        <v>3142.7237142150998</v>
      </c>
      <c r="AB79" s="157">
        <v>2834.4304007529277</v>
      </c>
      <c r="AC79" s="157">
        <v>2845.5093128622352</v>
      </c>
      <c r="AD79" s="157">
        <v>2148.6295393216951</v>
      </c>
      <c r="AE79" s="157">
        <v>1851.0458616216599</v>
      </c>
      <c r="AF79" s="158">
        <v>2016.3269028930958</v>
      </c>
      <c r="AG79" s="158">
        <v>2019.6172504751844</v>
      </c>
      <c r="AH79" s="158">
        <v>2128.1356091896923</v>
      </c>
      <c r="AI79" s="158">
        <v>2086.0809052683621</v>
      </c>
      <c r="AJ79" s="158">
        <v>2098.7530672697303</v>
      </c>
      <c r="AK79" s="158">
        <v>2262.4143142496832</v>
      </c>
      <c r="AL79" s="41" t="s">
        <v>35</v>
      </c>
      <c r="AM79" s="41">
        <v>1990</v>
      </c>
      <c r="AN79" s="73">
        <f t="shared" si="3"/>
        <v>-0.13850176265365721</v>
      </c>
      <c r="AO79" s="36">
        <v>-0.2</v>
      </c>
      <c r="AP79" s="166">
        <v>1990</v>
      </c>
      <c r="AQ79" s="167">
        <v>-0.55000000000000004</v>
      </c>
      <c r="AR79" s="166">
        <v>2030</v>
      </c>
      <c r="AS79" s="137">
        <f>(AK79/E79)-1</f>
        <v>-0.13850176265365721</v>
      </c>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row>
    <row r="80" spans="1:105" s="112" customFormat="1" ht="15.75" customHeight="1">
      <c r="A80" s="246"/>
      <c r="B80" s="249"/>
      <c r="C80" s="234"/>
      <c r="D80" s="133" t="s">
        <v>86</v>
      </c>
      <c r="E80" s="157">
        <v>2616.2329451112132</v>
      </c>
      <c r="F80" s="157">
        <v>2464.7941752817546</v>
      </c>
      <c r="G80" s="157">
        <v>2501.7039687713623</v>
      </c>
      <c r="H80" s="157">
        <v>3104.8878530824127</v>
      </c>
      <c r="I80" s="157">
        <v>2883.5912997313731</v>
      </c>
      <c r="J80" s="157">
        <v>2681.6444992586389</v>
      </c>
      <c r="K80" s="157">
        <v>2772.479786209251</v>
      </c>
      <c r="L80" s="157">
        <v>2804.1550975022706</v>
      </c>
      <c r="M80" s="157">
        <v>2778.8793473263804</v>
      </c>
      <c r="N80" s="157">
        <v>2835.8160285941462</v>
      </c>
      <c r="O80" s="157">
        <v>2740.5429863937534</v>
      </c>
      <c r="P80" s="157">
        <v>3020.1530278866567</v>
      </c>
      <c r="Q80" s="157">
        <v>3066.8283643457571</v>
      </c>
      <c r="R80" s="157">
        <v>3289.1067422085462</v>
      </c>
      <c r="S80" s="157">
        <v>3175.1306504666418</v>
      </c>
      <c r="T80" s="157">
        <v>2989.4481965886425</v>
      </c>
      <c r="U80" s="157">
        <v>3034.8929617612885</v>
      </c>
      <c r="V80" s="157">
        <v>3127.0208315092641</v>
      </c>
      <c r="W80" s="157">
        <v>3054.490254208632</v>
      </c>
      <c r="X80" s="157">
        <v>2921.7674316569896</v>
      </c>
      <c r="Y80" s="157">
        <v>2979.5252078639865</v>
      </c>
      <c r="Z80" s="157">
        <v>2972.0057389179933</v>
      </c>
      <c r="AA80" s="157">
        <v>3143.4186123504896</v>
      </c>
      <c r="AB80" s="157">
        <v>2835.0383841582939</v>
      </c>
      <c r="AC80" s="157">
        <v>2846.642474642601</v>
      </c>
      <c r="AD80" s="157">
        <v>2149.8241043724565</v>
      </c>
      <c r="AE80" s="157">
        <v>1851.9541899687451</v>
      </c>
      <c r="AF80" s="158">
        <v>2018.9731229533604</v>
      </c>
      <c r="AG80" s="158">
        <v>2021.2449016093176</v>
      </c>
      <c r="AH80" s="158">
        <v>2134.2554164141256</v>
      </c>
      <c r="AI80" s="158">
        <v>2094.6240402545354</v>
      </c>
      <c r="AJ80" s="158">
        <v>2099.3784912384162</v>
      </c>
      <c r="AK80" s="158">
        <v>2263.1861895020811</v>
      </c>
      <c r="AL80" s="39"/>
      <c r="AM80" s="39"/>
      <c r="AN80" s="74">
        <f t="shared" si="3"/>
        <v>-0.13494469453450153</v>
      </c>
      <c r="AO80" s="25"/>
      <c r="AP80" s="168"/>
      <c r="AQ80" s="168"/>
      <c r="AR80" s="168"/>
      <c r="AS80" s="103"/>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10"/>
      <c r="CT80" s="110"/>
      <c r="CU80" s="110"/>
      <c r="CV80" s="110"/>
      <c r="CW80" s="110"/>
      <c r="CX80" s="110"/>
      <c r="CY80" s="110"/>
      <c r="CZ80" s="110"/>
      <c r="DA80" s="110"/>
    </row>
    <row r="81" spans="1:105" s="112" customFormat="1" ht="15.75" customHeight="1">
      <c r="A81" s="246"/>
      <c r="B81" s="249"/>
      <c r="C81" s="235" t="s">
        <v>88</v>
      </c>
      <c r="D81" s="133" t="s">
        <v>85</v>
      </c>
      <c r="E81" s="157">
        <v>2427.3967989271487</v>
      </c>
      <c r="F81" s="157">
        <v>2271.8434468653691</v>
      </c>
      <c r="G81" s="157">
        <v>2293.5966120742237</v>
      </c>
      <c r="H81" s="157">
        <v>2885.5876707080456</v>
      </c>
      <c r="I81" s="157">
        <v>2658.344806660195</v>
      </c>
      <c r="J81" s="157">
        <v>2452.1260636558368</v>
      </c>
      <c r="K81" s="157">
        <v>2533.94682561338</v>
      </c>
      <c r="L81" s="157">
        <v>2556.2489018697952</v>
      </c>
      <c r="M81" s="157">
        <v>2524.9362961881711</v>
      </c>
      <c r="N81" s="157">
        <v>2572.8653298143672</v>
      </c>
      <c r="O81" s="157">
        <v>2468.1534977461752</v>
      </c>
      <c r="P81" s="157">
        <v>2736.5586828058176</v>
      </c>
      <c r="Q81" s="157">
        <v>2747.226760455736</v>
      </c>
      <c r="R81" s="157">
        <v>2960.8331730166969</v>
      </c>
      <c r="S81" s="157">
        <v>2849.0560156008114</v>
      </c>
      <c r="T81" s="157">
        <v>2649.7557652406185</v>
      </c>
      <c r="U81" s="157">
        <v>2655.2811486928813</v>
      </c>
      <c r="V81" s="157">
        <v>2727.7196273228574</v>
      </c>
      <c r="W81" s="157">
        <v>2721.192021681115</v>
      </c>
      <c r="X81" s="157">
        <v>2560.7437890866327</v>
      </c>
      <c r="Y81" s="157">
        <v>2619.1404501442048</v>
      </c>
      <c r="Z81" s="157">
        <v>2608.0524146138832</v>
      </c>
      <c r="AA81" s="157">
        <v>2748.8846699671453</v>
      </c>
      <c r="AB81" s="157">
        <v>2429.4512024449318</v>
      </c>
      <c r="AC81" s="157">
        <v>2417.0997979455046</v>
      </c>
      <c r="AD81" s="157">
        <v>1699.3571179848425</v>
      </c>
      <c r="AE81" s="157">
        <v>1375.604170064461</v>
      </c>
      <c r="AF81" s="158">
        <v>1536.8686024332139</v>
      </c>
      <c r="AG81" s="158">
        <v>1547.4016806509878</v>
      </c>
      <c r="AH81" s="158">
        <v>1648.7763206558243</v>
      </c>
      <c r="AI81" s="158">
        <v>1600.3916388735586</v>
      </c>
      <c r="AJ81" s="158">
        <v>1610.8548032950673</v>
      </c>
      <c r="AK81" s="158">
        <v>1773.6279494798193</v>
      </c>
      <c r="AL81" s="39"/>
      <c r="AM81" s="39"/>
      <c r="AN81" s="74">
        <f t="shared" si="3"/>
        <v>-0.26932920474158961</v>
      </c>
      <c r="AO81" s="25"/>
      <c r="AP81" s="168"/>
      <c r="AQ81" s="168"/>
      <c r="AR81" s="168"/>
      <c r="AS81" s="103"/>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10"/>
      <c r="CT81" s="110"/>
      <c r="CU81" s="110"/>
      <c r="CV81" s="110"/>
      <c r="CW81" s="110"/>
      <c r="CX81" s="110"/>
      <c r="CY81" s="110"/>
      <c r="CZ81" s="110"/>
      <c r="DA81" s="110"/>
    </row>
    <row r="82" spans="1:105" s="112" customFormat="1" ht="15.75" customHeight="1">
      <c r="A82" s="247"/>
      <c r="B82" s="250"/>
      <c r="C82" s="236"/>
      <c r="D82" s="148" t="s">
        <v>86</v>
      </c>
      <c r="E82" s="159">
        <v>2417.1420334655572</v>
      </c>
      <c r="F82" s="159">
        <v>2256.4320365282852</v>
      </c>
      <c r="G82" s="159">
        <v>2282.1685474451529</v>
      </c>
      <c r="H82" s="159">
        <v>2874.5936547080023</v>
      </c>
      <c r="I82" s="159">
        <v>2647.9548395806314</v>
      </c>
      <c r="J82" s="159">
        <v>2442.5251568551666</v>
      </c>
      <c r="K82" s="159">
        <v>2524.5874828881183</v>
      </c>
      <c r="L82" s="159">
        <v>2546.9354189912033</v>
      </c>
      <c r="M82" s="159">
        <v>2516.1435060341032</v>
      </c>
      <c r="N82" s="159">
        <v>2563.5657712451257</v>
      </c>
      <c r="O82" s="159">
        <v>2458.9871800175756</v>
      </c>
      <c r="P82" s="159">
        <v>2730.8617194176531</v>
      </c>
      <c r="Q82" s="159">
        <v>2767.3569699115483</v>
      </c>
      <c r="R82" s="159">
        <v>2980.9786148770668</v>
      </c>
      <c r="S82" s="159">
        <v>2848.2869701622167</v>
      </c>
      <c r="T82" s="159">
        <v>2649.4918495920024</v>
      </c>
      <c r="U82" s="159">
        <v>2654.2955085788785</v>
      </c>
      <c r="V82" s="159">
        <v>2727.4483858744661</v>
      </c>
      <c r="W82" s="159">
        <v>2734.8552410091193</v>
      </c>
      <c r="X82" s="159">
        <v>2574.3132466707521</v>
      </c>
      <c r="Y82" s="159">
        <v>2632.9950192172078</v>
      </c>
      <c r="Z82" s="159">
        <v>2608.5927172054976</v>
      </c>
      <c r="AA82" s="159">
        <v>2749.4493606712003</v>
      </c>
      <c r="AB82" s="159">
        <v>2429.9308412370724</v>
      </c>
      <c r="AC82" s="159">
        <v>2418.1050045929314</v>
      </c>
      <c r="AD82" s="159">
        <v>1700.4240935534278</v>
      </c>
      <c r="AE82" s="159">
        <v>1376.3852986101053</v>
      </c>
      <c r="AF82" s="160">
        <v>1539.378342711339</v>
      </c>
      <c r="AG82" s="160">
        <v>1548.8786496696698</v>
      </c>
      <c r="AH82" s="160">
        <v>1654.5268531394638</v>
      </c>
      <c r="AI82" s="160">
        <v>1608.3469069631656</v>
      </c>
      <c r="AJ82" s="160">
        <v>1610.8904249948916</v>
      </c>
      <c r="AK82" s="160">
        <v>1773.820991474711</v>
      </c>
      <c r="AL82" s="40"/>
      <c r="AM82" s="40"/>
      <c r="AN82" s="75">
        <f t="shared" si="3"/>
        <v>-0.26614945794827372</v>
      </c>
      <c r="AO82" s="32"/>
      <c r="AP82" s="169"/>
      <c r="AQ82" s="169"/>
      <c r="AR82" s="169"/>
      <c r="AS82" s="14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10"/>
      <c r="CT82" s="110"/>
      <c r="CU82" s="110"/>
      <c r="CV82" s="110"/>
      <c r="CW82" s="110"/>
      <c r="CX82" s="110"/>
      <c r="CY82" s="110"/>
      <c r="CZ82" s="110"/>
      <c r="DA82" s="110"/>
    </row>
    <row r="83" spans="1:105" s="112" customFormat="1" ht="15.75" customHeight="1">
      <c r="A83" s="245" t="s">
        <v>9</v>
      </c>
      <c r="B83" s="248" t="s">
        <v>66</v>
      </c>
      <c r="C83" s="233" t="s">
        <v>87</v>
      </c>
      <c r="D83" s="133" t="s">
        <v>85</v>
      </c>
      <c r="E83" s="157">
        <v>221843.64346752106</v>
      </c>
      <c r="F83" s="157">
        <v>229669.31928812256</v>
      </c>
      <c r="G83" s="157">
        <v>230109.30007746143</v>
      </c>
      <c r="H83" s="157">
        <v>230444.4027149395</v>
      </c>
      <c r="I83" s="157">
        <v>231159.08123538212</v>
      </c>
      <c r="J83" s="157">
        <v>231245.67181704263</v>
      </c>
      <c r="K83" s="157">
        <v>241569.03494536958</v>
      </c>
      <c r="L83" s="157">
        <v>233154.37201681873</v>
      </c>
      <c r="M83" s="157">
        <v>233362.56259036294</v>
      </c>
      <c r="N83" s="157">
        <v>220924.96389928542</v>
      </c>
      <c r="O83" s="157">
        <v>219270.68309549268</v>
      </c>
      <c r="P83" s="157">
        <v>220594.526120881</v>
      </c>
      <c r="Q83" s="157">
        <v>218241.27955625617</v>
      </c>
      <c r="R83" s="157">
        <v>218958.84195553247</v>
      </c>
      <c r="S83" s="157">
        <v>220497.8801708289</v>
      </c>
      <c r="T83" s="157">
        <v>214648.24777033521</v>
      </c>
      <c r="U83" s="157">
        <v>209512.05865104593</v>
      </c>
      <c r="V83" s="157">
        <v>208046.03823695472</v>
      </c>
      <c r="W83" s="157">
        <v>207821.93534342208</v>
      </c>
      <c r="X83" s="157">
        <v>202046.42395308285</v>
      </c>
      <c r="Y83" s="157">
        <v>213984.23153731416</v>
      </c>
      <c r="Z83" s="157">
        <v>199782.24639404684</v>
      </c>
      <c r="AA83" s="157">
        <v>195479.23420858229</v>
      </c>
      <c r="AB83" s="157">
        <v>194941.0617299595</v>
      </c>
      <c r="AC83" s="157">
        <v>186721.41506518991</v>
      </c>
      <c r="AD83" s="157">
        <v>193759.05471242976</v>
      </c>
      <c r="AE83" s="157">
        <v>194341.54357239924</v>
      </c>
      <c r="AF83" s="158">
        <v>191639.07633014786</v>
      </c>
      <c r="AG83" s="158">
        <v>186431.85495206341</v>
      </c>
      <c r="AH83" s="158">
        <v>180567.6099191214</v>
      </c>
      <c r="AI83" s="158">
        <v>164038.60042135321</v>
      </c>
      <c r="AJ83" s="158">
        <v>166572.83440584442</v>
      </c>
      <c r="AK83" s="158">
        <v>152926.65140309843</v>
      </c>
      <c r="AL83" s="41" t="s">
        <v>35</v>
      </c>
      <c r="AM83" s="41">
        <v>1990</v>
      </c>
      <c r="AN83" s="73">
        <f t="shared" si="3"/>
        <v>-0.31065569870390453</v>
      </c>
      <c r="AO83" s="36">
        <v>-0.2</v>
      </c>
      <c r="AP83" s="166">
        <v>1990</v>
      </c>
      <c r="AQ83" s="167">
        <v>-0.55000000000000004</v>
      </c>
      <c r="AR83" s="166">
        <v>2030</v>
      </c>
      <c r="AS83" s="137">
        <f>(AK83/E83)-1</f>
        <v>-0.31065569870390453</v>
      </c>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10"/>
      <c r="CT83" s="110"/>
      <c r="CU83" s="110"/>
      <c r="CV83" s="110"/>
      <c r="CW83" s="110"/>
      <c r="CX83" s="110"/>
      <c r="CY83" s="110"/>
      <c r="CZ83" s="110"/>
      <c r="DA83" s="110"/>
    </row>
    <row r="84" spans="1:105" s="112" customFormat="1" ht="15.75" customHeight="1">
      <c r="A84" s="246"/>
      <c r="B84" s="249"/>
      <c r="C84" s="234"/>
      <c r="D84" s="133" t="s">
        <v>86</v>
      </c>
      <c r="E84" s="157">
        <v>227216.90691252804</v>
      </c>
      <c r="F84" s="157">
        <v>235088.862952542</v>
      </c>
      <c r="G84" s="157">
        <v>235466.72698827615</v>
      </c>
      <c r="H84" s="157">
        <v>235866.85804563691</v>
      </c>
      <c r="I84" s="157">
        <v>236581.51079704746</v>
      </c>
      <c r="J84" s="157">
        <v>236458.27781149332</v>
      </c>
      <c r="K84" s="157">
        <v>246641.9480138816</v>
      </c>
      <c r="L84" s="157">
        <v>238022.20561602499</v>
      </c>
      <c r="M84" s="157">
        <v>238670.70559048763</v>
      </c>
      <c r="N84" s="157">
        <v>226021.72365981626</v>
      </c>
      <c r="O84" s="157">
        <v>224655.77176514707</v>
      </c>
      <c r="P84" s="157">
        <v>226513.11662095349</v>
      </c>
      <c r="Q84" s="157">
        <v>224346.79938414559</v>
      </c>
      <c r="R84" s="157">
        <v>224391.55438262114</v>
      </c>
      <c r="S84" s="157">
        <v>226096.40403033307</v>
      </c>
      <c r="T84" s="157">
        <v>220172.27374442093</v>
      </c>
      <c r="U84" s="157">
        <v>214876.82177084949</v>
      </c>
      <c r="V84" s="157">
        <v>213777.88119962273</v>
      </c>
      <c r="W84" s="157">
        <v>213877.15612846729</v>
      </c>
      <c r="X84" s="157">
        <v>207836.409531704</v>
      </c>
      <c r="Y84" s="157">
        <v>219409.90350980966</v>
      </c>
      <c r="Z84" s="157">
        <v>205431.02642540704</v>
      </c>
      <c r="AA84" s="157">
        <v>200894.6044801143</v>
      </c>
      <c r="AB84" s="157">
        <v>199880.8667785064</v>
      </c>
      <c r="AC84" s="157">
        <v>192604.59391322921</v>
      </c>
      <c r="AD84" s="157">
        <v>199940.32816110228</v>
      </c>
      <c r="AE84" s="157">
        <v>200273.13966708814</v>
      </c>
      <c r="AF84" s="158">
        <v>196749.54446444049</v>
      </c>
      <c r="AG84" s="158">
        <v>191461.29267967341</v>
      </c>
      <c r="AH84" s="158">
        <v>185261.27626620827</v>
      </c>
      <c r="AI84" s="158">
        <v>168365.01286314483</v>
      </c>
      <c r="AJ84" s="158">
        <v>170959.71563311631</v>
      </c>
      <c r="AK84" s="158">
        <v>157987.00298623997</v>
      </c>
      <c r="AL84" s="39"/>
      <c r="AM84" s="39"/>
      <c r="AN84" s="74">
        <f t="shared" si="3"/>
        <v>-0.3046864111786346</v>
      </c>
      <c r="AO84" s="25"/>
      <c r="AP84" s="168"/>
      <c r="AQ84" s="168"/>
      <c r="AR84" s="168"/>
      <c r="AS84" s="103"/>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10"/>
      <c r="CT84" s="110"/>
      <c r="CU84" s="110"/>
      <c r="CV84" s="110"/>
      <c r="CW84" s="110"/>
      <c r="CX84" s="110"/>
      <c r="CY84" s="110"/>
      <c r="CZ84" s="110"/>
      <c r="DA84" s="110"/>
    </row>
    <row r="85" spans="1:105" s="112" customFormat="1" ht="15.75" customHeight="1">
      <c r="A85" s="246"/>
      <c r="B85" s="249"/>
      <c r="C85" s="235" t="s">
        <v>88</v>
      </c>
      <c r="D85" s="133" t="s">
        <v>85</v>
      </c>
      <c r="E85" s="157">
        <v>162797.92662107802</v>
      </c>
      <c r="F85" s="157">
        <v>171193.4878377656</v>
      </c>
      <c r="G85" s="157">
        <v>170996.97508371406</v>
      </c>
      <c r="H85" s="157">
        <v>170964.50362547045</v>
      </c>
      <c r="I85" s="157">
        <v>171730.56510670765</v>
      </c>
      <c r="J85" s="157">
        <v>173260.98388387237</v>
      </c>
      <c r="K85" s="157">
        <v>182322.6104954388</v>
      </c>
      <c r="L85" s="157">
        <v>175247.15138130597</v>
      </c>
      <c r="M85" s="157">
        <v>176178.67438038299</v>
      </c>
      <c r="N85" s="157">
        <v>170835.45600242584</v>
      </c>
      <c r="O85" s="157">
        <v>171936.08448814915</v>
      </c>
      <c r="P85" s="157">
        <v>177246.82988050973</v>
      </c>
      <c r="Q85" s="157">
        <v>176525.3722106721</v>
      </c>
      <c r="R85" s="157">
        <v>179964.29749057439</v>
      </c>
      <c r="S85" s="157">
        <v>181892.29142948025</v>
      </c>
      <c r="T85" s="157">
        <v>177931.34958262366</v>
      </c>
      <c r="U85" s="157">
        <v>173085.15931399813</v>
      </c>
      <c r="V85" s="157">
        <v>172833.04046424752</v>
      </c>
      <c r="W85" s="157">
        <v>175705.27528760018</v>
      </c>
      <c r="X85" s="157">
        <v>170234.04734652783</v>
      </c>
      <c r="Y85" s="157">
        <v>182288.82807833827</v>
      </c>
      <c r="Z85" s="157">
        <v>169161.58909602437</v>
      </c>
      <c r="AA85" s="157">
        <v>165575.02701195693</v>
      </c>
      <c r="AB85" s="157">
        <v>164757.58713101843</v>
      </c>
      <c r="AC85" s="157">
        <v>157342.28507594593</v>
      </c>
      <c r="AD85" s="157">
        <v>163743.25897819194</v>
      </c>
      <c r="AE85" s="157">
        <v>164607.85230411391</v>
      </c>
      <c r="AF85" s="158">
        <v>162077.68214254384</v>
      </c>
      <c r="AG85" s="158">
        <v>158041.75421632433</v>
      </c>
      <c r="AH85" s="158">
        <v>152422.00432193707</v>
      </c>
      <c r="AI85" s="158">
        <v>136669.99456070221</v>
      </c>
      <c r="AJ85" s="158">
        <v>139683.81617661877</v>
      </c>
      <c r="AK85" s="158">
        <v>127240.99810873703</v>
      </c>
      <c r="AL85" s="39"/>
      <c r="AM85" s="39"/>
      <c r="AN85" s="74">
        <f t="shared" si="3"/>
        <v>-0.21841143342753921</v>
      </c>
      <c r="AO85" s="25"/>
      <c r="AP85" s="168"/>
      <c r="AQ85" s="168"/>
      <c r="AR85" s="168"/>
      <c r="AS85" s="103"/>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c r="CP85" s="110"/>
      <c r="CQ85" s="110"/>
      <c r="CR85" s="110"/>
      <c r="CS85" s="110"/>
      <c r="CT85" s="110"/>
      <c r="CU85" s="110"/>
      <c r="CV85" s="110"/>
      <c r="CW85" s="110"/>
      <c r="CX85" s="110"/>
      <c r="CY85" s="110"/>
      <c r="CZ85" s="110"/>
      <c r="DA85" s="110"/>
    </row>
    <row r="86" spans="1:105" s="112" customFormat="1" ht="15.75" customHeight="1">
      <c r="A86" s="247"/>
      <c r="B86" s="250"/>
      <c r="C86" s="236"/>
      <c r="D86" s="148" t="s">
        <v>86</v>
      </c>
      <c r="E86" s="159">
        <v>167475.65755154114</v>
      </c>
      <c r="F86" s="159">
        <v>175918.41115206963</v>
      </c>
      <c r="G86" s="159">
        <v>175660.41016180103</v>
      </c>
      <c r="H86" s="159">
        <v>175693.31404995747</v>
      </c>
      <c r="I86" s="159">
        <v>176459.41838320933</v>
      </c>
      <c r="J86" s="159">
        <v>177779.8063826228</v>
      </c>
      <c r="K86" s="159">
        <v>186701.25976888838</v>
      </c>
      <c r="L86" s="159">
        <v>179419.97051644785</v>
      </c>
      <c r="M86" s="159">
        <v>180790.78488580559</v>
      </c>
      <c r="N86" s="159">
        <v>175234.90077362495</v>
      </c>
      <c r="O86" s="159">
        <v>176622.31429679287</v>
      </c>
      <c r="P86" s="159">
        <v>182464.75929285149</v>
      </c>
      <c r="Q86" s="159">
        <v>181928.17320094493</v>
      </c>
      <c r="R86" s="159">
        <v>184691.98149196542</v>
      </c>
      <c r="S86" s="159">
        <v>186784.21327084312</v>
      </c>
      <c r="T86" s="159">
        <v>182746.9426255092</v>
      </c>
      <c r="U86" s="159">
        <v>177739.40202951097</v>
      </c>
      <c r="V86" s="159">
        <v>177852.01493543616</v>
      </c>
      <c r="W86" s="159">
        <v>181045.02464774702</v>
      </c>
      <c r="X86" s="159">
        <v>175308.82564047928</v>
      </c>
      <c r="Y86" s="159">
        <v>186999.35122218743</v>
      </c>
      <c r="Z86" s="159">
        <v>174094.79798956402</v>
      </c>
      <c r="AA86" s="159">
        <v>170273.92259742977</v>
      </c>
      <c r="AB86" s="159">
        <v>168988.05416064349</v>
      </c>
      <c r="AC86" s="159">
        <v>162522.03081380521</v>
      </c>
      <c r="AD86" s="159">
        <v>169226.66553511389</v>
      </c>
      <c r="AE86" s="159">
        <v>169846.7979723326</v>
      </c>
      <c r="AF86" s="160">
        <v>166499.25195869515</v>
      </c>
      <c r="AG86" s="160">
        <v>162385.73557249247</v>
      </c>
      <c r="AH86" s="160">
        <v>156433.34298662981</v>
      </c>
      <c r="AI86" s="160">
        <v>140316.89218638287</v>
      </c>
      <c r="AJ86" s="160">
        <v>143392.03451880539</v>
      </c>
      <c r="AK86" s="160">
        <v>131623.24708997901</v>
      </c>
      <c r="AL86" s="40"/>
      <c r="AM86" s="40"/>
      <c r="AN86" s="75">
        <f t="shared" si="3"/>
        <v>-0.21407535271523537</v>
      </c>
      <c r="AO86" s="32"/>
      <c r="AP86" s="169"/>
      <c r="AQ86" s="169"/>
      <c r="AR86" s="169"/>
      <c r="AS86" s="14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c r="CP86" s="110"/>
      <c r="CQ86" s="110"/>
      <c r="CR86" s="110"/>
      <c r="CS86" s="110"/>
      <c r="CT86" s="110"/>
      <c r="CU86" s="110"/>
      <c r="CV86" s="110"/>
      <c r="CW86" s="110"/>
      <c r="CX86" s="110"/>
      <c r="CY86" s="110"/>
      <c r="CZ86" s="110"/>
      <c r="DA86" s="110"/>
    </row>
    <row r="87" spans="1:105" s="112" customFormat="1" ht="15.75" customHeight="1">
      <c r="A87" s="245" t="s">
        <v>9</v>
      </c>
      <c r="B87" s="248" t="s">
        <v>67</v>
      </c>
      <c r="C87" s="233" t="s">
        <v>87</v>
      </c>
      <c r="D87" s="133" t="s">
        <v>85</v>
      </c>
      <c r="E87" s="157">
        <v>475466.59145769564</v>
      </c>
      <c r="F87" s="157">
        <v>463378.49127107469</v>
      </c>
      <c r="G87" s="157">
        <v>450631.49637365848</v>
      </c>
      <c r="H87" s="157">
        <v>450220.13135722745</v>
      </c>
      <c r="I87" s="157">
        <v>444563.47682974429</v>
      </c>
      <c r="J87" s="157">
        <v>446357.37308133463</v>
      </c>
      <c r="K87" s="157">
        <v>460100.68322565616</v>
      </c>
      <c r="L87" s="157">
        <v>449935.59937411</v>
      </c>
      <c r="M87" s="157">
        <v>419246.38735536911</v>
      </c>
      <c r="N87" s="157">
        <v>407666.17936128454</v>
      </c>
      <c r="O87" s="157">
        <v>394337.17593977286</v>
      </c>
      <c r="P87" s="157">
        <v>393066.37570666237</v>
      </c>
      <c r="Q87" s="157">
        <v>382983.16125272086</v>
      </c>
      <c r="R87" s="157">
        <v>396138.1125299508</v>
      </c>
      <c r="S87" s="157">
        <v>401540.21016174433</v>
      </c>
      <c r="T87" s="157">
        <v>401392.90050087601</v>
      </c>
      <c r="U87" s="157">
        <v>416038.53970111045</v>
      </c>
      <c r="V87" s="157">
        <v>415108.19260385929</v>
      </c>
      <c r="W87" s="157">
        <v>407800.94678244868</v>
      </c>
      <c r="X87" s="157">
        <v>389539.63863072504</v>
      </c>
      <c r="Y87" s="157">
        <v>406676.7366794144</v>
      </c>
      <c r="Z87" s="157">
        <v>405262.20316335402</v>
      </c>
      <c r="AA87" s="157">
        <v>397501.7687027994</v>
      </c>
      <c r="AB87" s="157">
        <v>393250.29273791064</v>
      </c>
      <c r="AC87" s="157">
        <v>380554.26367064478</v>
      </c>
      <c r="AD87" s="157">
        <v>382933.05070864991</v>
      </c>
      <c r="AE87" s="157">
        <v>393810.94615709508</v>
      </c>
      <c r="AF87" s="158">
        <v>408404.24249433167</v>
      </c>
      <c r="AG87" s="158">
        <v>408519.58119703201</v>
      </c>
      <c r="AH87" s="158">
        <v>385935.44411922223</v>
      </c>
      <c r="AI87" s="158">
        <v>370910.75914545328</v>
      </c>
      <c r="AJ87" s="158">
        <v>398897.90470071201</v>
      </c>
      <c r="AK87" s="158">
        <v>380090.20762977866</v>
      </c>
      <c r="AL87" s="41" t="s">
        <v>35</v>
      </c>
      <c r="AM87" s="41">
        <v>1990</v>
      </c>
      <c r="AN87" s="73">
        <f t="shared" si="3"/>
        <v>-0.20059534264123591</v>
      </c>
      <c r="AO87" s="36">
        <v>-0.2</v>
      </c>
      <c r="AP87" s="166">
        <v>1990</v>
      </c>
      <c r="AQ87" s="167">
        <v>-0.55000000000000004</v>
      </c>
      <c r="AR87" s="166">
        <v>2030</v>
      </c>
      <c r="AS87" s="137">
        <f>(AK87/E87)-1</f>
        <v>-0.20059534264123591</v>
      </c>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row>
    <row r="88" spans="1:105" s="112" customFormat="1" ht="15.75" customHeight="1">
      <c r="A88" s="246"/>
      <c r="B88" s="249"/>
      <c r="C88" s="234"/>
      <c r="D88" s="133" t="s">
        <v>86</v>
      </c>
      <c r="E88" s="157">
        <v>447129.60001796868</v>
      </c>
      <c r="F88" s="157">
        <v>441954.6086853997</v>
      </c>
      <c r="G88" s="157">
        <v>450279.051196446</v>
      </c>
      <c r="H88" s="157">
        <v>442012.90679245483</v>
      </c>
      <c r="I88" s="157">
        <v>436661.59151900309</v>
      </c>
      <c r="J88" s="157">
        <v>428029.48066888715</v>
      </c>
      <c r="K88" s="157">
        <v>424166.96311837225</v>
      </c>
      <c r="L88" s="157">
        <v>413914.75447280821</v>
      </c>
      <c r="M88" s="157">
        <v>377343.18198253046</v>
      </c>
      <c r="N88" s="157">
        <v>368370.89998403261</v>
      </c>
      <c r="O88" s="157">
        <v>358235.98245958297</v>
      </c>
      <c r="P88" s="157">
        <v>364513.37705436576</v>
      </c>
      <c r="Q88" s="157">
        <v>345528.79836354428</v>
      </c>
      <c r="R88" s="157">
        <v>356502.13729144464</v>
      </c>
      <c r="S88" s="157">
        <v>350492.26668965886</v>
      </c>
      <c r="T88" s="157">
        <v>350818.20717498026</v>
      </c>
      <c r="U88" s="157">
        <v>371218.41238259518</v>
      </c>
      <c r="V88" s="157">
        <v>377016.25766607199</v>
      </c>
      <c r="W88" s="157">
        <v>369906.07287260948</v>
      </c>
      <c r="X88" s="157">
        <v>351588.31383554288</v>
      </c>
      <c r="Y88" s="157">
        <v>370342.01477898163</v>
      </c>
      <c r="Z88" s="157">
        <v>363296.00089625985</v>
      </c>
      <c r="AA88" s="157">
        <v>354976.38103220507</v>
      </c>
      <c r="AB88" s="157">
        <v>348343.64522845036</v>
      </c>
      <c r="AC88" s="157">
        <v>343035.82691848913</v>
      </c>
      <c r="AD88" s="157">
        <v>348833.0908886462</v>
      </c>
      <c r="AE88" s="157">
        <v>353029.4735517978</v>
      </c>
      <c r="AF88" s="158">
        <v>366742.21366567491</v>
      </c>
      <c r="AG88" s="158">
        <v>367559.27774093748</v>
      </c>
      <c r="AH88" s="158">
        <v>363374.14670615928</v>
      </c>
      <c r="AI88" s="158">
        <v>347580.58504525432</v>
      </c>
      <c r="AJ88" s="158">
        <v>374981.24314356584</v>
      </c>
      <c r="AK88" s="158">
        <v>344445.87510340911</v>
      </c>
      <c r="AL88" s="39"/>
      <c r="AM88" s="39"/>
      <c r="AN88" s="74">
        <f t="shared" si="3"/>
        <v>-0.22965092203789028</v>
      </c>
      <c r="AO88" s="25"/>
      <c r="AP88" s="168"/>
      <c r="AQ88" s="168"/>
      <c r="AR88" s="168"/>
      <c r="AS88" s="103"/>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110"/>
      <c r="CC88" s="110"/>
      <c r="CD88" s="110"/>
      <c r="CE88" s="110"/>
      <c r="CF88" s="110"/>
      <c r="CG88" s="110"/>
      <c r="CH88" s="110"/>
      <c r="CI88" s="110"/>
      <c r="CJ88" s="110"/>
      <c r="CK88" s="110"/>
      <c r="CL88" s="110"/>
      <c r="CM88" s="110"/>
      <c r="CN88" s="110"/>
      <c r="CO88" s="110"/>
      <c r="CP88" s="110"/>
      <c r="CQ88" s="110"/>
      <c r="CR88" s="110"/>
      <c r="CS88" s="110"/>
      <c r="CT88" s="110"/>
      <c r="CU88" s="110"/>
      <c r="CV88" s="110"/>
      <c r="CW88" s="110"/>
      <c r="CX88" s="110"/>
      <c r="CY88" s="110"/>
      <c r="CZ88" s="110"/>
      <c r="DA88" s="110"/>
    </row>
    <row r="89" spans="1:105" s="112" customFormat="1" ht="15.75" customHeight="1">
      <c r="A89" s="246"/>
      <c r="B89" s="249"/>
      <c r="C89" s="235" t="s">
        <v>88</v>
      </c>
      <c r="D89" s="133" t="s">
        <v>85</v>
      </c>
      <c r="E89" s="157">
        <v>376641.21829934948</v>
      </c>
      <c r="F89" s="157">
        <v>373622.74100492219</v>
      </c>
      <c r="G89" s="157">
        <v>364510.55759337172</v>
      </c>
      <c r="H89" s="157">
        <v>365174.86743021559</v>
      </c>
      <c r="I89" s="157">
        <v>360218.41463576927</v>
      </c>
      <c r="J89" s="157">
        <v>362614.51433998602</v>
      </c>
      <c r="K89" s="157">
        <v>377285.34893809882</v>
      </c>
      <c r="L89" s="157">
        <v>367235.53184671456</v>
      </c>
      <c r="M89" s="157">
        <v>339076.14528118173</v>
      </c>
      <c r="N89" s="157">
        <v>329265.79373451718</v>
      </c>
      <c r="O89" s="157">
        <v>317452.2535250854</v>
      </c>
      <c r="P89" s="157">
        <v>313500.67980223359</v>
      </c>
      <c r="Q89" s="157">
        <v>306122.94403881964</v>
      </c>
      <c r="R89" s="157">
        <v>318951.10553169437</v>
      </c>
      <c r="S89" s="157">
        <v>323796.38002000836</v>
      </c>
      <c r="T89" s="157">
        <v>322768.48008685751</v>
      </c>
      <c r="U89" s="157">
        <v>336577.28301263042</v>
      </c>
      <c r="V89" s="157">
        <v>335924.29756451282</v>
      </c>
      <c r="W89" s="157">
        <v>329565.65845888993</v>
      </c>
      <c r="X89" s="157">
        <v>316042.82628547779</v>
      </c>
      <c r="Y89" s="157">
        <v>334222.44157485367</v>
      </c>
      <c r="Z89" s="157">
        <v>333601.41076112248</v>
      </c>
      <c r="AA89" s="157">
        <v>325956.36106540816</v>
      </c>
      <c r="AB89" s="157">
        <v>321927.24606149917</v>
      </c>
      <c r="AC89" s="157">
        <v>309596.24723171536</v>
      </c>
      <c r="AD89" s="157">
        <v>312756.24345367897</v>
      </c>
      <c r="AE89" s="157">
        <v>323554.93033394293</v>
      </c>
      <c r="AF89" s="158">
        <v>336766.86343840958</v>
      </c>
      <c r="AG89" s="158">
        <v>336069.38209486211</v>
      </c>
      <c r="AH89" s="158">
        <v>317724.81778836722</v>
      </c>
      <c r="AI89" s="158">
        <v>302432.71047718555</v>
      </c>
      <c r="AJ89" s="158">
        <v>330979.42354322679</v>
      </c>
      <c r="AK89" s="158">
        <v>315042.26487051928</v>
      </c>
      <c r="AL89" s="39"/>
      <c r="AM89" s="39"/>
      <c r="AN89" s="74">
        <f t="shared" si="3"/>
        <v>-0.1635480941437274</v>
      </c>
      <c r="AO89" s="25"/>
      <c r="AP89" s="168"/>
      <c r="AQ89" s="168"/>
      <c r="AR89" s="168"/>
      <c r="AS89" s="103"/>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110"/>
      <c r="CC89" s="110"/>
      <c r="CD89" s="110"/>
      <c r="CE89" s="110"/>
      <c r="CF89" s="110"/>
      <c r="CG89" s="110"/>
      <c r="CH89" s="110"/>
      <c r="CI89" s="110"/>
      <c r="CJ89" s="110"/>
      <c r="CK89" s="110"/>
      <c r="CL89" s="110"/>
      <c r="CM89" s="110"/>
      <c r="CN89" s="110"/>
      <c r="CO89" s="110"/>
      <c r="CP89" s="110"/>
      <c r="CQ89" s="110"/>
      <c r="CR89" s="110"/>
      <c r="CS89" s="110"/>
      <c r="CT89" s="110"/>
      <c r="CU89" s="110"/>
      <c r="CV89" s="110"/>
      <c r="CW89" s="110"/>
      <c r="CX89" s="110"/>
      <c r="CY89" s="110"/>
      <c r="CZ89" s="110"/>
      <c r="DA89" s="110"/>
    </row>
    <row r="90" spans="1:105" s="112" customFormat="1" ht="15.75" customHeight="1">
      <c r="A90" s="247"/>
      <c r="B90" s="250"/>
      <c r="C90" s="236"/>
      <c r="D90" s="148" t="s">
        <v>86</v>
      </c>
      <c r="E90" s="159">
        <v>346359.92637330235</v>
      </c>
      <c r="F90" s="159">
        <v>350346.32913449261</v>
      </c>
      <c r="G90" s="159">
        <v>361923.6735196134</v>
      </c>
      <c r="H90" s="159">
        <v>355114.56097443646</v>
      </c>
      <c r="I90" s="159">
        <v>350486.63651230314</v>
      </c>
      <c r="J90" s="159">
        <v>342526.12659585831</v>
      </c>
      <c r="K90" s="159">
        <v>339564.3077797133</v>
      </c>
      <c r="L90" s="159">
        <v>329554.37690389913</v>
      </c>
      <c r="M90" s="159">
        <v>295587.354430167</v>
      </c>
      <c r="N90" s="159">
        <v>288397.73864298919</v>
      </c>
      <c r="O90" s="159">
        <v>279844.63821498677</v>
      </c>
      <c r="P90" s="159">
        <v>283581.46606754942</v>
      </c>
      <c r="Q90" s="159">
        <v>267336.18394890777</v>
      </c>
      <c r="R90" s="159">
        <v>277846.50023900875</v>
      </c>
      <c r="S90" s="159">
        <v>271509.7595065104</v>
      </c>
      <c r="T90" s="159">
        <v>271002.7156274044</v>
      </c>
      <c r="U90" s="159">
        <v>290602.97937533987</v>
      </c>
      <c r="V90" s="159">
        <v>296719.07418025489</v>
      </c>
      <c r="W90" s="159">
        <v>290592.78641655797</v>
      </c>
      <c r="X90" s="159">
        <v>277015.64638386585</v>
      </c>
      <c r="Y90" s="159">
        <v>296809.94562643464</v>
      </c>
      <c r="Z90" s="159">
        <v>290555.33632537368</v>
      </c>
      <c r="AA90" s="159">
        <v>282296.22719887033</v>
      </c>
      <c r="AB90" s="159">
        <v>275933.67846595566</v>
      </c>
      <c r="AC90" s="159">
        <v>270841.75861636945</v>
      </c>
      <c r="AD90" s="159">
        <v>277381.47619148932</v>
      </c>
      <c r="AE90" s="159">
        <v>280814.74091876444</v>
      </c>
      <c r="AF90" s="160">
        <v>293096.04946727009</v>
      </c>
      <c r="AG90" s="160">
        <v>293089.85102950758</v>
      </c>
      <c r="AH90" s="160">
        <v>293118.05294513603</v>
      </c>
      <c r="AI90" s="160">
        <v>276997.86544226907</v>
      </c>
      <c r="AJ90" s="160">
        <v>305013.35752241762</v>
      </c>
      <c r="AK90" s="160">
        <v>277295.25684409967</v>
      </c>
      <c r="AL90" s="40"/>
      <c r="AM90" s="40"/>
      <c r="AN90" s="75">
        <f t="shared" si="3"/>
        <v>-0.19940144419237937</v>
      </c>
      <c r="AO90" s="32"/>
      <c r="AP90" s="169"/>
      <c r="AQ90" s="169"/>
      <c r="AR90" s="169"/>
      <c r="AS90" s="14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10"/>
      <c r="CT90" s="110"/>
      <c r="CU90" s="110"/>
      <c r="CV90" s="110"/>
      <c r="CW90" s="110"/>
      <c r="CX90" s="110"/>
      <c r="CY90" s="110"/>
      <c r="CZ90" s="110"/>
      <c r="DA90" s="110"/>
    </row>
    <row r="91" spans="1:105" s="112" customFormat="1" ht="15.75" customHeight="1">
      <c r="A91" s="245" t="s">
        <v>9</v>
      </c>
      <c r="B91" s="248" t="s">
        <v>68</v>
      </c>
      <c r="C91" s="233" t="s">
        <v>87</v>
      </c>
      <c r="D91" s="133" t="s">
        <v>85</v>
      </c>
      <c r="E91" s="157">
        <v>58857.192970136726</v>
      </c>
      <c r="F91" s="157">
        <v>60797.33404460398</v>
      </c>
      <c r="G91" s="157">
        <v>64590.689150036837</v>
      </c>
      <c r="H91" s="157">
        <v>63026.475860564031</v>
      </c>
      <c r="I91" s="157">
        <v>63940.678164018667</v>
      </c>
      <c r="J91" s="157">
        <v>68653.00913317909</v>
      </c>
      <c r="K91" s="157">
        <v>66431.627892334625</v>
      </c>
      <c r="L91" s="157">
        <v>69673.852037960358</v>
      </c>
      <c r="M91" s="157">
        <v>74589.092325302583</v>
      </c>
      <c r="N91" s="157">
        <v>82775.379543712872</v>
      </c>
      <c r="O91" s="157">
        <v>82101.849270582679</v>
      </c>
      <c r="P91" s="157">
        <v>81616.454724833733</v>
      </c>
      <c r="Q91" s="157">
        <v>85979.6997198639</v>
      </c>
      <c r="R91" s="157">
        <v>80829.415913144971</v>
      </c>
      <c r="S91" s="157">
        <v>84003.055307762843</v>
      </c>
      <c r="T91" s="157">
        <v>85859.688156828357</v>
      </c>
      <c r="U91" s="157">
        <v>80995.252775082423</v>
      </c>
      <c r="V91" s="157">
        <v>78693.759239208142</v>
      </c>
      <c r="W91" s="157">
        <v>76237.390614917967</v>
      </c>
      <c r="X91" s="157">
        <v>73179.244312888099</v>
      </c>
      <c r="Y91" s="157">
        <v>68775.554050542472</v>
      </c>
      <c r="Z91" s="157">
        <v>67378.224196984986</v>
      </c>
      <c r="AA91" s="157">
        <v>65337.812597051248</v>
      </c>
      <c r="AB91" s="157">
        <v>63433.68323344861</v>
      </c>
      <c r="AC91" s="157">
        <v>63324.033752169569</v>
      </c>
      <c r="AD91" s="157">
        <v>67511.530075914692</v>
      </c>
      <c r="AE91" s="157">
        <v>65673.259939377196</v>
      </c>
      <c r="AF91" s="158">
        <v>70829.523664727356</v>
      </c>
      <c r="AG91" s="158">
        <v>67181.372549876382</v>
      </c>
      <c r="AH91" s="158">
        <v>63633.024375436886</v>
      </c>
      <c r="AI91" s="158">
        <v>57500.972164150589</v>
      </c>
      <c r="AJ91" s="158">
        <v>56117.275401124731</v>
      </c>
      <c r="AK91" s="158">
        <v>56254.517348518391</v>
      </c>
      <c r="AL91" s="41" t="s">
        <v>35</v>
      </c>
      <c r="AM91" s="41">
        <v>1990</v>
      </c>
      <c r="AN91" s="73">
        <f t="shared" si="3"/>
        <v>-4.4220179221576061E-2</v>
      </c>
      <c r="AO91" s="36">
        <v>-0.2</v>
      </c>
      <c r="AP91" s="166">
        <v>1990</v>
      </c>
      <c r="AQ91" s="167">
        <v>-0.55000000000000004</v>
      </c>
      <c r="AR91" s="166">
        <v>2030</v>
      </c>
      <c r="AS91" s="137">
        <f>(AK91/E91)-1</f>
        <v>-4.4220179221576061E-2</v>
      </c>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10"/>
      <c r="CJ91" s="110"/>
      <c r="CK91" s="110"/>
      <c r="CL91" s="110"/>
      <c r="CM91" s="110"/>
      <c r="CN91" s="110"/>
      <c r="CO91" s="110"/>
      <c r="CP91" s="110"/>
      <c r="CQ91" s="110"/>
      <c r="CR91" s="110"/>
      <c r="CS91" s="110"/>
      <c r="CT91" s="110"/>
      <c r="CU91" s="110"/>
      <c r="CV91" s="110"/>
      <c r="CW91" s="110"/>
      <c r="CX91" s="110"/>
      <c r="CY91" s="110"/>
      <c r="CZ91" s="110"/>
      <c r="DA91" s="110"/>
    </row>
    <row r="92" spans="1:105" s="112" customFormat="1" ht="15.75" customHeight="1">
      <c r="A92" s="246"/>
      <c r="B92" s="249"/>
      <c r="C92" s="234"/>
      <c r="D92" s="133" t="s">
        <v>86</v>
      </c>
      <c r="E92" s="157">
        <v>65994.980811211906</v>
      </c>
      <c r="F92" s="157">
        <v>58566.146599851985</v>
      </c>
      <c r="G92" s="157">
        <v>55723.418726938515</v>
      </c>
      <c r="H92" s="157">
        <v>53333.774381028299</v>
      </c>
      <c r="I92" s="157">
        <v>55114.432200583084</v>
      </c>
      <c r="J92" s="157">
        <v>58461.596864346699</v>
      </c>
      <c r="K92" s="157">
        <v>57373.570189108694</v>
      </c>
      <c r="L92" s="157">
        <v>59577.154833504304</v>
      </c>
      <c r="M92" s="157">
        <v>64880.919034942228</v>
      </c>
      <c r="N92" s="157">
        <v>72572.224003520241</v>
      </c>
      <c r="O92" s="157">
        <v>80055.389838043804</v>
      </c>
      <c r="P92" s="157">
        <v>73275.029981977277</v>
      </c>
      <c r="Q92" s="157">
        <v>78065.119451888211</v>
      </c>
      <c r="R92" s="157">
        <v>85759.165471533881</v>
      </c>
      <c r="S92" s="157">
        <v>79616.287342898373</v>
      </c>
      <c r="T92" s="157">
        <v>89348.974422072541</v>
      </c>
      <c r="U92" s="157">
        <v>79058.077774390811</v>
      </c>
      <c r="V92" s="157">
        <v>75194.624395161591</v>
      </c>
      <c r="W92" s="157">
        <v>66775.566085654384</v>
      </c>
      <c r="X92" s="157">
        <v>62818.584959111933</v>
      </c>
      <c r="Y92" s="157">
        <v>62214.400201051576</v>
      </c>
      <c r="Z92" s="157">
        <v>64331.834517398122</v>
      </c>
      <c r="AA92" s="157">
        <v>64152.9700448074</v>
      </c>
      <c r="AB92" s="157">
        <v>63416.07797909373</v>
      </c>
      <c r="AC92" s="157">
        <v>58208.269373256124</v>
      </c>
      <c r="AD92" s="157">
        <v>63729.097378141763</v>
      </c>
      <c r="AE92" s="157">
        <v>66723.881902551613</v>
      </c>
      <c r="AF92" s="158">
        <v>92301.403983480588</v>
      </c>
      <c r="AG92" s="158">
        <v>63684.449118346689</v>
      </c>
      <c r="AH92" s="158">
        <v>59134.486224357526</v>
      </c>
      <c r="AI92" s="158">
        <v>52793.849051622885</v>
      </c>
      <c r="AJ92" s="158">
        <v>50096.225429557824</v>
      </c>
      <c r="AK92" s="158">
        <v>50329.554168446783</v>
      </c>
      <c r="AL92" s="39"/>
      <c r="AM92" s="39"/>
      <c r="AN92" s="74">
        <f t="shared" si="3"/>
        <v>-0.23737300094954672</v>
      </c>
      <c r="AO92" s="25"/>
      <c r="AP92" s="168"/>
      <c r="AQ92" s="168"/>
      <c r="AR92" s="168"/>
      <c r="AS92" s="103"/>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110"/>
      <c r="CC92" s="110"/>
      <c r="CD92" s="110"/>
      <c r="CE92" s="110"/>
      <c r="CF92" s="110"/>
      <c r="CG92" s="110"/>
      <c r="CH92" s="110"/>
      <c r="CI92" s="110"/>
      <c r="CJ92" s="110"/>
      <c r="CK92" s="110"/>
      <c r="CL92" s="110"/>
      <c r="CM92" s="110"/>
      <c r="CN92" s="110"/>
      <c r="CO92" s="110"/>
      <c r="CP92" s="110"/>
      <c r="CQ92" s="110"/>
      <c r="CR92" s="110"/>
      <c r="CS92" s="110"/>
      <c r="CT92" s="110"/>
      <c r="CU92" s="110"/>
      <c r="CV92" s="110"/>
      <c r="CW92" s="110"/>
      <c r="CX92" s="110"/>
      <c r="CY92" s="110"/>
      <c r="CZ92" s="110"/>
      <c r="DA92" s="110"/>
    </row>
    <row r="93" spans="1:105" s="112" customFormat="1" ht="15.75" customHeight="1">
      <c r="A93" s="246"/>
      <c r="B93" s="249"/>
      <c r="C93" s="235" t="s">
        <v>88</v>
      </c>
      <c r="D93" s="133" t="s">
        <v>85</v>
      </c>
      <c r="E93" s="157">
        <v>45310.594098593334</v>
      </c>
      <c r="F93" s="157">
        <v>47130.884770573437</v>
      </c>
      <c r="G93" s="157">
        <v>50956.562086612437</v>
      </c>
      <c r="H93" s="157">
        <v>49468.822026471767</v>
      </c>
      <c r="I93" s="157">
        <v>50242.517428774867</v>
      </c>
      <c r="J93" s="157">
        <v>54502.629700050529</v>
      </c>
      <c r="K93" s="157">
        <v>51799.281032843595</v>
      </c>
      <c r="L93" s="157">
        <v>54669.145503076899</v>
      </c>
      <c r="M93" s="157">
        <v>59210.639281173098</v>
      </c>
      <c r="N93" s="157">
        <v>66877.968395165022</v>
      </c>
      <c r="O93" s="157">
        <v>65656.591847691467</v>
      </c>
      <c r="P93" s="157">
        <v>65187.082015700798</v>
      </c>
      <c r="Q93" s="157">
        <v>69582.31138602797</v>
      </c>
      <c r="R93" s="157">
        <v>64481.77555015152</v>
      </c>
      <c r="S93" s="157">
        <v>67302.074158380608</v>
      </c>
      <c r="T93" s="157">
        <v>69639.505463685113</v>
      </c>
      <c r="U93" s="157">
        <v>64855.82729613845</v>
      </c>
      <c r="V93" s="157">
        <v>62379.786079850186</v>
      </c>
      <c r="W93" s="157">
        <v>60009.402499505704</v>
      </c>
      <c r="X93" s="157">
        <v>57146.815656897765</v>
      </c>
      <c r="Y93" s="157">
        <v>52889.748417359711</v>
      </c>
      <c r="Z93" s="157">
        <v>51783.538861463014</v>
      </c>
      <c r="AA93" s="157">
        <v>49931.853237516261</v>
      </c>
      <c r="AB93" s="157">
        <v>48146.19026922089</v>
      </c>
      <c r="AC93" s="157">
        <v>47942.32256361653</v>
      </c>
      <c r="AD93" s="157">
        <v>52233.045132736486</v>
      </c>
      <c r="AE93" s="157">
        <v>50310.915034435762</v>
      </c>
      <c r="AF93" s="158">
        <v>55165.158503589002</v>
      </c>
      <c r="AG93" s="158">
        <v>51340.314842731386</v>
      </c>
      <c r="AH93" s="158">
        <v>47583.115022964426</v>
      </c>
      <c r="AI93" s="158">
        <v>41738.251267465763</v>
      </c>
      <c r="AJ93" s="158">
        <v>40284.110805929486</v>
      </c>
      <c r="AK93" s="158">
        <v>40687.05395861651</v>
      </c>
      <c r="AL93" s="39"/>
      <c r="AM93" s="39"/>
      <c r="AN93" s="74">
        <f t="shared" si="3"/>
        <v>-0.10204103989270719</v>
      </c>
      <c r="AO93" s="25"/>
      <c r="AP93" s="168"/>
      <c r="AQ93" s="168"/>
      <c r="AR93" s="168"/>
      <c r="AS93" s="103"/>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0"/>
      <c r="CD93" s="110"/>
      <c r="CE93" s="110"/>
      <c r="CF93" s="110"/>
      <c r="CG93" s="110"/>
      <c r="CH93" s="110"/>
      <c r="CI93" s="110"/>
      <c r="CJ93" s="110"/>
      <c r="CK93" s="110"/>
      <c r="CL93" s="110"/>
      <c r="CM93" s="110"/>
      <c r="CN93" s="110"/>
      <c r="CO93" s="110"/>
      <c r="CP93" s="110"/>
      <c r="CQ93" s="110"/>
      <c r="CR93" s="110"/>
      <c r="CS93" s="110"/>
      <c r="CT93" s="110"/>
      <c r="CU93" s="110"/>
      <c r="CV93" s="110"/>
      <c r="CW93" s="110"/>
      <c r="CX93" s="110"/>
      <c r="CY93" s="110"/>
      <c r="CZ93" s="110"/>
      <c r="DA93" s="110"/>
    </row>
    <row r="94" spans="1:105" s="112" customFormat="1" ht="15.75" customHeight="1">
      <c r="A94" s="247"/>
      <c r="B94" s="250"/>
      <c r="C94" s="236"/>
      <c r="D94" s="148" t="s">
        <v>86</v>
      </c>
      <c r="E94" s="159">
        <v>51015.768937792935</v>
      </c>
      <c r="F94" s="159">
        <v>43994.736337919618</v>
      </c>
      <c r="G94" s="159">
        <v>41593.739495855858</v>
      </c>
      <c r="H94" s="159">
        <v>39290.541843217339</v>
      </c>
      <c r="I94" s="159">
        <v>40799.037023791956</v>
      </c>
      <c r="J94" s="159">
        <v>43586.993067282536</v>
      </c>
      <c r="K94" s="159">
        <v>42180.952792713535</v>
      </c>
      <c r="L94" s="159">
        <v>44099.027105517671</v>
      </c>
      <c r="M94" s="159">
        <v>48888.557731493791</v>
      </c>
      <c r="N94" s="159">
        <v>56161.886983728327</v>
      </c>
      <c r="O94" s="159">
        <v>62722.822422886369</v>
      </c>
      <c r="P94" s="159">
        <v>56053.319609138445</v>
      </c>
      <c r="Q94" s="159">
        <v>60752.569008509498</v>
      </c>
      <c r="R94" s="159">
        <v>67574.325568294706</v>
      </c>
      <c r="S94" s="159">
        <v>62079.421721993844</v>
      </c>
      <c r="T94" s="159">
        <v>71415.556791295312</v>
      </c>
      <c r="U94" s="159">
        <v>62080.712161392541</v>
      </c>
      <c r="V94" s="159">
        <v>58143.858956891883</v>
      </c>
      <c r="W94" s="159">
        <v>49871.399336191695</v>
      </c>
      <c r="X94" s="159">
        <v>45929.091341012245</v>
      </c>
      <c r="Y94" s="159">
        <v>45302.386794802733</v>
      </c>
      <c r="Z94" s="159">
        <v>47888.141670901881</v>
      </c>
      <c r="AA94" s="159">
        <v>47766.240926229919</v>
      </c>
      <c r="AB94" s="159">
        <v>47072.432945042841</v>
      </c>
      <c r="AC94" s="159">
        <v>42126.932441637808</v>
      </c>
      <c r="AD94" s="159">
        <v>47642.078940250372</v>
      </c>
      <c r="AE94" s="159">
        <v>50238.301950335619</v>
      </c>
      <c r="AF94" s="160">
        <v>74285.397298543525</v>
      </c>
      <c r="AG94" s="160">
        <v>47154.205804828074</v>
      </c>
      <c r="AH94" s="160">
        <v>42408.294176380856</v>
      </c>
      <c r="AI94" s="160">
        <v>36325.939706786638</v>
      </c>
      <c r="AJ94" s="160">
        <v>33409.448453771794</v>
      </c>
      <c r="AK94" s="160">
        <v>33917.712393636328</v>
      </c>
      <c r="AL94" s="40"/>
      <c r="AM94" s="40"/>
      <c r="AN94" s="75">
        <f t="shared" si="3"/>
        <v>-0.33515238327595243</v>
      </c>
      <c r="AO94" s="32"/>
      <c r="AP94" s="169"/>
      <c r="AQ94" s="169"/>
      <c r="AR94" s="169"/>
      <c r="AS94" s="14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0"/>
      <c r="CD94" s="110"/>
      <c r="CE94" s="110"/>
      <c r="CF94" s="110"/>
      <c r="CG94" s="110"/>
      <c r="CH94" s="110"/>
      <c r="CI94" s="110"/>
      <c r="CJ94" s="110"/>
      <c r="CK94" s="110"/>
      <c r="CL94" s="110"/>
      <c r="CM94" s="110"/>
      <c r="CN94" s="110"/>
      <c r="CO94" s="110"/>
      <c r="CP94" s="110"/>
      <c r="CQ94" s="110"/>
      <c r="CR94" s="110"/>
      <c r="CS94" s="110"/>
      <c r="CT94" s="110"/>
      <c r="CU94" s="110"/>
      <c r="CV94" s="110"/>
      <c r="CW94" s="110"/>
      <c r="CX94" s="110"/>
      <c r="CY94" s="110"/>
      <c r="CZ94" s="110"/>
      <c r="DA94" s="110"/>
    </row>
    <row r="95" spans="1:105" s="112" customFormat="1" ht="15.75" customHeight="1">
      <c r="A95" s="245" t="s">
        <v>9</v>
      </c>
      <c r="B95" s="248" t="s">
        <v>69</v>
      </c>
      <c r="C95" s="233" t="s">
        <v>87</v>
      </c>
      <c r="D95" s="133" t="s">
        <v>85</v>
      </c>
      <c r="E95" s="157">
        <v>256659.64809945232</v>
      </c>
      <c r="F95" s="157">
        <v>210173.14020829214</v>
      </c>
      <c r="G95" s="157">
        <v>194637.07948644707</v>
      </c>
      <c r="H95" s="157">
        <v>184045.93341337118</v>
      </c>
      <c r="I95" s="157">
        <v>181511.11957041812</v>
      </c>
      <c r="J95" s="157">
        <v>188442.64433458811</v>
      </c>
      <c r="K95" s="157">
        <v>191446.89650036371</v>
      </c>
      <c r="L95" s="157">
        <v>184875.62155268912</v>
      </c>
      <c r="M95" s="157">
        <v>167954.01094645818</v>
      </c>
      <c r="N95" s="157">
        <v>150088.0906523334</v>
      </c>
      <c r="O95" s="157">
        <v>142084.51032463735</v>
      </c>
      <c r="P95" s="157">
        <v>145799.26990448509</v>
      </c>
      <c r="Q95" s="157">
        <v>147795.78597966774</v>
      </c>
      <c r="R95" s="157">
        <v>153544.06603131018</v>
      </c>
      <c r="S95" s="157">
        <v>151570.40935772227</v>
      </c>
      <c r="T95" s="157">
        <v>150130.02741297797</v>
      </c>
      <c r="U95" s="157">
        <v>151560.30177837971</v>
      </c>
      <c r="V95" s="157">
        <v>155027.38988783589</v>
      </c>
      <c r="W95" s="157">
        <v>151702.05098028397</v>
      </c>
      <c r="X95" s="157">
        <v>130345.48789366038</v>
      </c>
      <c r="Y95" s="157">
        <v>124814.04117896281</v>
      </c>
      <c r="Z95" s="157">
        <v>132255.16829167801</v>
      </c>
      <c r="AA95" s="157">
        <v>129285.0472488465</v>
      </c>
      <c r="AB95" s="157">
        <v>117952.55197795856</v>
      </c>
      <c r="AC95" s="157">
        <v>118203.77429491801</v>
      </c>
      <c r="AD95" s="157">
        <v>116920.05248323266</v>
      </c>
      <c r="AE95" s="157">
        <v>114972.15676382765</v>
      </c>
      <c r="AF95" s="158">
        <v>117932.57245599214</v>
      </c>
      <c r="AG95" s="158">
        <v>118673.4493708096</v>
      </c>
      <c r="AH95" s="158">
        <v>115418.42271804041</v>
      </c>
      <c r="AI95" s="158">
        <v>111607.89903274551</v>
      </c>
      <c r="AJ95" s="158">
        <v>115508.61290515978</v>
      </c>
      <c r="AK95" s="158">
        <v>109973.15717483968</v>
      </c>
      <c r="AL95" s="41" t="s">
        <v>35</v>
      </c>
      <c r="AM95" s="41">
        <v>1990</v>
      </c>
      <c r="AN95" s="73">
        <f t="shared" si="3"/>
        <v>-0.57152143708922054</v>
      </c>
      <c r="AO95" s="36">
        <v>-0.2</v>
      </c>
      <c r="AP95" s="166">
        <v>1990</v>
      </c>
      <c r="AQ95" s="167">
        <v>-0.55000000000000004</v>
      </c>
      <c r="AR95" s="166">
        <v>2030</v>
      </c>
      <c r="AS95" s="137">
        <f>(AK95/E95)-1</f>
        <v>-0.57152143708922054</v>
      </c>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c r="CI95" s="110"/>
      <c r="CJ95" s="110"/>
      <c r="CK95" s="110"/>
      <c r="CL95" s="110"/>
      <c r="CM95" s="110"/>
      <c r="CN95" s="110"/>
      <c r="CO95" s="110"/>
      <c r="CP95" s="110"/>
      <c r="CQ95" s="110"/>
      <c r="CR95" s="110"/>
      <c r="CS95" s="110"/>
      <c r="CT95" s="110"/>
      <c r="CU95" s="110"/>
      <c r="CV95" s="110"/>
      <c r="CW95" s="110"/>
      <c r="CX95" s="110"/>
      <c r="CY95" s="110"/>
      <c r="CZ95" s="110"/>
      <c r="DA95" s="110"/>
    </row>
    <row r="96" spans="1:105" s="112" customFormat="1" ht="15.75" customHeight="1">
      <c r="A96" s="246"/>
      <c r="B96" s="249"/>
      <c r="C96" s="234"/>
      <c r="D96" s="133" t="s">
        <v>86</v>
      </c>
      <c r="E96" s="157">
        <v>230420.26791888537</v>
      </c>
      <c r="F96" s="157">
        <v>183685.19710134476</v>
      </c>
      <c r="G96" s="157">
        <v>166870.08861096014</v>
      </c>
      <c r="H96" s="157">
        <v>155102.0943454958</v>
      </c>
      <c r="I96" s="157">
        <v>153078.18300234602</v>
      </c>
      <c r="J96" s="157">
        <v>160212.70136591716</v>
      </c>
      <c r="K96" s="157">
        <v>163890.76482629045</v>
      </c>
      <c r="L96" s="157">
        <v>156698.61160868793</v>
      </c>
      <c r="M96" s="157">
        <v>137785.75805838002</v>
      </c>
      <c r="N96" s="157">
        <v>120100.93612384865</v>
      </c>
      <c r="O96" s="157">
        <v>111983.88838827917</v>
      </c>
      <c r="P96" s="157">
        <v>114889.08902579496</v>
      </c>
      <c r="Q96" s="157">
        <v>118361.87364833479</v>
      </c>
      <c r="R96" s="157">
        <v>123454.59624964048</v>
      </c>
      <c r="S96" s="157">
        <v>121553.40262395675</v>
      </c>
      <c r="T96" s="157">
        <v>119172.06419006025</v>
      </c>
      <c r="U96" s="157">
        <v>120961.09275678621</v>
      </c>
      <c r="V96" s="157">
        <v>123363.3869894697</v>
      </c>
      <c r="W96" s="157">
        <v>119488.36827464346</v>
      </c>
      <c r="X96" s="157">
        <v>101164.33195615123</v>
      </c>
      <c r="Y96" s="157">
        <v>89752.591820904665</v>
      </c>
      <c r="Z96" s="157">
        <v>96610.369604768333</v>
      </c>
      <c r="AA96" s="157">
        <v>91109.398145878105</v>
      </c>
      <c r="AB96" s="157">
        <v>79687.738147860684</v>
      </c>
      <c r="AC96" s="157">
        <v>68948.444424661677</v>
      </c>
      <c r="AD96" s="157">
        <v>68507.797964238183</v>
      </c>
      <c r="AE96" s="157">
        <v>64460.334076300511</v>
      </c>
      <c r="AF96" s="158">
        <v>69223.781822195335</v>
      </c>
      <c r="AG96" s="158">
        <v>71903.027744040286</v>
      </c>
      <c r="AH96" s="158">
        <v>68684.64211901532</v>
      </c>
      <c r="AI96" s="158">
        <v>62497.576138189361</v>
      </c>
      <c r="AJ96" s="158">
        <v>67359.673854201479</v>
      </c>
      <c r="AK96" s="158">
        <v>63506.756787838131</v>
      </c>
      <c r="AL96" s="39"/>
      <c r="AM96" s="39"/>
      <c r="AN96" s="74">
        <f t="shared" si="3"/>
        <v>-0.72438727998443975</v>
      </c>
      <c r="AO96" s="25"/>
      <c r="AP96" s="168"/>
      <c r="AQ96" s="168"/>
      <c r="AR96" s="168"/>
      <c r="AS96" s="103"/>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c r="CI96" s="110"/>
      <c r="CJ96" s="110"/>
      <c r="CK96" s="110"/>
      <c r="CL96" s="110"/>
      <c r="CM96" s="110"/>
      <c r="CN96" s="110"/>
      <c r="CO96" s="110"/>
      <c r="CP96" s="110"/>
      <c r="CQ96" s="110"/>
      <c r="CR96" s="110"/>
      <c r="CS96" s="110"/>
      <c r="CT96" s="110"/>
      <c r="CU96" s="110"/>
      <c r="CV96" s="110"/>
      <c r="CW96" s="110"/>
      <c r="CX96" s="110"/>
      <c r="CY96" s="110"/>
      <c r="CZ96" s="110"/>
      <c r="DA96" s="110"/>
    </row>
    <row r="97" spans="1:105" s="112" customFormat="1" ht="15.75" customHeight="1">
      <c r="A97" s="246"/>
      <c r="B97" s="249"/>
      <c r="C97" s="235" t="s">
        <v>88</v>
      </c>
      <c r="D97" s="133" t="s">
        <v>85</v>
      </c>
      <c r="E97" s="157">
        <v>176558.03835168565</v>
      </c>
      <c r="F97" s="157">
        <v>142277.10800459457</v>
      </c>
      <c r="G97" s="157">
        <v>132075.62229213689</v>
      </c>
      <c r="H97" s="157">
        <v>122766.54058925947</v>
      </c>
      <c r="I97" s="157">
        <v>120971.36767030065</v>
      </c>
      <c r="J97" s="157">
        <v>125770.27431771635</v>
      </c>
      <c r="K97" s="157">
        <v>129198.31385046637</v>
      </c>
      <c r="L97" s="157">
        <v>118188.03225646945</v>
      </c>
      <c r="M97" s="157">
        <v>104894.6877830867</v>
      </c>
      <c r="N97" s="157">
        <v>89038.897493991593</v>
      </c>
      <c r="O97" s="157">
        <v>93354.124666063959</v>
      </c>
      <c r="P97" s="157">
        <v>99007.410579890522</v>
      </c>
      <c r="Q97" s="157">
        <v>99299.679700771754</v>
      </c>
      <c r="R97" s="157">
        <v>103742.37058997355</v>
      </c>
      <c r="S97" s="157">
        <v>102945.20761181509</v>
      </c>
      <c r="T97" s="157">
        <v>100955.88791072124</v>
      </c>
      <c r="U97" s="157">
        <v>103846.02094127999</v>
      </c>
      <c r="V97" s="157">
        <v>108487.73092414165</v>
      </c>
      <c r="W97" s="157">
        <v>107036.95911650079</v>
      </c>
      <c r="X97" s="157">
        <v>87847.669707464753</v>
      </c>
      <c r="Y97" s="157">
        <v>84409.719714893348</v>
      </c>
      <c r="Z97" s="157">
        <v>92313.631970526374</v>
      </c>
      <c r="AA97" s="157">
        <v>89810.359597283721</v>
      </c>
      <c r="AB97" s="157">
        <v>78788.140219773093</v>
      </c>
      <c r="AC97" s="157">
        <v>79325.712615180877</v>
      </c>
      <c r="AD97" s="157">
        <v>78044.172705341611</v>
      </c>
      <c r="AE97" s="157">
        <v>76586.286087466229</v>
      </c>
      <c r="AF97" s="158">
        <v>79428.874786567801</v>
      </c>
      <c r="AG97" s="158">
        <v>79868.320645594416</v>
      </c>
      <c r="AH97" s="158">
        <v>76686.889795604278</v>
      </c>
      <c r="AI97" s="158">
        <v>73943.447292002456</v>
      </c>
      <c r="AJ97" s="158">
        <v>77505.770831525297</v>
      </c>
      <c r="AK97" s="158">
        <v>73251.014301008865</v>
      </c>
      <c r="AL97" s="39"/>
      <c r="AM97" s="39"/>
      <c r="AN97" s="74">
        <f t="shared" si="3"/>
        <v>-0.5851165147457047</v>
      </c>
      <c r="AO97" s="25"/>
      <c r="AP97" s="168"/>
      <c r="AQ97" s="168"/>
      <c r="AR97" s="168"/>
      <c r="AS97" s="103"/>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c r="CI97" s="110"/>
      <c r="CJ97" s="110"/>
      <c r="CK97" s="110"/>
      <c r="CL97" s="110"/>
      <c r="CM97" s="110"/>
      <c r="CN97" s="110"/>
      <c r="CO97" s="110"/>
      <c r="CP97" s="110"/>
      <c r="CQ97" s="110"/>
      <c r="CR97" s="110"/>
      <c r="CS97" s="110"/>
      <c r="CT97" s="110"/>
      <c r="CU97" s="110"/>
      <c r="CV97" s="110"/>
      <c r="CW97" s="110"/>
      <c r="CX97" s="110"/>
      <c r="CY97" s="110"/>
      <c r="CZ97" s="110"/>
      <c r="DA97" s="110"/>
    </row>
    <row r="98" spans="1:105" s="112" customFormat="1" ht="15.4" customHeight="1">
      <c r="A98" s="247"/>
      <c r="B98" s="250"/>
      <c r="C98" s="236"/>
      <c r="D98" s="148" t="s">
        <v>86</v>
      </c>
      <c r="E98" s="159">
        <v>150122.72027691529</v>
      </c>
      <c r="F98" s="159">
        <v>115594.74142696158</v>
      </c>
      <c r="G98" s="159">
        <v>104114.0483969647</v>
      </c>
      <c r="H98" s="159">
        <v>93629.751923836855</v>
      </c>
      <c r="I98" s="159">
        <v>92347.101890695747</v>
      </c>
      <c r="J98" s="159">
        <v>97350.34668692117</v>
      </c>
      <c r="K98" s="159">
        <v>101453.20940666347</v>
      </c>
      <c r="L98" s="159">
        <v>89823.542873899918</v>
      </c>
      <c r="M98" s="159">
        <v>74539.832116288686</v>
      </c>
      <c r="N98" s="159">
        <v>58865.548892825325</v>
      </c>
      <c r="O98" s="159">
        <v>63059.64521161413</v>
      </c>
      <c r="P98" s="159">
        <v>67911.48937172057</v>
      </c>
      <c r="Q98" s="159">
        <v>69674.237703302235</v>
      </c>
      <c r="R98" s="159">
        <v>73469.943191283775</v>
      </c>
      <c r="S98" s="159">
        <v>72748.037314259011</v>
      </c>
      <c r="T98" s="159">
        <v>69818.700686790544</v>
      </c>
      <c r="U98" s="159">
        <v>73065.214316054145</v>
      </c>
      <c r="V98" s="159">
        <v>76639.67214319628</v>
      </c>
      <c r="W98" s="159">
        <v>74646.422288670321</v>
      </c>
      <c r="X98" s="159">
        <v>58463.163302665329</v>
      </c>
      <c r="Y98" s="159">
        <v>49099.003561129764</v>
      </c>
      <c r="Z98" s="159">
        <v>56376.775788734245</v>
      </c>
      <c r="AA98" s="159">
        <v>51295.8398301946</v>
      </c>
      <c r="AB98" s="159">
        <v>40137.083250372736</v>
      </c>
      <c r="AC98" s="159">
        <v>30008.141020444353</v>
      </c>
      <c r="AD98" s="159">
        <v>29564.720836161134</v>
      </c>
      <c r="AE98" s="159">
        <v>26009.316865140172</v>
      </c>
      <c r="AF98" s="160">
        <v>30649.865660748241</v>
      </c>
      <c r="AG98" s="160">
        <v>33029.711895694905</v>
      </c>
      <c r="AH98" s="160">
        <v>29846.543783113717</v>
      </c>
      <c r="AI98" s="160">
        <v>24733.334068435834</v>
      </c>
      <c r="AJ98" s="160">
        <v>29282.089172227832</v>
      </c>
      <c r="AK98" s="160">
        <v>26635.190003917778</v>
      </c>
      <c r="AL98" s="40"/>
      <c r="AM98" s="40"/>
      <c r="AN98" s="75">
        <f t="shared" si="3"/>
        <v>-0.82257722245648957</v>
      </c>
      <c r="AO98" s="32"/>
      <c r="AP98" s="169"/>
      <c r="AQ98" s="169"/>
      <c r="AR98" s="169"/>
      <c r="AS98" s="14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0"/>
      <c r="CD98" s="110"/>
      <c r="CE98" s="110"/>
      <c r="CF98" s="110"/>
      <c r="CG98" s="110"/>
      <c r="CH98" s="110"/>
      <c r="CI98" s="110"/>
      <c r="CJ98" s="110"/>
      <c r="CK98" s="110"/>
      <c r="CL98" s="110"/>
      <c r="CM98" s="110"/>
      <c r="CN98" s="110"/>
      <c r="CO98" s="110"/>
      <c r="CP98" s="110"/>
      <c r="CQ98" s="110"/>
      <c r="CR98" s="110"/>
      <c r="CS98" s="110"/>
      <c r="CT98" s="110"/>
      <c r="CU98" s="110"/>
      <c r="CV98" s="110"/>
      <c r="CW98" s="110"/>
      <c r="CX98" s="110"/>
      <c r="CY98" s="110"/>
      <c r="CZ98" s="110"/>
      <c r="DA98" s="110"/>
    </row>
    <row r="99" spans="1:105" s="112" customFormat="1" ht="15.75" customHeight="1">
      <c r="A99" s="245" t="s">
        <v>9</v>
      </c>
      <c r="B99" s="248" t="s">
        <v>70</v>
      </c>
      <c r="C99" s="233" t="s">
        <v>87</v>
      </c>
      <c r="D99" s="133" t="s">
        <v>85</v>
      </c>
      <c r="E99" s="157">
        <v>73367.554419059685</v>
      </c>
      <c r="F99" s="157">
        <v>64113.275026127041</v>
      </c>
      <c r="G99" s="157">
        <v>58682.585876668149</v>
      </c>
      <c r="H99" s="157">
        <v>55098.132536904406</v>
      </c>
      <c r="I99" s="157">
        <v>52582.405611387148</v>
      </c>
      <c r="J99" s="157">
        <v>53097.986028216867</v>
      </c>
      <c r="K99" s="157">
        <v>52952.359220231083</v>
      </c>
      <c r="L99" s="157">
        <v>52747.072715794588</v>
      </c>
      <c r="M99" s="157">
        <v>52014.270218203448</v>
      </c>
      <c r="N99" s="157">
        <v>50761.759779213047</v>
      </c>
      <c r="O99" s="157">
        <v>48838.636976195587</v>
      </c>
      <c r="P99" s="157">
        <v>51068.494430180013</v>
      </c>
      <c r="Q99" s="157">
        <v>49794.41940569492</v>
      </c>
      <c r="R99" s="157">
        <v>50028.554635762557</v>
      </c>
      <c r="S99" s="157">
        <v>50647.910219017831</v>
      </c>
      <c r="T99" s="157">
        <v>50615.548329895864</v>
      </c>
      <c r="U99" s="157">
        <v>50635.227432836939</v>
      </c>
      <c r="V99" s="157">
        <v>48831.190028373632</v>
      </c>
      <c r="W99" s="157">
        <v>49306.759947043567</v>
      </c>
      <c r="X99" s="157">
        <v>45087.153723785239</v>
      </c>
      <c r="Y99" s="157">
        <v>45839.555396250391</v>
      </c>
      <c r="Z99" s="157">
        <v>44754.808543622625</v>
      </c>
      <c r="AA99" s="157">
        <v>42396.044454867093</v>
      </c>
      <c r="AB99" s="157">
        <v>42073.425352704369</v>
      </c>
      <c r="AC99" s="157">
        <v>40053.932399552446</v>
      </c>
      <c r="AD99" s="157">
        <v>40786.155820856613</v>
      </c>
      <c r="AE99" s="157">
        <v>41226.186699625992</v>
      </c>
      <c r="AF99" s="158">
        <v>42354.413603483532</v>
      </c>
      <c r="AG99" s="158">
        <v>42165.811691295756</v>
      </c>
      <c r="AH99" s="158">
        <v>39865.325723504684</v>
      </c>
      <c r="AI99" s="158">
        <v>37131.015600678045</v>
      </c>
      <c r="AJ99" s="158">
        <v>41162.467851677262</v>
      </c>
      <c r="AK99" s="158">
        <v>37012.709665458315</v>
      </c>
      <c r="AL99" s="41" t="s">
        <v>35</v>
      </c>
      <c r="AM99" s="41">
        <v>1990</v>
      </c>
      <c r="AN99" s="73">
        <f t="shared" ref="AN99:AN114" si="4">(AK99/E99)-1</f>
        <v>-0.49551664957987174</v>
      </c>
      <c r="AO99" s="36">
        <v>-0.2</v>
      </c>
      <c r="AP99" s="166">
        <v>1990</v>
      </c>
      <c r="AQ99" s="167">
        <v>-0.55000000000000004</v>
      </c>
      <c r="AR99" s="166">
        <v>2030</v>
      </c>
      <c r="AS99" s="137">
        <f>(AK99/E99)-1</f>
        <v>-0.49551664957987174</v>
      </c>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c r="CV99" s="110"/>
      <c r="CW99" s="110"/>
      <c r="CX99" s="110"/>
      <c r="CY99" s="110"/>
      <c r="CZ99" s="110"/>
      <c r="DA99" s="110"/>
    </row>
    <row r="100" spans="1:105" s="112" customFormat="1" ht="15.75" customHeight="1">
      <c r="A100" s="246"/>
      <c r="B100" s="249"/>
      <c r="C100" s="234"/>
      <c r="D100" s="133" t="s">
        <v>86</v>
      </c>
      <c r="E100" s="157">
        <v>64475.026534134042</v>
      </c>
      <c r="F100" s="157">
        <v>54393.697959428639</v>
      </c>
      <c r="G100" s="157">
        <v>48333.678550589393</v>
      </c>
      <c r="H100" s="157">
        <v>44960.03322286289</v>
      </c>
      <c r="I100" s="157">
        <v>43004.482096418062</v>
      </c>
      <c r="J100" s="157">
        <v>44067.559857965185</v>
      </c>
      <c r="K100" s="157">
        <v>44013.147386961733</v>
      </c>
      <c r="L100" s="157">
        <v>44019.76916184384</v>
      </c>
      <c r="M100" s="157">
        <v>42220.532435359193</v>
      </c>
      <c r="N100" s="157">
        <v>41808.417400034676</v>
      </c>
      <c r="O100" s="157">
        <v>39916.103040949383</v>
      </c>
      <c r="P100" s="157">
        <v>42824.978162154992</v>
      </c>
      <c r="Q100" s="157">
        <v>41072.59752617609</v>
      </c>
      <c r="R100" s="157">
        <v>41882.099881636488</v>
      </c>
      <c r="S100" s="157">
        <v>42493.528413468084</v>
      </c>
      <c r="T100" s="157">
        <v>46350.774547182671</v>
      </c>
      <c r="U100" s="157">
        <v>43276.813430283495</v>
      </c>
      <c r="V100" s="157">
        <v>41919.578954535522</v>
      </c>
      <c r="W100" s="157">
        <v>43488.522200824933</v>
      </c>
      <c r="X100" s="157">
        <v>39497.910987006682</v>
      </c>
      <c r="Y100" s="157">
        <v>41135.190997068836</v>
      </c>
      <c r="Z100" s="157">
        <v>39688.479697792151</v>
      </c>
      <c r="AA100" s="157">
        <v>36229.024156106665</v>
      </c>
      <c r="AB100" s="157">
        <v>35136.31473153711</v>
      </c>
      <c r="AC100" s="157">
        <v>35298.576870931567</v>
      </c>
      <c r="AD100" s="157">
        <v>35551.890232706857</v>
      </c>
      <c r="AE100" s="157">
        <v>35913.485098848316</v>
      </c>
      <c r="AF100" s="158">
        <v>37150.165499101888</v>
      </c>
      <c r="AG100" s="158">
        <v>37934.501756893951</v>
      </c>
      <c r="AH100" s="158">
        <v>34870.854501883507</v>
      </c>
      <c r="AI100" s="158">
        <v>29952.033418725092</v>
      </c>
      <c r="AJ100" s="158">
        <v>33951.05272126112</v>
      </c>
      <c r="AK100" s="158">
        <v>29786.968780931697</v>
      </c>
      <c r="AL100" s="39"/>
      <c r="AM100" s="39"/>
      <c r="AN100" s="74">
        <f t="shared" si="4"/>
        <v>-0.53800765378263116</v>
      </c>
      <c r="AO100" s="25"/>
      <c r="AP100" s="168"/>
      <c r="AQ100" s="168"/>
      <c r="AR100" s="168"/>
      <c r="AS100" s="103"/>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c r="CP100" s="110"/>
      <c r="CQ100" s="110"/>
      <c r="CR100" s="110"/>
      <c r="CS100" s="110"/>
      <c r="CT100" s="110"/>
      <c r="CU100" s="110"/>
      <c r="CV100" s="110"/>
      <c r="CW100" s="110"/>
      <c r="CX100" s="110"/>
      <c r="CY100" s="110"/>
      <c r="CZ100" s="110"/>
      <c r="DA100" s="110"/>
    </row>
    <row r="101" spans="1:105" s="112" customFormat="1" ht="15.75" customHeight="1">
      <c r="A101" s="246"/>
      <c r="B101" s="249"/>
      <c r="C101" s="235" t="s">
        <v>88</v>
      </c>
      <c r="D101" s="133" t="s">
        <v>85</v>
      </c>
      <c r="E101" s="157">
        <v>61526.3554877891</v>
      </c>
      <c r="F101" s="157">
        <v>53331.743382922592</v>
      </c>
      <c r="G101" s="157">
        <v>48927.686876485561</v>
      </c>
      <c r="H101" s="157">
        <v>46395.864164390005</v>
      </c>
      <c r="I101" s="157">
        <v>43805.097209373133</v>
      </c>
      <c r="J101" s="157">
        <v>44195.796457075521</v>
      </c>
      <c r="K101" s="157">
        <v>44077.139442878797</v>
      </c>
      <c r="L101" s="157">
        <v>44148.697089588102</v>
      </c>
      <c r="M101" s="157">
        <v>43879.289086450975</v>
      </c>
      <c r="N101" s="157">
        <v>43091.651008563451</v>
      </c>
      <c r="O101" s="157">
        <v>41191.791976653061</v>
      </c>
      <c r="P101" s="157">
        <v>43279.271404874176</v>
      </c>
      <c r="Q101" s="157">
        <v>42095.274149961893</v>
      </c>
      <c r="R101" s="157">
        <v>42424.824970074587</v>
      </c>
      <c r="S101" s="157">
        <v>42920.168679430513</v>
      </c>
      <c r="T101" s="157">
        <v>42925.942427783484</v>
      </c>
      <c r="U101" s="157">
        <v>42751.313840356685</v>
      </c>
      <c r="V101" s="157">
        <v>41154.067831714267</v>
      </c>
      <c r="W101" s="157">
        <v>41551.01049540822</v>
      </c>
      <c r="X101" s="157">
        <v>37799.527658807601</v>
      </c>
      <c r="Y101" s="157">
        <v>38462.080595326632</v>
      </c>
      <c r="Z101" s="157">
        <v>38045.882352324748</v>
      </c>
      <c r="AA101" s="157">
        <v>35963.342294004186</v>
      </c>
      <c r="AB101" s="157">
        <v>35623.258848624711</v>
      </c>
      <c r="AC101" s="157">
        <v>33708.174735033615</v>
      </c>
      <c r="AD101" s="157">
        <v>34528.18927473767</v>
      </c>
      <c r="AE101" s="157">
        <v>34962.804600945026</v>
      </c>
      <c r="AF101" s="158">
        <v>36166.715645557189</v>
      </c>
      <c r="AG101" s="158">
        <v>36159.861115036096</v>
      </c>
      <c r="AH101" s="158">
        <v>33831.316890835136</v>
      </c>
      <c r="AI101" s="158">
        <v>31154.221674950782</v>
      </c>
      <c r="AJ101" s="158">
        <v>35215.995091925877</v>
      </c>
      <c r="AK101" s="158">
        <v>31550.242156937271</v>
      </c>
      <c r="AL101" s="39"/>
      <c r="AM101" s="39"/>
      <c r="AN101" s="74">
        <f t="shared" si="4"/>
        <v>-0.48720768674167725</v>
      </c>
      <c r="AO101" s="25"/>
      <c r="AP101" s="168"/>
      <c r="AQ101" s="168"/>
      <c r="AR101" s="168"/>
      <c r="AS101" s="103"/>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c r="CW101" s="110"/>
      <c r="CX101" s="110"/>
      <c r="CY101" s="110"/>
      <c r="CZ101" s="110"/>
      <c r="DA101" s="110"/>
    </row>
    <row r="102" spans="1:105" s="112" customFormat="1" ht="15.75" customHeight="1">
      <c r="A102" s="247"/>
      <c r="B102" s="250"/>
      <c r="C102" s="236"/>
      <c r="D102" s="148" t="s">
        <v>86</v>
      </c>
      <c r="E102" s="159">
        <v>52503.121670459994</v>
      </c>
      <c r="F102" s="159">
        <v>43496.844000317455</v>
      </c>
      <c r="G102" s="159">
        <v>38459.784378704979</v>
      </c>
      <c r="H102" s="159">
        <v>36122.500712965477</v>
      </c>
      <c r="I102" s="159">
        <v>34126.098632160189</v>
      </c>
      <c r="J102" s="159">
        <v>35075.081142761883</v>
      </c>
      <c r="K102" s="159">
        <v>35047.820995931739</v>
      </c>
      <c r="L102" s="159">
        <v>35342.354161922325</v>
      </c>
      <c r="M102" s="159">
        <v>34012.277099295767</v>
      </c>
      <c r="N102" s="159">
        <v>33990.274601996702</v>
      </c>
      <c r="O102" s="159">
        <v>32176.734058403919</v>
      </c>
      <c r="P102" s="159">
        <v>34972.881646773472</v>
      </c>
      <c r="Q102" s="159">
        <v>33300.39056249502</v>
      </c>
      <c r="R102" s="159">
        <v>34174.739107752008</v>
      </c>
      <c r="S102" s="159">
        <v>34708.126149505093</v>
      </c>
      <c r="T102" s="159">
        <v>38586.017536587351</v>
      </c>
      <c r="U102" s="159">
        <v>35336.66642452799</v>
      </c>
      <c r="V102" s="159">
        <v>34169.893470759722</v>
      </c>
      <c r="W102" s="159">
        <v>35680.213198617472</v>
      </c>
      <c r="X102" s="159">
        <v>32144.808925922283</v>
      </c>
      <c r="Y102" s="159">
        <v>33702.586605598168</v>
      </c>
      <c r="Z102" s="159">
        <v>32917.599980519313</v>
      </c>
      <c r="AA102" s="159">
        <v>29696.220225643483</v>
      </c>
      <c r="AB102" s="159">
        <v>28637.918067515242</v>
      </c>
      <c r="AC102" s="159">
        <v>28891.154956041959</v>
      </c>
      <c r="AD102" s="159">
        <v>29225.27228813056</v>
      </c>
      <c r="AE102" s="159">
        <v>29588.839132630288</v>
      </c>
      <c r="AF102" s="160">
        <v>30897.444289300412</v>
      </c>
      <c r="AG102" s="160">
        <v>31864.277283698793</v>
      </c>
      <c r="AH102" s="160">
        <v>28766.34905634918</v>
      </c>
      <c r="AI102" s="160">
        <v>23910.44157930421</v>
      </c>
      <c r="AJ102" s="160">
        <v>27952.729535566694</v>
      </c>
      <c r="AK102" s="160">
        <v>24233.521713646165</v>
      </c>
      <c r="AL102" s="40"/>
      <c r="AM102" s="40"/>
      <c r="AN102" s="75">
        <f t="shared" si="4"/>
        <v>-0.53843655495858345</v>
      </c>
      <c r="AO102" s="32"/>
      <c r="AP102" s="169"/>
      <c r="AQ102" s="169"/>
      <c r="AR102" s="169"/>
      <c r="AS102" s="14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c r="CP102" s="110"/>
      <c r="CQ102" s="110"/>
      <c r="CR102" s="110"/>
      <c r="CS102" s="110"/>
      <c r="CT102" s="110"/>
      <c r="CU102" s="110"/>
      <c r="CV102" s="110"/>
      <c r="CW102" s="110"/>
      <c r="CX102" s="110"/>
      <c r="CY102" s="110"/>
      <c r="CZ102" s="110"/>
      <c r="DA102" s="110"/>
    </row>
    <row r="103" spans="1:105" ht="15.75" customHeight="1">
      <c r="A103" s="245" t="s">
        <v>9</v>
      </c>
      <c r="B103" s="248" t="s">
        <v>71</v>
      </c>
      <c r="C103" s="233" t="s">
        <v>87</v>
      </c>
      <c r="D103" s="133" t="s">
        <v>85</v>
      </c>
      <c r="E103" s="157">
        <v>18802.399452784121</v>
      </c>
      <c r="F103" s="157">
        <v>17446.781684874746</v>
      </c>
      <c r="G103" s="157">
        <v>17434.778451420363</v>
      </c>
      <c r="H103" s="157">
        <v>17675.708785211886</v>
      </c>
      <c r="I103" s="157">
        <v>18080.754443395574</v>
      </c>
      <c r="J103" s="157">
        <v>18857.184289125136</v>
      </c>
      <c r="K103" s="157">
        <v>19445.629609584917</v>
      </c>
      <c r="L103" s="157">
        <v>19986.370859358474</v>
      </c>
      <c r="M103" s="157">
        <v>19575.048989705083</v>
      </c>
      <c r="N103" s="157">
        <v>18956.067221448131</v>
      </c>
      <c r="O103" s="157">
        <v>18736.445003653054</v>
      </c>
      <c r="P103" s="157">
        <v>20005.413188707615</v>
      </c>
      <c r="Q103" s="157">
        <v>20277.58814101258</v>
      </c>
      <c r="R103" s="157">
        <v>19947.853220120749</v>
      </c>
      <c r="S103" s="157">
        <v>20344.781957991283</v>
      </c>
      <c r="T103" s="157">
        <v>20595.823651929808</v>
      </c>
      <c r="U103" s="157">
        <v>20769.408795361149</v>
      </c>
      <c r="V103" s="157">
        <v>20954.508610595785</v>
      </c>
      <c r="W103" s="157">
        <v>21679.530388690873</v>
      </c>
      <c r="X103" s="157">
        <v>19510.652799819032</v>
      </c>
      <c r="Y103" s="157">
        <v>19741.37622970888</v>
      </c>
      <c r="Z103" s="157">
        <v>19667.905509234126</v>
      </c>
      <c r="AA103" s="157">
        <v>19038.515203163675</v>
      </c>
      <c r="AB103" s="157">
        <v>18339.141448287479</v>
      </c>
      <c r="AC103" s="157">
        <v>16678.669844579355</v>
      </c>
      <c r="AD103" s="157">
        <v>16866.39948027183</v>
      </c>
      <c r="AE103" s="157">
        <v>17751.624491212755</v>
      </c>
      <c r="AF103" s="158">
        <v>17827.778986188121</v>
      </c>
      <c r="AG103" s="158">
        <v>17645.983885505575</v>
      </c>
      <c r="AH103" s="158">
        <v>17151.952442094844</v>
      </c>
      <c r="AI103" s="158">
        <v>15929.766687330917</v>
      </c>
      <c r="AJ103" s="158">
        <v>16073.588813338176</v>
      </c>
      <c r="AK103" s="158">
        <v>15615.087254255055</v>
      </c>
      <c r="AL103" s="41" t="s">
        <v>35</v>
      </c>
      <c r="AM103" s="41">
        <v>1990</v>
      </c>
      <c r="AN103" s="137">
        <f t="shared" si="4"/>
        <v>-0.16951624746261373</v>
      </c>
      <c r="AO103" s="138">
        <v>-0.2</v>
      </c>
      <c r="AP103" s="166">
        <v>1990</v>
      </c>
      <c r="AQ103" s="167">
        <v>-0.55000000000000004</v>
      </c>
      <c r="AR103" s="166">
        <v>2030</v>
      </c>
      <c r="AS103" s="137">
        <f>(AK103/E103)-1</f>
        <v>-0.16951624746261373</v>
      </c>
    </row>
    <row r="104" spans="1:105" ht="15.75" customHeight="1">
      <c r="A104" s="246"/>
      <c r="B104" s="249"/>
      <c r="C104" s="234"/>
      <c r="D104" s="133" t="s">
        <v>86</v>
      </c>
      <c r="E104" s="157">
        <v>14416.236275206273</v>
      </c>
      <c r="F104" s="157">
        <v>12707.778862151066</v>
      </c>
      <c r="G104" s="157">
        <v>12579.741529893769</v>
      </c>
      <c r="H104" s="157">
        <v>12820.624748567059</v>
      </c>
      <c r="I104" s="157">
        <v>13039.334796249057</v>
      </c>
      <c r="J104" s="157">
        <v>13730.597653034643</v>
      </c>
      <c r="K104" s="157">
        <v>13743.081569816039</v>
      </c>
      <c r="L104" s="157">
        <v>14069.904736064211</v>
      </c>
      <c r="M104" s="157">
        <v>13512.424257100014</v>
      </c>
      <c r="N104" s="157">
        <v>12853.174670867436</v>
      </c>
      <c r="O104" s="157">
        <v>12531.784946355956</v>
      </c>
      <c r="P104" s="157">
        <v>13750.04210123037</v>
      </c>
      <c r="Q104" s="157">
        <v>12903.192557066563</v>
      </c>
      <c r="R104" s="157">
        <v>12895.661146419548</v>
      </c>
      <c r="S104" s="157">
        <v>13148.797141608187</v>
      </c>
      <c r="T104" s="157">
        <v>13360.16896404872</v>
      </c>
      <c r="U104" s="157">
        <v>13549.710569460725</v>
      </c>
      <c r="V104" s="157">
        <v>13388.931250186615</v>
      </c>
      <c r="W104" s="157">
        <v>14366.886166708229</v>
      </c>
      <c r="X104" s="157">
        <v>12265.106777189092</v>
      </c>
      <c r="Y104" s="157">
        <v>12569.527550679055</v>
      </c>
      <c r="Z104" s="157">
        <v>12596.944822475822</v>
      </c>
      <c r="AA104" s="157">
        <v>12042.760809880223</v>
      </c>
      <c r="AB104" s="157">
        <v>13030.440124585979</v>
      </c>
      <c r="AC104" s="157">
        <v>17142.771301362118</v>
      </c>
      <c r="AD104" s="157">
        <v>17425.978491460537</v>
      </c>
      <c r="AE104" s="157">
        <v>18458.940299132173</v>
      </c>
      <c r="AF104" s="158">
        <v>18530.857725921389</v>
      </c>
      <c r="AG104" s="158">
        <v>18446.892636063454</v>
      </c>
      <c r="AH104" s="158">
        <v>16507.720534728447</v>
      </c>
      <c r="AI104" s="158">
        <v>15529.387180164376</v>
      </c>
      <c r="AJ104" s="158">
        <v>15749.262388262423</v>
      </c>
      <c r="AK104" s="158">
        <v>15442.363556358318</v>
      </c>
      <c r="AL104" s="39"/>
      <c r="AM104" s="39"/>
      <c r="AN104" s="103">
        <f t="shared" si="4"/>
        <v>7.1178583755374891E-2</v>
      </c>
      <c r="AO104" s="139"/>
      <c r="AP104" s="168"/>
      <c r="AQ104" s="168"/>
      <c r="AR104" s="168"/>
      <c r="AS104" s="103"/>
    </row>
    <row r="105" spans="1:105" ht="15.75" customHeight="1">
      <c r="A105" s="246"/>
      <c r="B105" s="249"/>
      <c r="C105" s="235" t="s">
        <v>88</v>
      </c>
      <c r="D105" s="133" t="s">
        <v>85</v>
      </c>
      <c r="E105" s="157">
        <v>15094.545846022371</v>
      </c>
      <c r="F105" s="157">
        <v>13973.373659228237</v>
      </c>
      <c r="G105" s="157">
        <v>13882.581061062794</v>
      </c>
      <c r="H105" s="157">
        <v>14251.222627928291</v>
      </c>
      <c r="I105" s="157">
        <v>14636.103793540457</v>
      </c>
      <c r="J105" s="157">
        <v>15354.243589928794</v>
      </c>
      <c r="K105" s="157">
        <v>15999.410956316558</v>
      </c>
      <c r="L105" s="157">
        <v>16507.0200534748</v>
      </c>
      <c r="M105" s="157">
        <v>16039.037547138765</v>
      </c>
      <c r="N105" s="157">
        <v>15412.480224760946</v>
      </c>
      <c r="O105" s="157">
        <v>15053.845859200504</v>
      </c>
      <c r="P105" s="157">
        <v>16302.756987814095</v>
      </c>
      <c r="Q105" s="157">
        <v>16564.693398412554</v>
      </c>
      <c r="R105" s="157">
        <v>16271.548863033515</v>
      </c>
      <c r="S105" s="157">
        <v>16704.585473086699</v>
      </c>
      <c r="T105" s="157">
        <v>16935.64008212887</v>
      </c>
      <c r="U105" s="157">
        <v>17178.073880492986</v>
      </c>
      <c r="V105" s="157">
        <v>17342.989078538871</v>
      </c>
      <c r="W105" s="157">
        <v>18278.459398183364</v>
      </c>
      <c r="X105" s="157">
        <v>16204.108489533442</v>
      </c>
      <c r="Y105" s="157">
        <v>16459.732056012821</v>
      </c>
      <c r="Z105" s="157">
        <v>16358.786158968293</v>
      </c>
      <c r="AA105" s="157">
        <v>15759.566983283868</v>
      </c>
      <c r="AB105" s="157">
        <v>15128.262414348745</v>
      </c>
      <c r="AC105" s="157">
        <v>13561.307974673653</v>
      </c>
      <c r="AD105" s="157">
        <v>13645.487196749076</v>
      </c>
      <c r="AE105" s="157">
        <v>14458.366506291452</v>
      </c>
      <c r="AF105" s="158">
        <v>14616.683667073623</v>
      </c>
      <c r="AG105" s="158">
        <v>14519.868854186754</v>
      </c>
      <c r="AH105" s="158">
        <v>14039.440332171009</v>
      </c>
      <c r="AI105" s="158">
        <v>12854.909159724724</v>
      </c>
      <c r="AJ105" s="158">
        <v>13058.881430704847</v>
      </c>
      <c r="AK105" s="158">
        <v>12701.291338809264</v>
      </c>
      <c r="AL105" s="39"/>
      <c r="AM105" s="39"/>
      <c r="AN105" s="103">
        <f t="shared" si="4"/>
        <v>-0.15855094493245481</v>
      </c>
      <c r="AO105" s="139"/>
      <c r="AP105" s="168"/>
      <c r="AQ105" s="168"/>
      <c r="AR105" s="168"/>
      <c r="AS105" s="103"/>
    </row>
    <row r="106" spans="1:105" ht="15.75" customHeight="1">
      <c r="A106" s="247"/>
      <c r="B106" s="250"/>
      <c r="C106" s="236"/>
      <c r="D106" s="148" t="s">
        <v>86</v>
      </c>
      <c r="E106" s="159">
        <v>10643.202613464398</v>
      </c>
      <c r="F106" s="159">
        <v>9169.5503868586711</v>
      </c>
      <c r="G106" s="159">
        <v>8963.5881482171426</v>
      </c>
      <c r="H106" s="159">
        <v>9329.6477209032928</v>
      </c>
      <c r="I106" s="159">
        <v>9529.52595103762</v>
      </c>
      <c r="J106" s="159">
        <v>10164.8406183071</v>
      </c>
      <c r="K106" s="159">
        <v>10234.572350762279</v>
      </c>
      <c r="L106" s="159">
        <v>10528.660075208512</v>
      </c>
      <c r="M106" s="159">
        <v>9914.2737453152076</v>
      </c>
      <c r="N106" s="159">
        <v>9249.7431739264448</v>
      </c>
      <c r="O106" s="159">
        <v>8790.8440209352902</v>
      </c>
      <c r="P106" s="159">
        <v>9989.5138229712065</v>
      </c>
      <c r="Q106" s="159">
        <v>9133.8382078825707</v>
      </c>
      <c r="R106" s="159">
        <v>9156.5058928635663</v>
      </c>
      <c r="S106" s="159">
        <v>9452.4095318726759</v>
      </c>
      <c r="T106" s="159">
        <v>9644.2098232579247</v>
      </c>
      <c r="U106" s="159">
        <v>9896.3874782785242</v>
      </c>
      <c r="V106" s="159">
        <v>9723.8090570489039</v>
      </c>
      <c r="W106" s="159">
        <v>10913.69263871287</v>
      </c>
      <c r="X106" s="159">
        <v>8907.6904109425905</v>
      </c>
      <c r="Y106" s="159">
        <v>9238.7320958431574</v>
      </c>
      <c r="Z106" s="159">
        <v>9239.7070179267866</v>
      </c>
      <c r="AA106" s="159">
        <v>8714.8880478645551</v>
      </c>
      <c r="AB106" s="159">
        <v>9775.3093796894718</v>
      </c>
      <c r="AC106" s="159">
        <v>13983.37800539298</v>
      </c>
      <c r="AD106" s="159">
        <v>14164.860055256642</v>
      </c>
      <c r="AE106" s="159">
        <v>15125.85606462366</v>
      </c>
      <c r="AF106" s="160">
        <v>15280.910267369225</v>
      </c>
      <c r="AG106" s="160">
        <v>15283.297739775775</v>
      </c>
      <c r="AH106" s="160">
        <v>13358.176198606052</v>
      </c>
      <c r="AI106" s="160">
        <v>12418.039341559124</v>
      </c>
      <c r="AJ106" s="160">
        <v>12699.109371849088</v>
      </c>
      <c r="AK106" s="160">
        <v>12480.040724537255</v>
      </c>
      <c r="AL106" s="40"/>
      <c r="AM106" s="40"/>
      <c r="AN106" s="140">
        <f t="shared" si="4"/>
        <v>0.17258321369820839</v>
      </c>
      <c r="AO106" s="141"/>
      <c r="AP106" s="169"/>
      <c r="AQ106" s="169"/>
      <c r="AR106" s="169"/>
      <c r="AS106" s="140"/>
    </row>
    <row r="107" spans="1:105" s="112" customFormat="1" ht="15.75" customHeight="1">
      <c r="A107" s="245" t="s">
        <v>9</v>
      </c>
      <c r="B107" s="248" t="s">
        <v>72</v>
      </c>
      <c r="C107" s="233" t="s">
        <v>87</v>
      </c>
      <c r="D107" s="133" t="s">
        <v>85</v>
      </c>
      <c r="E107" s="157">
        <v>287167.88698659476</v>
      </c>
      <c r="F107" s="157">
        <v>295029.73665855837</v>
      </c>
      <c r="G107" s="157">
        <v>304420.79363535671</v>
      </c>
      <c r="H107" s="157">
        <v>294324.51318813395</v>
      </c>
      <c r="I107" s="157">
        <v>310444.38143097976</v>
      </c>
      <c r="J107" s="157">
        <v>326551.4404386899</v>
      </c>
      <c r="K107" s="157">
        <v>318102.55221660383</v>
      </c>
      <c r="L107" s="157">
        <v>332153.2917065614</v>
      </c>
      <c r="M107" s="157">
        <v>341671.95609036594</v>
      </c>
      <c r="N107" s="157">
        <v>367890.36922992609</v>
      </c>
      <c r="O107" s="157">
        <v>383089.25532104023</v>
      </c>
      <c r="P107" s="157">
        <v>381747.6526046613</v>
      </c>
      <c r="Q107" s="157">
        <v>400232.24710730201</v>
      </c>
      <c r="R107" s="157">
        <v>407218.79137738294</v>
      </c>
      <c r="S107" s="157">
        <v>422662.99608985207</v>
      </c>
      <c r="T107" s="157">
        <v>437729.75551541691</v>
      </c>
      <c r="U107" s="157">
        <v>431934.9786820049</v>
      </c>
      <c r="V107" s="157">
        <v>442634.88696170109</v>
      </c>
      <c r="W107" s="157">
        <v>408947.84280103154</v>
      </c>
      <c r="X107" s="157">
        <v>369597.917285754</v>
      </c>
      <c r="Y107" s="157">
        <v>354487.68940575491</v>
      </c>
      <c r="Z107" s="157">
        <v>354294.40906230686</v>
      </c>
      <c r="AA107" s="157">
        <v>347174.2106536011</v>
      </c>
      <c r="AB107" s="157">
        <v>319146.22014141141</v>
      </c>
      <c r="AC107" s="157">
        <v>320656.09328523325</v>
      </c>
      <c r="AD107" s="157">
        <v>332326.36313532299</v>
      </c>
      <c r="AE107" s="157">
        <v>320460.3210566279</v>
      </c>
      <c r="AF107" s="158">
        <v>333563.96040967596</v>
      </c>
      <c r="AG107" s="158">
        <v>327802.72916634509</v>
      </c>
      <c r="AH107" s="158">
        <v>308882.38900346356</v>
      </c>
      <c r="AI107" s="158">
        <v>270003.80857584468</v>
      </c>
      <c r="AJ107" s="158">
        <v>287875.56233831641</v>
      </c>
      <c r="AK107" s="158">
        <v>293602.38199027471</v>
      </c>
      <c r="AL107" s="41" t="s">
        <v>35</v>
      </c>
      <c r="AM107" s="41">
        <v>1990</v>
      </c>
      <c r="AN107" s="73">
        <f t="shared" si="4"/>
        <v>2.2406735903518049E-2</v>
      </c>
      <c r="AO107" s="36">
        <v>-0.2</v>
      </c>
      <c r="AP107" s="166">
        <v>1990</v>
      </c>
      <c r="AQ107" s="167">
        <v>-0.55000000000000004</v>
      </c>
      <c r="AR107" s="166">
        <v>2030</v>
      </c>
      <c r="AS107" s="137">
        <f>(AK107/E107)-1</f>
        <v>2.2406735903518049E-2</v>
      </c>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c r="CP107" s="110"/>
      <c r="CQ107" s="110"/>
      <c r="CR107" s="110"/>
      <c r="CS107" s="110"/>
      <c r="CT107" s="110"/>
      <c r="CU107" s="110"/>
      <c r="CV107" s="110"/>
      <c r="CW107" s="110"/>
      <c r="CX107" s="110"/>
      <c r="CY107" s="110"/>
      <c r="CZ107" s="110"/>
      <c r="DA107" s="110"/>
    </row>
    <row r="108" spans="1:105" s="112" customFormat="1" ht="15.75" customHeight="1">
      <c r="A108" s="246"/>
      <c r="B108" s="249"/>
      <c r="C108" s="234"/>
      <c r="D108" s="133" t="s">
        <v>86</v>
      </c>
      <c r="E108" s="157">
        <v>253275.02250598915</v>
      </c>
      <c r="F108" s="157">
        <v>260960.10731391716</v>
      </c>
      <c r="G108" s="157">
        <v>270198.92783333204</v>
      </c>
      <c r="H108" s="157">
        <v>258937.08368046422</v>
      </c>
      <c r="I108" s="157">
        <v>276295.01101818576</v>
      </c>
      <c r="J108" s="157">
        <v>290120.37850549747</v>
      </c>
      <c r="K108" s="157">
        <v>280865.04482865945</v>
      </c>
      <c r="L108" s="157">
        <v>294973.79145467357</v>
      </c>
      <c r="M108" s="157">
        <v>303809.72361899249</v>
      </c>
      <c r="N108" s="157">
        <v>326457.57924552186</v>
      </c>
      <c r="O108" s="157">
        <v>339696.69781695068</v>
      </c>
      <c r="P108" s="157">
        <v>336447.32348868606</v>
      </c>
      <c r="Q108" s="157">
        <v>355890.01391478442</v>
      </c>
      <c r="R108" s="157">
        <v>363345.10878682364</v>
      </c>
      <c r="S108" s="157">
        <v>377467.12521141773</v>
      </c>
      <c r="T108" s="157">
        <v>391710.05256605917</v>
      </c>
      <c r="U108" s="157">
        <v>383503.02795703441</v>
      </c>
      <c r="V108" s="157">
        <v>396909.92944192654</v>
      </c>
      <c r="W108" s="157">
        <v>363311.01952333242</v>
      </c>
      <c r="X108" s="157">
        <v>326285.81178593083</v>
      </c>
      <c r="Y108" s="157">
        <v>308626.1577950975</v>
      </c>
      <c r="Z108" s="157">
        <v>308970.20529910037</v>
      </c>
      <c r="AA108" s="157">
        <v>304390.04461234499</v>
      </c>
      <c r="AB108" s="157">
        <v>277170.76633613376</v>
      </c>
      <c r="AC108" s="157">
        <v>276773.7757593735</v>
      </c>
      <c r="AD108" s="157">
        <v>285968.31675358856</v>
      </c>
      <c r="AE108" s="157">
        <v>273858.53033375758</v>
      </c>
      <c r="AF108" s="158">
        <v>286455.91323279135</v>
      </c>
      <c r="AG108" s="158">
        <v>279845.39931498776</v>
      </c>
      <c r="AH108" s="158">
        <v>261894.1662847386</v>
      </c>
      <c r="AI108" s="158">
        <v>223528.99580330093</v>
      </c>
      <c r="AJ108" s="158">
        <v>240359.22505279875</v>
      </c>
      <c r="AK108" s="158">
        <v>246185.04006106214</v>
      </c>
      <c r="AL108" s="39"/>
      <c r="AM108" s="39"/>
      <c r="AN108" s="74">
        <f t="shared" si="4"/>
        <v>-2.7993216128366361E-2</v>
      </c>
      <c r="AO108" s="25"/>
      <c r="AP108" s="168"/>
      <c r="AQ108" s="168"/>
      <c r="AR108" s="168"/>
      <c r="AS108" s="103"/>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row>
    <row r="109" spans="1:105" s="112" customFormat="1" ht="15.75" customHeight="1">
      <c r="A109" s="246"/>
      <c r="B109" s="249"/>
      <c r="C109" s="235" t="s">
        <v>88</v>
      </c>
      <c r="D109" s="133" t="s">
        <v>85</v>
      </c>
      <c r="E109" s="157">
        <v>230174.10386531297</v>
      </c>
      <c r="F109" s="157">
        <v>240009.19052487708</v>
      </c>
      <c r="G109" s="157">
        <v>248411.67463995444</v>
      </c>
      <c r="H109" s="157">
        <v>239808.91591959671</v>
      </c>
      <c r="I109" s="157">
        <v>252047.02971658378</v>
      </c>
      <c r="J109" s="157">
        <v>265779.22963229456</v>
      </c>
      <c r="K109" s="157">
        <v>253237.16164110845</v>
      </c>
      <c r="L109" s="157">
        <v>265567.17400918872</v>
      </c>
      <c r="M109" s="157">
        <v>274317.80725554499</v>
      </c>
      <c r="N109" s="157">
        <v>297773.48776922445</v>
      </c>
      <c r="O109" s="157">
        <v>310071.57984098175</v>
      </c>
      <c r="P109" s="157">
        <v>311808.85954618792</v>
      </c>
      <c r="Q109" s="157">
        <v>331950.08024774515</v>
      </c>
      <c r="R109" s="157">
        <v>336332.56511968427</v>
      </c>
      <c r="S109" s="157">
        <v>353011.40776738222</v>
      </c>
      <c r="T109" s="157">
        <v>368338.81823623396</v>
      </c>
      <c r="U109" s="157">
        <v>359654.34002726979</v>
      </c>
      <c r="V109" s="157">
        <v>367400.55361130845</v>
      </c>
      <c r="W109" s="157">
        <v>335888.90458050714</v>
      </c>
      <c r="X109" s="157">
        <v>296501.38663445855</v>
      </c>
      <c r="Y109" s="157">
        <v>282938.44738532405</v>
      </c>
      <c r="Z109" s="157">
        <v>283800.59660679474</v>
      </c>
      <c r="AA109" s="157">
        <v>278061.20251862152</v>
      </c>
      <c r="AB109" s="157">
        <v>251941.7475341275</v>
      </c>
      <c r="AC109" s="157">
        <v>254181.20675468291</v>
      </c>
      <c r="AD109" s="157">
        <v>270740.24124642706</v>
      </c>
      <c r="AE109" s="157">
        <v>259624.90492513895</v>
      </c>
      <c r="AF109" s="158">
        <v>273579.83981994062</v>
      </c>
      <c r="AG109" s="158">
        <v>268589.91646227322</v>
      </c>
      <c r="AH109" s="158">
        <v>250596.07106552535</v>
      </c>
      <c r="AI109" s="158">
        <v>211842.60745619424</v>
      </c>
      <c r="AJ109" s="158">
        <v>229069.37709509817</v>
      </c>
      <c r="AK109" s="158">
        <v>234657.02274971487</v>
      </c>
      <c r="AL109" s="39"/>
      <c r="AM109" s="39"/>
      <c r="AN109" s="74">
        <f t="shared" si="4"/>
        <v>1.9476208700806241E-2</v>
      </c>
      <c r="AO109" s="25"/>
      <c r="AP109" s="168"/>
      <c r="AQ109" s="168"/>
      <c r="AR109" s="168"/>
      <c r="AS109" s="103"/>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row>
    <row r="110" spans="1:105" s="112" customFormat="1" ht="15.75" customHeight="1">
      <c r="A110" s="247"/>
      <c r="B110" s="250"/>
      <c r="C110" s="236"/>
      <c r="D110" s="148" t="s">
        <v>86</v>
      </c>
      <c r="E110" s="159">
        <v>195446.42805078096</v>
      </c>
      <c r="F110" s="159">
        <v>204908.17253914906</v>
      </c>
      <c r="G110" s="159">
        <v>213606.66652891695</v>
      </c>
      <c r="H110" s="159">
        <v>203913.8888161229</v>
      </c>
      <c r="I110" s="159">
        <v>216443.88949675852</v>
      </c>
      <c r="J110" s="159">
        <v>228645.58096730142</v>
      </c>
      <c r="K110" s="159">
        <v>215561.71028236448</v>
      </c>
      <c r="L110" s="159">
        <v>227810.9972946326</v>
      </c>
      <c r="M110" s="159">
        <v>235794.90868566034</v>
      </c>
      <c r="N110" s="159">
        <v>255829.5402734378</v>
      </c>
      <c r="O110" s="159">
        <v>265847.37023304409</v>
      </c>
      <c r="P110" s="159">
        <v>265973.0061225692</v>
      </c>
      <c r="Q110" s="159">
        <v>287018.0557966684</v>
      </c>
      <c r="R110" s="159">
        <v>291742.0439958967</v>
      </c>
      <c r="S110" s="159">
        <v>307116.83297285234</v>
      </c>
      <c r="T110" s="159">
        <v>321474.46703335491</v>
      </c>
      <c r="U110" s="159">
        <v>310429.22256757086</v>
      </c>
      <c r="V110" s="159">
        <v>321177.40316206275</v>
      </c>
      <c r="W110" s="159">
        <v>289833.08472775255</v>
      </c>
      <c r="X110" s="159">
        <v>252566.48344572747</v>
      </c>
      <c r="Y110" s="159">
        <v>236648.30884084429</v>
      </c>
      <c r="Z110" s="159">
        <v>237909.86891654166</v>
      </c>
      <c r="AA110" s="159">
        <v>234365.31221701275</v>
      </c>
      <c r="AB110" s="159">
        <v>209540.22962151965</v>
      </c>
      <c r="AC110" s="159">
        <v>209920.97208172895</v>
      </c>
      <c r="AD110" s="159">
        <v>223820.0658803003</v>
      </c>
      <c r="AE110" s="159">
        <v>212604.23610257235</v>
      </c>
      <c r="AF110" s="160">
        <v>225721.14953059104</v>
      </c>
      <c r="AG110" s="160">
        <v>220342.06920483278</v>
      </c>
      <c r="AH110" s="160">
        <v>203197.66265486099</v>
      </c>
      <c r="AI110" s="160">
        <v>165050.83970103529</v>
      </c>
      <c r="AJ110" s="160">
        <v>181192.30804390524</v>
      </c>
      <c r="AK110" s="160">
        <v>186787.50182937368</v>
      </c>
      <c r="AL110" s="40"/>
      <c r="AM110" s="40"/>
      <c r="AN110" s="75">
        <f t="shared" si="4"/>
        <v>-4.4303322950253743E-2</v>
      </c>
      <c r="AO110" s="32"/>
      <c r="AP110" s="169"/>
      <c r="AQ110" s="169"/>
      <c r="AR110" s="169"/>
      <c r="AS110" s="14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c r="CP110" s="110"/>
      <c r="CQ110" s="110"/>
      <c r="CR110" s="110"/>
      <c r="CS110" s="110"/>
      <c r="CT110" s="110"/>
      <c r="CU110" s="110"/>
      <c r="CV110" s="110"/>
      <c r="CW110" s="110"/>
      <c r="CX110" s="110"/>
      <c r="CY110" s="110"/>
      <c r="CZ110" s="110"/>
      <c r="DA110" s="110"/>
    </row>
    <row r="111" spans="1:105" s="112" customFormat="1" ht="15.75" customHeight="1">
      <c r="A111" s="245" t="s">
        <v>9</v>
      </c>
      <c r="B111" s="248" t="s">
        <v>73</v>
      </c>
      <c r="C111" s="233" t="s">
        <v>87</v>
      </c>
      <c r="D111" s="133" t="s">
        <v>85</v>
      </c>
      <c r="E111" s="157">
        <v>71263.210016462923</v>
      </c>
      <c r="F111" s="157">
        <v>71376.29825568074</v>
      </c>
      <c r="G111" s="157">
        <v>71030.166795979065</v>
      </c>
      <c r="H111" s="157">
        <v>71244.674741845811</v>
      </c>
      <c r="I111" s="157">
        <v>73718.19111698799</v>
      </c>
      <c r="J111" s="157">
        <v>73101.109469175601</v>
      </c>
      <c r="K111" s="157">
        <v>77005.380164126953</v>
      </c>
      <c r="L111" s="157">
        <v>72110.875970892725</v>
      </c>
      <c r="M111" s="157">
        <v>72501.148815103006</v>
      </c>
      <c r="N111" s="157">
        <v>69365.293749364151</v>
      </c>
      <c r="O111" s="157">
        <v>68112.873008774855</v>
      </c>
      <c r="P111" s="157">
        <v>68890.983823667164</v>
      </c>
      <c r="Q111" s="157">
        <v>69499.447175130874</v>
      </c>
      <c r="R111" s="157">
        <v>69834.789517899539</v>
      </c>
      <c r="S111" s="157">
        <v>69173.645073676424</v>
      </c>
      <c r="T111" s="157">
        <v>66304.981650306378</v>
      </c>
      <c r="U111" s="157">
        <v>65948.584368277734</v>
      </c>
      <c r="V111" s="157">
        <v>64812.490733198094</v>
      </c>
      <c r="W111" s="157">
        <v>62406.084509394102</v>
      </c>
      <c r="X111" s="157">
        <v>58174.194793495655</v>
      </c>
      <c r="Y111" s="157">
        <v>64156.927341746537</v>
      </c>
      <c r="Z111" s="157">
        <v>59800.408632036328</v>
      </c>
      <c r="AA111" s="157">
        <v>56899.500465221987</v>
      </c>
      <c r="AB111" s="157">
        <v>49133.43750721871</v>
      </c>
      <c r="AC111" s="157">
        <v>48551.079397221707</v>
      </c>
      <c r="AD111" s="157">
        <v>51204.988719325855</v>
      </c>
      <c r="AE111" s="157">
        <v>49889.002633568467</v>
      </c>
      <c r="AF111" s="158">
        <v>48775.474806605285</v>
      </c>
      <c r="AG111" s="158">
        <v>47929.865931384636</v>
      </c>
      <c r="AH111" s="158">
        <v>44524.41277266058</v>
      </c>
      <c r="AI111" s="158">
        <v>40280.766565556201</v>
      </c>
      <c r="AJ111" s="158">
        <v>46543.138482696922</v>
      </c>
      <c r="AK111" s="158">
        <v>37803.156181999286</v>
      </c>
      <c r="AL111" s="41" t="s">
        <v>35</v>
      </c>
      <c r="AM111" s="41">
        <v>1990</v>
      </c>
      <c r="AN111" s="73">
        <f t="shared" si="4"/>
        <v>-0.46952773846047402</v>
      </c>
      <c r="AO111" s="36">
        <v>-0.2</v>
      </c>
      <c r="AP111" s="166">
        <v>1990</v>
      </c>
      <c r="AQ111" s="167">
        <v>-0.55000000000000004</v>
      </c>
      <c r="AR111" s="166">
        <v>2030</v>
      </c>
      <c r="AS111" s="137">
        <f>(AK111/E111)-1</f>
        <v>-0.46952773846047402</v>
      </c>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c r="CP111" s="110"/>
      <c r="CQ111" s="110"/>
      <c r="CR111" s="110"/>
      <c r="CS111" s="110"/>
      <c r="CT111" s="110"/>
      <c r="CU111" s="110"/>
      <c r="CV111" s="110"/>
      <c r="CW111" s="110"/>
      <c r="CX111" s="110"/>
      <c r="CY111" s="110"/>
      <c r="CZ111" s="110"/>
      <c r="DA111" s="110"/>
    </row>
    <row r="112" spans="1:105" s="112" customFormat="1" ht="15.75" customHeight="1">
      <c r="A112" s="246"/>
      <c r="B112" s="249"/>
      <c r="C112" s="234"/>
      <c r="D112" s="133" t="s">
        <v>86</v>
      </c>
      <c r="E112" s="157">
        <v>19873.513431456882</v>
      </c>
      <c r="F112" s="157">
        <v>20227.81643879267</v>
      </c>
      <c r="G112" s="157">
        <v>20857.376681815356</v>
      </c>
      <c r="H112" s="157">
        <v>24995.369776547624</v>
      </c>
      <c r="I112" s="157">
        <v>25960.494196894702</v>
      </c>
      <c r="J112" s="157">
        <v>25287.435318508691</v>
      </c>
      <c r="K112" s="157">
        <v>27100.735388811783</v>
      </c>
      <c r="L112" s="157">
        <v>20922.517294028963</v>
      </c>
      <c r="M112" s="157">
        <v>20724.408554541817</v>
      </c>
      <c r="N112" s="157">
        <v>17281.617468412271</v>
      </c>
      <c r="O112" s="157">
        <v>14779.208813840949</v>
      </c>
      <c r="P112" s="157">
        <v>14670.689044281053</v>
      </c>
      <c r="Q112" s="157">
        <v>15603.284632320856</v>
      </c>
      <c r="R112" s="157">
        <v>17982.4503939971</v>
      </c>
      <c r="S112" s="157">
        <v>20206.342998392964</v>
      </c>
      <c r="T112" s="157">
        <v>15621.595385838271</v>
      </c>
      <c r="U112" s="157">
        <v>10842.289536557326</v>
      </c>
      <c r="V112" s="157">
        <v>9956.5981569263877</v>
      </c>
      <c r="W112" s="157">
        <v>7773.919577525241</v>
      </c>
      <c r="X112" s="157">
        <v>4579.8586104163442</v>
      </c>
      <c r="Y112" s="157">
        <v>7343.2710000536035</v>
      </c>
      <c r="Z112" s="157">
        <v>3899.4728769027824</v>
      </c>
      <c r="AA112" s="157">
        <v>1348.2702909834727</v>
      </c>
      <c r="AB112" s="157">
        <v>-7478.3630503763034</v>
      </c>
      <c r="AC112" s="157">
        <v>-6435.4891113907324</v>
      </c>
      <c r="AD112" s="157">
        <v>-1136.3976718543522</v>
      </c>
      <c r="AE112" s="157">
        <v>-1384.0115095008698</v>
      </c>
      <c r="AF112" s="158">
        <v>4072.3853894070617</v>
      </c>
      <c r="AG112" s="158">
        <v>9319.8372570699084</v>
      </c>
      <c r="AH112" s="158">
        <v>4011.1339515927666</v>
      </c>
      <c r="AI112" s="158">
        <v>-2761.9145369840626</v>
      </c>
      <c r="AJ112" s="158">
        <v>2952.196531605643</v>
      </c>
      <c r="AK112" s="158">
        <v>-3414.4568811025079</v>
      </c>
      <c r="AL112" s="39"/>
      <c r="AM112" s="39"/>
      <c r="AN112" s="74">
        <f t="shared" si="4"/>
        <v>-1.1718094232747955</v>
      </c>
      <c r="AO112" s="25"/>
      <c r="AP112" s="168"/>
      <c r="AQ112" s="168"/>
      <c r="AR112" s="168"/>
      <c r="AS112" s="103"/>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c r="CP112" s="110"/>
      <c r="CQ112" s="110"/>
      <c r="CR112" s="110"/>
      <c r="CS112" s="110"/>
      <c r="CT112" s="110"/>
      <c r="CU112" s="110"/>
      <c r="CV112" s="110"/>
      <c r="CW112" s="110"/>
      <c r="CX112" s="110"/>
      <c r="CY112" s="110"/>
      <c r="CZ112" s="110"/>
      <c r="DA112" s="110"/>
    </row>
    <row r="113" spans="1:105" s="112" customFormat="1" ht="15.75" customHeight="1">
      <c r="A113" s="246"/>
      <c r="B113" s="249"/>
      <c r="C113" s="235" t="s">
        <v>88</v>
      </c>
      <c r="D113" s="133" t="s">
        <v>85</v>
      </c>
      <c r="E113" s="157">
        <v>57520.480824169084</v>
      </c>
      <c r="F113" s="157">
        <v>57751.217923025826</v>
      </c>
      <c r="G113" s="157">
        <v>57578.297648587744</v>
      </c>
      <c r="H113" s="157">
        <v>57571.903381455704</v>
      </c>
      <c r="I113" s="157">
        <v>60025.654903706549</v>
      </c>
      <c r="J113" s="157">
        <v>59511.809448959219</v>
      </c>
      <c r="K113" s="157">
        <v>63381.058162666406</v>
      </c>
      <c r="L113" s="157">
        <v>58383.135056894018</v>
      </c>
      <c r="M113" s="157">
        <v>58801.791826264518</v>
      </c>
      <c r="N113" s="157">
        <v>55981.562665935366</v>
      </c>
      <c r="O113" s="157">
        <v>54930.043409004371</v>
      </c>
      <c r="P113" s="157">
        <v>55837.56579490428</v>
      </c>
      <c r="Q113" s="157">
        <v>56685.393804195141</v>
      </c>
      <c r="R113" s="157">
        <v>57292.191114546535</v>
      </c>
      <c r="S113" s="157">
        <v>56516.88811270443</v>
      </c>
      <c r="T113" s="157">
        <v>53875.298075393039</v>
      </c>
      <c r="U113" s="157">
        <v>53737.864446387073</v>
      </c>
      <c r="V113" s="157">
        <v>52993.881313791404</v>
      </c>
      <c r="W113" s="157">
        <v>50866.403923706435</v>
      </c>
      <c r="X113" s="157">
        <v>47238.340268346277</v>
      </c>
      <c r="Y113" s="157">
        <v>53119.860206349527</v>
      </c>
      <c r="Z113" s="157">
        <v>49210.6258258866</v>
      </c>
      <c r="AA113" s="157">
        <v>46711.966209778191</v>
      </c>
      <c r="AB113" s="157">
        <v>39173.365230845498</v>
      </c>
      <c r="AC113" s="157">
        <v>38566.498311205287</v>
      </c>
      <c r="AD113" s="157">
        <v>41307.255390740822</v>
      </c>
      <c r="AE113" s="157">
        <v>40113.550048322759</v>
      </c>
      <c r="AF113" s="158">
        <v>38923.555367057204</v>
      </c>
      <c r="AG113" s="158">
        <v>38476.381706014254</v>
      </c>
      <c r="AH113" s="158">
        <v>35203.465471491021</v>
      </c>
      <c r="AI113" s="158">
        <v>31006.008124159194</v>
      </c>
      <c r="AJ113" s="158">
        <v>37460.736136657331</v>
      </c>
      <c r="AK113" s="158">
        <v>28831.586407985</v>
      </c>
      <c r="AL113" s="39"/>
      <c r="AM113" s="39"/>
      <c r="AN113" s="74">
        <f t="shared" si="4"/>
        <v>-0.49875964187228283</v>
      </c>
      <c r="AO113" s="25"/>
      <c r="AP113" s="168"/>
      <c r="AQ113" s="168"/>
      <c r="AR113" s="168"/>
      <c r="AS113" s="103"/>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c r="CP113" s="110"/>
      <c r="CQ113" s="110"/>
      <c r="CR113" s="110"/>
      <c r="CS113" s="110"/>
      <c r="CT113" s="110"/>
      <c r="CU113" s="110"/>
      <c r="CV113" s="110"/>
      <c r="CW113" s="110"/>
      <c r="CX113" s="110"/>
      <c r="CY113" s="110"/>
      <c r="CZ113" s="110"/>
      <c r="DA113" s="110"/>
    </row>
    <row r="114" spans="1:105" s="112" customFormat="1" ht="15" customHeight="1">
      <c r="A114" s="247"/>
      <c r="B114" s="250"/>
      <c r="C114" s="236"/>
      <c r="D114" s="148" t="s">
        <v>86</v>
      </c>
      <c r="E114" s="159">
        <v>4500.2772431680496</v>
      </c>
      <c r="F114" s="159">
        <v>4984.3287739227599</v>
      </c>
      <c r="G114" s="159">
        <v>5795.3260764090373</v>
      </c>
      <c r="H114" s="159">
        <v>9712.710344052517</v>
      </c>
      <c r="I114" s="159">
        <v>10659.938272948268</v>
      </c>
      <c r="J114" s="159">
        <v>10077.124034962304</v>
      </c>
      <c r="K114" s="159">
        <v>11858.141163911241</v>
      </c>
      <c r="L114" s="159">
        <v>5569.19848521526</v>
      </c>
      <c r="M114" s="159">
        <v>5405.6225382383345</v>
      </c>
      <c r="N114" s="159">
        <v>2266.756934813493</v>
      </c>
      <c r="O114" s="159">
        <v>-42.979926849526237</v>
      </c>
      <c r="P114" s="159">
        <v>-20.882237171834277</v>
      </c>
      <c r="Q114" s="159">
        <v>1151.9932839851244</v>
      </c>
      <c r="R114" s="159">
        <v>3809.4431921290961</v>
      </c>
      <c r="S114" s="159">
        <v>5928.7358345609682</v>
      </c>
      <c r="T114" s="159">
        <v>1583.2170177699372</v>
      </c>
      <c r="U114" s="159">
        <v>-2970.1293174083403</v>
      </c>
      <c r="V114" s="159">
        <v>-3436.2396940152976</v>
      </c>
      <c r="W114" s="159">
        <v>-5332.8567642674243</v>
      </c>
      <c r="X114" s="159">
        <v>-7883.7482967180404</v>
      </c>
      <c r="Y114" s="159">
        <v>-5234.3435948634069</v>
      </c>
      <c r="Z114" s="159">
        <v>-8164.8588577669434</v>
      </c>
      <c r="AA114" s="159">
        <v>-10246.525111265328</v>
      </c>
      <c r="AB114" s="159">
        <v>-18835.490934734516</v>
      </c>
      <c r="AC114" s="159">
        <v>-17864.470405372151</v>
      </c>
      <c r="AD114" s="159">
        <v>-12469.98695359438</v>
      </c>
      <c r="AE114" s="159">
        <v>-12601.46174446158</v>
      </c>
      <c r="AF114" s="160">
        <v>-7244.8658288360166</v>
      </c>
      <c r="AG114" s="160">
        <v>-1725.515102835474</v>
      </c>
      <c r="AH114" s="160">
        <v>-6873.1804237117904</v>
      </c>
      <c r="AI114" s="160">
        <v>-13590.343626256068</v>
      </c>
      <c r="AJ114" s="160">
        <v>-7710.1134176489504</v>
      </c>
      <c r="AK114" s="160">
        <v>-13956.626561391793</v>
      </c>
      <c r="AL114" s="40"/>
      <c r="AM114" s="40"/>
      <c r="AN114" s="75">
        <f t="shared" si="4"/>
        <v>-4.1012815005074614</v>
      </c>
      <c r="AO114" s="32"/>
      <c r="AP114" s="169"/>
      <c r="AQ114" s="169"/>
      <c r="AR114" s="169"/>
      <c r="AS114" s="14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c r="CP114" s="110"/>
      <c r="CQ114" s="110"/>
      <c r="CR114" s="110"/>
      <c r="CS114" s="110"/>
      <c r="CT114" s="110"/>
      <c r="CU114" s="110"/>
      <c r="CV114" s="110"/>
      <c r="CW114" s="110"/>
      <c r="CX114" s="110"/>
      <c r="CY114" s="110"/>
      <c r="CZ114" s="110"/>
      <c r="DA114" s="110"/>
    </row>
    <row r="115" spans="1:105" s="112" customFormat="1">
      <c r="A115" s="239" t="s">
        <v>26</v>
      </c>
      <c r="B115" s="242" t="s">
        <v>4</v>
      </c>
      <c r="C115" s="207" t="s">
        <v>87</v>
      </c>
      <c r="D115" s="133" t="s">
        <v>85</v>
      </c>
      <c r="E115" s="157">
        <v>437120</v>
      </c>
      <c r="F115" s="157">
        <v>437222</v>
      </c>
      <c r="G115" s="157">
        <v>441027</v>
      </c>
      <c r="H115" s="157">
        <v>441346</v>
      </c>
      <c r="I115" s="157">
        <v>441583</v>
      </c>
      <c r="J115" s="157">
        <v>450276</v>
      </c>
      <c r="K115" s="157">
        <v>456436</v>
      </c>
      <c r="L115" s="157">
        <v>468506</v>
      </c>
      <c r="M115" s="157">
        <v>482954</v>
      </c>
      <c r="N115" s="157">
        <v>488857</v>
      </c>
      <c r="O115" s="157">
        <v>500453</v>
      </c>
      <c r="P115" s="157">
        <v>508411</v>
      </c>
      <c r="Q115" s="157">
        <v>512028</v>
      </c>
      <c r="R115" s="157">
        <v>511249</v>
      </c>
      <c r="S115" s="157">
        <v>527977</v>
      </c>
      <c r="T115" s="157">
        <v>534477</v>
      </c>
      <c r="U115" s="157">
        <v>538698</v>
      </c>
      <c r="V115" s="157">
        <v>545915</v>
      </c>
      <c r="W115" s="157">
        <v>548837</v>
      </c>
      <c r="X115" s="157">
        <v>550629</v>
      </c>
      <c r="Y115" s="157">
        <v>545875</v>
      </c>
      <c r="Z115" s="157">
        <v>547539</v>
      </c>
      <c r="AA115" s="157">
        <v>550596</v>
      </c>
      <c r="AB115" s="157">
        <v>542519</v>
      </c>
      <c r="AC115" s="157">
        <v>534092</v>
      </c>
      <c r="AD115" s="157">
        <v>543340</v>
      </c>
      <c r="AE115" s="157">
        <v>551589</v>
      </c>
      <c r="AF115" s="158">
        <v>558300</v>
      </c>
      <c r="AG115" s="158">
        <v>560031</v>
      </c>
      <c r="AH115" s="158">
        <v>554209</v>
      </c>
      <c r="AI115" s="158">
        <v>535776</v>
      </c>
      <c r="AJ115" s="158">
        <v>527276</v>
      </c>
      <c r="AK115" s="158">
        <v>520995</v>
      </c>
      <c r="AL115" s="41" t="s">
        <v>31</v>
      </c>
      <c r="AM115" s="41">
        <v>2000</v>
      </c>
      <c r="AN115" s="73">
        <f>(AK115/O115)-1</f>
        <v>4.1046811588700605E-2</v>
      </c>
      <c r="AO115" s="38">
        <v>-5.0000000000000001E-3</v>
      </c>
      <c r="AP115" s="166">
        <v>2005</v>
      </c>
      <c r="AQ115" s="170" t="s">
        <v>159</v>
      </c>
      <c r="AR115" s="166">
        <v>2030</v>
      </c>
      <c r="AS115" s="137">
        <f>(AK115/T115)-1</f>
        <v>-2.52246588721311E-2</v>
      </c>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c r="CP115" s="110"/>
      <c r="CQ115" s="110"/>
      <c r="CR115" s="110"/>
      <c r="CS115" s="110"/>
      <c r="CT115" s="110"/>
      <c r="CU115" s="110"/>
      <c r="CV115" s="110"/>
      <c r="CW115" s="110"/>
      <c r="CX115" s="110"/>
      <c r="CY115" s="110"/>
      <c r="CZ115" s="110"/>
      <c r="DA115" s="110"/>
    </row>
    <row r="116" spans="1:105" s="112" customFormat="1">
      <c r="A116" s="240"/>
      <c r="B116" s="243"/>
      <c r="C116" s="208"/>
      <c r="D116" s="133" t="s">
        <v>86</v>
      </c>
      <c r="E116" s="157">
        <v>615387</v>
      </c>
      <c r="F116" s="157">
        <v>594992</v>
      </c>
      <c r="G116" s="157">
        <v>554506</v>
      </c>
      <c r="H116" s="157">
        <v>533504</v>
      </c>
      <c r="I116" s="157">
        <v>523368</v>
      </c>
      <c r="J116" s="157">
        <v>510973</v>
      </c>
      <c r="K116" s="157">
        <v>512169</v>
      </c>
      <c r="L116" s="157">
        <v>510321</v>
      </c>
      <c r="M116" s="157">
        <v>527929</v>
      </c>
      <c r="N116" s="157">
        <v>548328</v>
      </c>
      <c r="O116" s="157">
        <v>569826</v>
      </c>
      <c r="P116" s="157">
        <v>586480</v>
      </c>
      <c r="Q116" s="157">
        <v>590984</v>
      </c>
      <c r="R116" s="157">
        <v>590523</v>
      </c>
      <c r="S116" s="157">
        <v>574702</v>
      </c>
      <c r="T116" s="157">
        <v>609446</v>
      </c>
      <c r="U116" s="157">
        <v>644924</v>
      </c>
      <c r="V116" s="157">
        <v>626120</v>
      </c>
      <c r="W116" s="157">
        <v>614649</v>
      </c>
      <c r="X116" s="157">
        <v>607868</v>
      </c>
      <c r="Y116" s="157">
        <v>609169</v>
      </c>
      <c r="Z116" s="157">
        <v>577598</v>
      </c>
      <c r="AA116" s="157">
        <v>554652</v>
      </c>
      <c r="AB116" s="157">
        <v>557099</v>
      </c>
      <c r="AC116" s="157">
        <v>538319</v>
      </c>
      <c r="AD116" s="157">
        <v>533688</v>
      </c>
      <c r="AE116" s="157">
        <v>491065</v>
      </c>
      <c r="AF116" s="158">
        <v>528911</v>
      </c>
      <c r="AG116" s="158">
        <v>501666</v>
      </c>
      <c r="AH116" s="158">
        <v>490706</v>
      </c>
      <c r="AI116" s="158">
        <v>474544</v>
      </c>
      <c r="AJ116" s="158">
        <v>438745</v>
      </c>
      <c r="AK116" s="158">
        <v>432621</v>
      </c>
      <c r="AL116" s="39"/>
      <c r="AM116" s="39"/>
      <c r="AN116" s="74">
        <f>(AK116/O116)-1</f>
        <v>-0.24078402880879424</v>
      </c>
      <c r="AO116" s="25"/>
      <c r="AP116" s="168"/>
      <c r="AQ116" s="168"/>
      <c r="AR116" s="168"/>
      <c r="AS116" s="103"/>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c r="CP116" s="110"/>
      <c r="CQ116" s="110"/>
      <c r="CR116" s="110"/>
      <c r="CS116" s="110"/>
      <c r="CT116" s="110"/>
      <c r="CU116" s="110"/>
      <c r="CV116" s="110"/>
      <c r="CW116" s="110"/>
      <c r="CX116" s="110"/>
      <c r="CY116" s="110"/>
      <c r="CZ116" s="110"/>
      <c r="DA116" s="110"/>
    </row>
    <row r="117" spans="1:105" s="112" customFormat="1">
      <c r="A117" s="240"/>
      <c r="B117" s="243"/>
      <c r="C117" s="209" t="s">
        <v>88</v>
      </c>
      <c r="D117" s="133" t="s">
        <v>85</v>
      </c>
      <c r="E117" s="157">
        <v>278160</v>
      </c>
      <c r="F117" s="157">
        <v>279534</v>
      </c>
      <c r="G117" s="157">
        <v>284529</v>
      </c>
      <c r="H117" s="157">
        <v>288874</v>
      </c>
      <c r="I117" s="157">
        <v>293701</v>
      </c>
      <c r="J117" s="157">
        <v>305056</v>
      </c>
      <c r="K117" s="157">
        <v>311941</v>
      </c>
      <c r="L117" s="157">
        <v>320333</v>
      </c>
      <c r="M117" s="157">
        <v>334136</v>
      </c>
      <c r="N117" s="157">
        <v>343959</v>
      </c>
      <c r="O117" s="157">
        <v>350008</v>
      </c>
      <c r="P117" s="157">
        <v>357784</v>
      </c>
      <c r="Q117" s="157">
        <v>362537</v>
      </c>
      <c r="R117" s="157">
        <v>369630</v>
      </c>
      <c r="S117" s="157">
        <v>383159</v>
      </c>
      <c r="T117" s="157">
        <v>386176</v>
      </c>
      <c r="U117" s="157">
        <v>392360</v>
      </c>
      <c r="V117" s="157">
        <v>399475</v>
      </c>
      <c r="W117" s="157">
        <v>404840</v>
      </c>
      <c r="X117" s="157">
        <v>407094</v>
      </c>
      <c r="Y117" s="157">
        <v>405131</v>
      </c>
      <c r="Z117" s="157">
        <v>403858</v>
      </c>
      <c r="AA117" s="157">
        <v>406197</v>
      </c>
      <c r="AB117" s="157">
        <v>399068</v>
      </c>
      <c r="AC117" s="157">
        <v>392729</v>
      </c>
      <c r="AD117" s="157">
        <v>401497</v>
      </c>
      <c r="AE117" s="157">
        <v>410388</v>
      </c>
      <c r="AF117" s="158">
        <v>413818</v>
      </c>
      <c r="AG117" s="158">
        <v>415591</v>
      </c>
      <c r="AH117" s="158">
        <v>415770</v>
      </c>
      <c r="AI117" s="158">
        <v>399184</v>
      </c>
      <c r="AJ117" s="158">
        <v>389020</v>
      </c>
      <c r="AK117" s="158">
        <v>384362</v>
      </c>
      <c r="AL117" s="39"/>
      <c r="AM117" s="39"/>
      <c r="AN117" s="74">
        <f>(AK117/O117)-1</f>
        <v>9.8152042239034509E-2</v>
      </c>
      <c r="AO117" s="25"/>
      <c r="AP117" s="168"/>
      <c r="AQ117" s="168"/>
      <c r="AR117" s="168"/>
      <c r="AS117" s="103"/>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c r="CP117" s="110"/>
      <c r="CQ117" s="110"/>
      <c r="CR117" s="110"/>
      <c r="CS117" s="110"/>
      <c r="CT117" s="110"/>
      <c r="CU117" s="110"/>
      <c r="CV117" s="110"/>
      <c r="CW117" s="110"/>
      <c r="CX117" s="110"/>
      <c r="CY117" s="110"/>
      <c r="CZ117" s="110"/>
      <c r="DA117" s="110"/>
    </row>
    <row r="118" spans="1:105" s="112" customFormat="1">
      <c r="A118" s="241"/>
      <c r="B118" s="244"/>
      <c r="C118" s="210"/>
      <c r="D118" s="148" t="s">
        <v>86</v>
      </c>
      <c r="E118" s="159">
        <v>431510</v>
      </c>
      <c r="F118" s="159">
        <v>413318</v>
      </c>
      <c r="G118" s="159">
        <v>375937</v>
      </c>
      <c r="H118" s="159">
        <v>359755</v>
      </c>
      <c r="I118" s="159">
        <v>354738</v>
      </c>
      <c r="J118" s="159">
        <v>345200</v>
      </c>
      <c r="K118" s="159">
        <v>345876</v>
      </c>
      <c r="L118" s="159">
        <v>340403</v>
      </c>
      <c r="M118" s="159">
        <v>357127</v>
      </c>
      <c r="N118" s="159">
        <v>379961</v>
      </c>
      <c r="O118" s="159">
        <v>393288</v>
      </c>
      <c r="P118" s="159">
        <v>410626</v>
      </c>
      <c r="Q118" s="159">
        <v>415879</v>
      </c>
      <c r="R118" s="159">
        <v>423081</v>
      </c>
      <c r="S118" s="159">
        <v>406361</v>
      </c>
      <c r="T118" s="159">
        <v>437317</v>
      </c>
      <c r="U118" s="159">
        <v>473020</v>
      </c>
      <c r="V118" s="159">
        <v>453220</v>
      </c>
      <c r="W118" s="159">
        <v>445086</v>
      </c>
      <c r="X118" s="159">
        <v>438634</v>
      </c>
      <c r="Y118" s="159">
        <v>442716</v>
      </c>
      <c r="Z118" s="159">
        <v>407763</v>
      </c>
      <c r="AA118" s="159">
        <v>385962</v>
      </c>
      <c r="AB118" s="159">
        <v>389542</v>
      </c>
      <c r="AC118" s="159">
        <v>372215</v>
      </c>
      <c r="AD118" s="159">
        <v>368260</v>
      </c>
      <c r="AE118" s="159">
        <v>327830</v>
      </c>
      <c r="AF118" s="160">
        <v>362225</v>
      </c>
      <c r="AG118" s="160">
        <v>337302</v>
      </c>
      <c r="AH118" s="160">
        <v>333157</v>
      </c>
      <c r="AI118" s="160">
        <v>320425</v>
      </c>
      <c r="AJ118" s="160">
        <v>283374</v>
      </c>
      <c r="AK118" s="160">
        <v>278682</v>
      </c>
      <c r="AL118" s="40"/>
      <c r="AM118" s="40"/>
      <c r="AN118" s="75">
        <f>(AK118/O118)-1</f>
        <v>-0.29140477207542559</v>
      </c>
      <c r="AO118" s="32"/>
      <c r="AP118" s="169"/>
      <c r="AQ118" s="169"/>
      <c r="AR118" s="169"/>
      <c r="AS118" s="14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c r="CP118" s="110"/>
      <c r="CQ118" s="110"/>
      <c r="CR118" s="110"/>
      <c r="CS118" s="110"/>
      <c r="CT118" s="110"/>
      <c r="CU118" s="110"/>
      <c r="CV118" s="110"/>
      <c r="CW118" s="110"/>
      <c r="CX118" s="110"/>
      <c r="CY118" s="110"/>
      <c r="CZ118" s="110"/>
      <c r="DA118" s="110"/>
    </row>
    <row r="119" spans="1:105" s="112" customFormat="1">
      <c r="A119" s="239" t="s">
        <v>26</v>
      </c>
      <c r="B119" s="242" t="s">
        <v>74</v>
      </c>
      <c r="C119" s="207" t="s">
        <v>87</v>
      </c>
      <c r="D119" s="133" t="s">
        <v>85</v>
      </c>
      <c r="E119" s="157">
        <v>146017.39674747791</v>
      </c>
      <c r="F119" s="157">
        <v>140280.31255995255</v>
      </c>
      <c r="G119" s="157">
        <v>126622.57387992073</v>
      </c>
      <c r="H119" s="157">
        <v>112913.07224138058</v>
      </c>
      <c r="I119" s="157">
        <v>97041.080022557609</v>
      </c>
      <c r="J119" s="157">
        <v>88585.630343110592</v>
      </c>
      <c r="K119" s="157">
        <v>89273.855310795567</v>
      </c>
      <c r="L119" s="157">
        <v>89488.082886593969</v>
      </c>
      <c r="M119" s="157">
        <v>88248.484802827021</v>
      </c>
      <c r="N119" s="157">
        <v>84738.827718571309</v>
      </c>
      <c r="O119" s="157">
        <v>81594.486214268982</v>
      </c>
      <c r="P119" s="157">
        <v>80277.211131886346</v>
      </c>
      <c r="Q119" s="157">
        <v>79609.543614631955</v>
      </c>
      <c r="R119" s="157">
        <v>81338.269508075085</v>
      </c>
      <c r="S119" s="157">
        <v>84962.014290211446</v>
      </c>
      <c r="T119" s="157">
        <v>86916.64074303364</v>
      </c>
      <c r="U119" s="157">
        <v>90224.742654332964</v>
      </c>
      <c r="V119" s="157">
        <v>88655.261854059208</v>
      </c>
      <c r="W119" s="157">
        <v>92082.616250806459</v>
      </c>
      <c r="X119" s="157">
        <v>90071.633848031066</v>
      </c>
      <c r="Y119" s="157">
        <v>92325.186645973925</v>
      </c>
      <c r="Z119" s="157">
        <v>91629.619041174679</v>
      </c>
      <c r="AA119" s="157">
        <v>92781.425007289741</v>
      </c>
      <c r="AB119" s="157">
        <v>94773.345353007811</v>
      </c>
      <c r="AC119" s="157">
        <v>93715.947131051274</v>
      </c>
      <c r="AD119" s="157">
        <v>88595.921134964476</v>
      </c>
      <c r="AE119" s="157">
        <v>87817.885405278503</v>
      </c>
      <c r="AF119" s="158">
        <v>89465.982861779674</v>
      </c>
      <c r="AG119" s="158">
        <v>92398.999331154613</v>
      </c>
      <c r="AH119" s="158">
        <v>92546.86980072163</v>
      </c>
      <c r="AI119" s="158">
        <v>90095.943040208658</v>
      </c>
      <c r="AJ119" s="158">
        <v>92147.074887508847</v>
      </c>
      <c r="AK119" s="158">
        <v>88357.338609718019</v>
      </c>
      <c r="AL119" s="41" t="s">
        <v>32</v>
      </c>
      <c r="AM119" s="41">
        <v>1990</v>
      </c>
      <c r="AN119" s="73">
        <f t="shared" ref="AN119:AN126" si="5">(AK119/E119)-1</f>
        <v>-0.39488485223084091</v>
      </c>
      <c r="AO119" s="36">
        <v>-0.12</v>
      </c>
      <c r="AP119" s="166">
        <v>1990</v>
      </c>
      <c r="AQ119" s="170" t="s">
        <v>160</v>
      </c>
      <c r="AR119" s="166">
        <v>2030</v>
      </c>
      <c r="AS119" s="137">
        <f>(AK119/E119)-1</f>
        <v>-0.39488485223084091</v>
      </c>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c r="CP119" s="110"/>
      <c r="CQ119" s="110"/>
      <c r="CR119" s="110"/>
      <c r="CS119" s="110"/>
      <c r="CT119" s="110"/>
      <c r="CU119" s="110"/>
      <c r="CV119" s="110"/>
      <c r="CW119" s="110"/>
      <c r="CX119" s="110"/>
      <c r="CY119" s="110"/>
      <c r="CZ119" s="110"/>
      <c r="DA119" s="110"/>
    </row>
    <row r="120" spans="1:105" s="112" customFormat="1">
      <c r="A120" s="240"/>
      <c r="B120" s="243"/>
      <c r="C120" s="208"/>
      <c r="D120" s="133" t="s">
        <v>86</v>
      </c>
      <c r="E120" s="157">
        <v>126181.93168080939</v>
      </c>
      <c r="F120" s="157">
        <v>118124.47082661715</v>
      </c>
      <c r="G120" s="157">
        <v>105042.3082132519</v>
      </c>
      <c r="H120" s="157">
        <v>96958.175608045727</v>
      </c>
      <c r="I120" s="157">
        <v>71798.641222555249</v>
      </c>
      <c r="J120" s="157">
        <v>62632.792743108148</v>
      </c>
      <c r="K120" s="157">
        <v>63991.515177459842</v>
      </c>
      <c r="L120" s="157">
        <v>65064.736819925027</v>
      </c>
      <c r="M120" s="157">
        <v>65354.693402824865</v>
      </c>
      <c r="N120" s="157">
        <v>55947.135518568612</v>
      </c>
      <c r="O120" s="157">
        <v>51594.870880932853</v>
      </c>
      <c r="P120" s="157">
        <v>51469.845698550329</v>
      </c>
      <c r="Q120" s="157">
        <v>52455.720581296031</v>
      </c>
      <c r="R120" s="157">
        <v>56777.461974739417</v>
      </c>
      <c r="S120" s="157">
        <v>57930.292890208904</v>
      </c>
      <c r="T120" s="157">
        <v>58225.960776364293</v>
      </c>
      <c r="U120" s="157">
        <v>58771.738487663351</v>
      </c>
      <c r="V120" s="157">
        <v>55138.093854056082</v>
      </c>
      <c r="W120" s="157">
        <v>58558.483750803331</v>
      </c>
      <c r="X120" s="157">
        <v>52607.405714694243</v>
      </c>
      <c r="Y120" s="157">
        <v>51471.311679303486</v>
      </c>
      <c r="Z120" s="157">
        <v>51763.60267450432</v>
      </c>
      <c r="AA120" s="157">
        <v>54566.284907286179</v>
      </c>
      <c r="AB120" s="157">
        <v>54499.772019670745</v>
      </c>
      <c r="AC120" s="157">
        <v>54323.067864380937</v>
      </c>
      <c r="AD120" s="157">
        <v>51655.672301627652</v>
      </c>
      <c r="AE120" s="157">
        <v>55196.217538608791</v>
      </c>
      <c r="AF120" s="158">
        <v>62034.907628443776</v>
      </c>
      <c r="AG120" s="158">
        <v>63567.201197818569</v>
      </c>
      <c r="AH120" s="158">
        <v>68041.236400719281</v>
      </c>
      <c r="AI120" s="158">
        <v>63075.623940206089</v>
      </c>
      <c r="AJ120" s="158">
        <v>59686.063754172486</v>
      </c>
      <c r="AK120" s="158">
        <v>56276.112109715054</v>
      </c>
      <c r="AL120" s="39"/>
      <c r="AM120" s="39"/>
      <c r="AN120" s="74">
        <f t="shared" si="5"/>
        <v>-0.55400815821974048</v>
      </c>
      <c r="AO120" s="25"/>
      <c r="AP120" s="168"/>
      <c r="AQ120" s="168"/>
      <c r="AR120" s="168"/>
      <c r="AS120" s="103"/>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c r="CP120" s="110"/>
      <c r="CQ120" s="110"/>
      <c r="CR120" s="110"/>
      <c r="CS120" s="110"/>
      <c r="CT120" s="110"/>
      <c r="CU120" s="110"/>
      <c r="CV120" s="110"/>
      <c r="CW120" s="110"/>
      <c r="CX120" s="110"/>
      <c r="CY120" s="110"/>
      <c r="CZ120" s="110"/>
      <c r="DA120" s="110"/>
    </row>
    <row r="121" spans="1:105" s="112" customFormat="1">
      <c r="A121" s="240"/>
      <c r="B121" s="243"/>
      <c r="C121" s="209" t="s">
        <v>88</v>
      </c>
      <c r="D121" s="133" t="s">
        <v>85</v>
      </c>
      <c r="E121" s="157">
        <v>108458.87437568171</v>
      </c>
      <c r="F121" s="157">
        <v>104185.95312757613</v>
      </c>
      <c r="G121" s="157">
        <v>93596.916617197683</v>
      </c>
      <c r="H121" s="157">
        <v>80674.476145638662</v>
      </c>
      <c r="I121" s="157">
        <v>67989.831502797751</v>
      </c>
      <c r="J121" s="157">
        <v>61014.526144292169</v>
      </c>
      <c r="K121" s="157">
        <v>61843.565547113889</v>
      </c>
      <c r="L121" s="157">
        <v>61697.459166075634</v>
      </c>
      <c r="M121" s="157">
        <v>60184.026189106255</v>
      </c>
      <c r="N121" s="157">
        <v>58075.778429496284</v>
      </c>
      <c r="O121" s="157">
        <v>55014.468203414639</v>
      </c>
      <c r="P121" s="157">
        <v>54104.689004604879</v>
      </c>
      <c r="Q121" s="157">
        <v>53944.12030689665</v>
      </c>
      <c r="R121" s="157">
        <v>55236.251084036026</v>
      </c>
      <c r="S121" s="157">
        <v>58372.802042883108</v>
      </c>
      <c r="T121" s="157">
        <v>59396.208494433195</v>
      </c>
      <c r="U121" s="157">
        <v>61809.494065719897</v>
      </c>
      <c r="V121" s="157">
        <v>60275.662477554251</v>
      </c>
      <c r="W121" s="157">
        <v>62931.135018346751</v>
      </c>
      <c r="X121" s="157">
        <v>60628.340534143637</v>
      </c>
      <c r="Y121" s="157">
        <v>62515.44147100416</v>
      </c>
      <c r="Z121" s="157">
        <v>61353.235550442711</v>
      </c>
      <c r="AA121" s="157">
        <v>62591.698925787641</v>
      </c>
      <c r="AB121" s="157">
        <v>64151.855762180297</v>
      </c>
      <c r="AC121" s="157">
        <v>63699.213368864177</v>
      </c>
      <c r="AD121" s="157">
        <v>58827.807536176639</v>
      </c>
      <c r="AE121" s="157">
        <v>58188.065283981312</v>
      </c>
      <c r="AF121" s="158">
        <v>59444.370761214108</v>
      </c>
      <c r="AG121" s="158">
        <v>62170.66964856851</v>
      </c>
      <c r="AH121" s="158">
        <v>62170.636288106391</v>
      </c>
      <c r="AI121" s="158">
        <v>59122.90346973054</v>
      </c>
      <c r="AJ121" s="158">
        <v>60861.080224311278</v>
      </c>
      <c r="AK121" s="158">
        <v>57120.549634794719</v>
      </c>
      <c r="AL121" s="39"/>
      <c r="AM121" s="39"/>
      <c r="AN121" s="74">
        <f t="shared" si="5"/>
        <v>-0.47334369858072123</v>
      </c>
      <c r="AO121" s="25"/>
      <c r="AP121" s="168"/>
      <c r="AQ121" s="168"/>
      <c r="AR121" s="168"/>
      <c r="AS121" s="103"/>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c r="CP121" s="110"/>
      <c r="CQ121" s="110"/>
      <c r="CR121" s="110"/>
      <c r="CS121" s="110"/>
      <c r="CT121" s="110"/>
      <c r="CU121" s="110"/>
      <c r="CV121" s="110"/>
      <c r="CW121" s="110"/>
      <c r="CX121" s="110"/>
      <c r="CY121" s="110"/>
      <c r="CZ121" s="110"/>
      <c r="DA121" s="110"/>
    </row>
    <row r="122" spans="1:105" s="112" customFormat="1">
      <c r="A122" s="241"/>
      <c r="B122" s="244"/>
      <c r="C122" s="210"/>
      <c r="D122" s="148" t="s">
        <v>86</v>
      </c>
      <c r="E122" s="159">
        <v>88600.470209013176</v>
      </c>
      <c r="F122" s="159">
        <v>82014.713894240733</v>
      </c>
      <c r="G122" s="159">
        <v>71744.335150528859</v>
      </c>
      <c r="H122" s="159">
        <v>64693.481212303806</v>
      </c>
      <c r="I122" s="159">
        <v>42716.663102795392</v>
      </c>
      <c r="J122" s="159">
        <v>35011.933344289726</v>
      </c>
      <c r="K122" s="159">
        <v>36500.384413778171</v>
      </c>
      <c r="L122" s="159">
        <v>37256.089899406688</v>
      </c>
      <c r="M122" s="159">
        <v>37271.294689104099</v>
      </c>
      <c r="N122" s="159">
        <v>29244.589829493587</v>
      </c>
      <c r="O122" s="159">
        <v>24987.943470078506</v>
      </c>
      <c r="P122" s="159">
        <v>25280.705571268867</v>
      </c>
      <c r="Q122" s="159">
        <v>26670.940273560722</v>
      </c>
      <c r="R122" s="159">
        <v>30626.983150700362</v>
      </c>
      <c r="S122" s="159">
        <v>31320.164042880569</v>
      </c>
      <c r="T122" s="159">
        <v>30686.066327763841</v>
      </c>
      <c r="U122" s="159">
        <v>30323.511699050283</v>
      </c>
      <c r="V122" s="159">
        <v>26736.933677551118</v>
      </c>
      <c r="W122" s="159">
        <v>29386.025718343619</v>
      </c>
      <c r="X122" s="159">
        <v>23133.510200806813</v>
      </c>
      <c r="Y122" s="159">
        <v>21640.613404333715</v>
      </c>
      <c r="Z122" s="159">
        <v>21467.215683772352</v>
      </c>
      <c r="AA122" s="159">
        <v>24356.166725784089</v>
      </c>
      <c r="AB122" s="159">
        <v>23857.907828843228</v>
      </c>
      <c r="AC122" s="159">
        <v>24283.748202193841</v>
      </c>
      <c r="AD122" s="159">
        <v>21773.289402839808</v>
      </c>
      <c r="AE122" s="159">
        <v>25546.619817311603</v>
      </c>
      <c r="AF122" s="160">
        <v>31993.853827878207</v>
      </c>
      <c r="AG122" s="160">
        <v>33305.475415232468</v>
      </c>
      <c r="AH122" s="160">
        <v>37607.132588104047</v>
      </c>
      <c r="AI122" s="160">
        <v>32046.547769727975</v>
      </c>
      <c r="AJ122" s="160">
        <v>28367.549190974925</v>
      </c>
      <c r="AK122" s="160">
        <v>25020.929934791755</v>
      </c>
      <c r="AL122" s="40"/>
      <c r="AM122" s="40"/>
      <c r="AN122" s="75">
        <f t="shared" si="5"/>
        <v>-0.71759822633259096</v>
      </c>
      <c r="AO122" s="32"/>
      <c r="AP122" s="169"/>
      <c r="AQ122" s="169"/>
      <c r="AR122" s="169"/>
      <c r="AS122" s="14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c r="BX122" s="110"/>
      <c r="BY122" s="110"/>
      <c r="BZ122" s="110"/>
      <c r="CA122" s="110"/>
      <c r="CB122" s="110"/>
      <c r="CC122" s="110"/>
      <c r="CD122" s="110"/>
      <c r="CE122" s="110"/>
      <c r="CF122" s="110"/>
      <c r="CG122" s="110"/>
      <c r="CH122" s="110"/>
      <c r="CI122" s="110"/>
      <c r="CJ122" s="110"/>
      <c r="CK122" s="110"/>
      <c r="CL122" s="110"/>
      <c r="CM122" s="110"/>
      <c r="CN122" s="110"/>
      <c r="CO122" s="110"/>
      <c r="CP122" s="110"/>
      <c r="CQ122" s="110"/>
      <c r="CR122" s="110"/>
      <c r="CS122" s="110"/>
      <c r="CT122" s="110"/>
      <c r="CU122" s="110"/>
      <c r="CV122" s="110"/>
      <c r="CW122" s="110"/>
      <c r="CX122" s="110"/>
      <c r="CY122" s="110"/>
      <c r="CZ122" s="110"/>
      <c r="DA122" s="110"/>
    </row>
    <row r="123" spans="1:105">
      <c r="A123" s="239" t="s">
        <v>26</v>
      </c>
      <c r="B123" s="242" t="s">
        <v>75</v>
      </c>
      <c r="C123" s="207" t="s">
        <v>87</v>
      </c>
      <c r="D123" s="133" t="s">
        <v>85</v>
      </c>
      <c r="E123" s="157">
        <v>3644.8859368986186</v>
      </c>
      <c r="F123" s="157">
        <v>3433.537147015456</v>
      </c>
      <c r="G123" s="157">
        <v>3363.3465484766302</v>
      </c>
      <c r="H123" s="157">
        <v>3446.5113226484073</v>
      </c>
      <c r="I123" s="157">
        <v>3376.389328513982</v>
      </c>
      <c r="J123" s="157">
        <v>3503.9526441781163</v>
      </c>
      <c r="K123" s="157">
        <v>3558.7029569515598</v>
      </c>
      <c r="L123" s="157">
        <v>3715.6563526963928</v>
      </c>
      <c r="M123" s="157">
        <v>3861.7593722990114</v>
      </c>
      <c r="N123" s="157">
        <v>4077.1190712623566</v>
      </c>
      <c r="O123" s="157">
        <v>4106.7194307234522</v>
      </c>
      <c r="P123" s="157">
        <v>4000.7048483548824</v>
      </c>
      <c r="Q123" s="157">
        <v>4086.5725712519124</v>
      </c>
      <c r="R123" s="157">
        <v>4056.6351976149235</v>
      </c>
      <c r="S123" s="157">
        <v>4164.5623416583558</v>
      </c>
      <c r="T123" s="157">
        <v>4022.3502260717096</v>
      </c>
      <c r="U123" s="157">
        <v>4579.1183709031884</v>
      </c>
      <c r="V123" s="157">
        <v>4884.7558090557659</v>
      </c>
      <c r="W123" s="157">
        <v>5267.0252351884264</v>
      </c>
      <c r="X123" s="157">
        <v>4966.7365494421174</v>
      </c>
      <c r="Y123" s="157">
        <v>4867.6069385407518</v>
      </c>
      <c r="Z123" s="157">
        <v>4655.2221958521677</v>
      </c>
      <c r="AA123" s="157">
        <v>4648.786958022094</v>
      </c>
      <c r="AB123" s="157">
        <v>4645.4648776568592</v>
      </c>
      <c r="AC123" s="157">
        <v>4652.6905175354068</v>
      </c>
      <c r="AD123" s="157">
        <v>4734.3967239557205</v>
      </c>
      <c r="AE123" s="157">
        <v>4687.8362333261721</v>
      </c>
      <c r="AF123" s="158">
        <v>4773.8292090012683</v>
      </c>
      <c r="AG123" s="158">
        <v>4828.4083323084515</v>
      </c>
      <c r="AH123" s="158">
        <v>4688.9919121745233</v>
      </c>
      <c r="AI123" s="158">
        <v>4495.4667171109741</v>
      </c>
      <c r="AJ123" s="158">
        <v>4631.3896229293259</v>
      </c>
      <c r="AK123" s="158">
        <v>4666.0009024748442</v>
      </c>
      <c r="AL123" s="83">
        <v>-0.3</v>
      </c>
      <c r="AM123" s="41">
        <v>1990</v>
      </c>
      <c r="AN123" s="137">
        <f t="shared" si="5"/>
        <v>0.28015004673783506</v>
      </c>
      <c r="AO123" s="138">
        <v>-0.2</v>
      </c>
      <c r="AP123" s="166">
        <v>1990</v>
      </c>
      <c r="AQ123" s="167">
        <v>-0.55000000000000004</v>
      </c>
      <c r="AR123" s="166">
        <v>2030</v>
      </c>
      <c r="AS123" s="137">
        <f>(AK123/E123)-1</f>
        <v>0.28015004673783506</v>
      </c>
    </row>
    <row r="124" spans="1:105">
      <c r="A124" s="240"/>
      <c r="B124" s="243"/>
      <c r="C124" s="208"/>
      <c r="D124" s="133" t="s">
        <v>86</v>
      </c>
      <c r="E124" s="157">
        <v>11376.863535140366</v>
      </c>
      <c r="F124" s="157">
        <v>11172.935103647256</v>
      </c>
      <c r="G124" s="157">
        <v>11092.764812606079</v>
      </c>
      <c r="H124" s="157">
        <v>11185.204597849875</v>
      </c>
      <c r="I124" s="157">
        <v>11105.288060776353</v>
      </c>
      <c r="J124" s="157">
        <v>11218.928302439825</v>
      </c>
      <c r="K124" s="157">
        <v>11266.917246644041</v>
      </c>
      <c r="L124" s="157">
        <v>11419.170005489268</v>
      </c>
      <c r="M124" s="157">
        <v>11566.724732399633</v>
      </c>
      <c r="N124" s="157">
        <v>11788.744671476052</v>
      </c>
      <c r="O124" s="157">
        <v>11829.617657910965</v>
      </c>
      <c r="P124" s="157">
        <v>11733.45201602178</v>
      </c>
      <c r="Q124" s="157">
        <v>11837.028473843036</v>
      </c>
      <c r="R124" s="157">
        <v>11803.412575479166</v>
      </c>
      <c r="S124" s="157">
        <v>11910.763467094297</v>
      </c>
      <c r="T124" s="157">
        <v>11768.326470097581</v>
      </c>
      <c r="U124" s="157">
        <v>12377.655583624872</v>
      </c>
      <c r="V124" s="157">
        <v>12585.030606168304</v>
      </c>
      <c r="W124" s="157">
        <v>13008.936854736279</v>
      </c>
      <c r="X124" s="157">
        <v>12752.496719262455</v>
      </c>
      <c r="Y124" s="157">
        <v>12634.955692589885</v>
      </c>
      <c r="Z124" s="157">
        <v>12402.484719310229</v>
      </c>
      <c r="AA124" s="157">
        <v>12402.064256075611</v>
      </c>
      <c r="AB124" s="157">
        <v>12399.256399099755</v>
      </c>
      <c r="AC124" s="157">
        <v>12400.703437852679</v>
      </c>
      <c r="AD124" s="157">
        <v>12473.612677161776</v>
      </c>
      <c r="AE124" s="157">
        <v>12408.163527110619</v>
      </c>
      <c r="AF124" s="158">
        <v>12466.955795467178</v>
      </c>
      <c r="AG124" s="158">
        <v>12508.66027668009</v>
      </c>
      <c r="AH124" s="158">
        <v>12382.358015812288</v>
      </c>
      <c r="AI124" s="158">
        <v>12197.16448259193</v>
      </c>
      <c r="AJ124" s="158">
        <v>12330.426480366383</v>
      </c>
      <c r="AK124" s="158">
        <v>12423.021052710374</v>
      </c>
      <c r="AL124" s="39"/>
      <c r="AM124" s="39"/>
      <c r="AN124" s="103">
        <f t="shared" si="5"/>
        <v>9.1954826946695878E-2</v>
      </c>
      <c r="AO124" s="139"/>
      <c r="AP124" s="168"/>
      <c r="AQ124" s="168"/>
      <c r="AR124" s="168"/>
      <c r="AS124" s="103"/>
    </row>
    <row r="125" spans="1:105">
      <c r="A125" s="240"/>
      <c r="B125" s="243"/>
      <c r="C125" s="209" t="s">
        <v>88</v>
      </c>
      <c r="D125" s="133" t="s">
        <v>85</v>
      </c>
      <c r="E125" s="157">
        <v>2222.3484675293698</v>
      </c>
      <c r="F125" s="157">
        <v>2103.4382291997345</v>
      </c>
      <c r="G125" s="157">
        <v>2249.7000926132478</v>
      </c>
      <c r="H125" s="157">
        <v>2400.5219160584102</v>
      </c>
      <c r="I125" s="157">
        <v>2349.6644302557802</v>
      </c>
      <c r="J125" s="157">
        <v>2469.3373440029955</v>
      </c>
      <c r="K125" s="157">
        <v>2523.3970652709522</v>
      </c>
      <c r="L125" s="157">
        <v>2618.7822272224917</v>
      </c>
      <c r="M125" s="157">
        <v>2638.6930781982178</v>
      </c>
      <c r="N125" s="157">
        <v>2841.3523652947147</v>
      </c>
      <c r="O125" s="157">
        <v>2933.1524114005902</v>
      </c>
      <c r="P125" s="157">
        <v>2865.4180112764584</v>
      </c>
      <c r="Q125" s="157">
        <v>2992.4407449625005</v>
      </c>
      <c r="R125" s="157">
        <v>2985.8810782803889</v>
      </c>
      <c r="S125" s="157">
        <v>3107.6261514377452</v>
      </c>
      <c r="T125" s="157">
        <v>2976.86999518008</v>
      </c>
      <c r="U125" s="157">
        <v>3154.8952859134743</v>
      </c>
      <c r="V125" s="157">
        <v>3494.8020694799684</v>
      </c>
      <c r="W125" s="157">
        <v>3811.9864751263149</v>
      </c>
      <c r="X125" s="157">
        <v>3731.8019161017924</v>
      </c>
      <c r="Y125" s="157">
        <v>3626.6041418597129</v>
      </c>
      <c r="Z125" s="157">
        <v>3503.539645573248</v>
      </c>
      <c r="AA125" s="157">
        <v>3498.5481122722108</v>
      </c>
      <c r="AB125" s="157">
        <v>3488.069326105554</v>
      </c>
      <c r="AC125" s="157">
        <v>3445.1154057527306</v>
      </c>
      <c r="AD125" s="157">
        <v>3541.1809200349417</v>
      </c>
      <c r="AE125" s="157">
        <v>3493.6750134407262</v>
      </c>
      <c r="AF125" s="158">
        <v>3610.9522889536865</v>
      </c>
      <c r="AG125" s="158">
        <v>3667.1023137449074</v>
      </c>
      <c r="AH125" s="158">
        <v>3556.0920210251138</v>
      </c>
      <c r="AI125" s="158">
        <v>3340.5657565370675</v>
      </c>
      <c r="AJ125" s="158">
        <v>3508.3076576957769</v>
      </c>
      <c r="AK125" s="158">
        <v>3613.2433131862254</v>
      </c>
      <c r="AL125" s="39"/>
      <c r="AM125" s="39"/>
      <c r="AN125" s="103">
        <f t="shared" si="5"/>
        <v>0.62586712479125373</v>
      </c>
      <c r="AO125" s="139"/>
      <c r="AP125" s="168"/>
      <c r="AQ125" s="168"/>
      <c r="AR125" s="168"/>
      <c r="AS125" s="103"/>
    </row>
    <row r="126" spans="1:105">
      <c r="A126" s="241"/>
      <c r="B126" s="244"/>
      <c r="C126" s="210"/>
      <c r="D126" s="148" t="s">
        <v>86</v>
      </c>
      <c r="E126" s="159">
        <v>8174.4056690151119</v>
      </c>
      <c r="F126" s="159">
        <v>8056.6014334438551</v>
      </c>
      <c r="G126" s="159">
        <v>8192.8557738643794</v>
      </c>
      <c r="H126" s="159">
        <v>8351.694374853445</v>
      </c>
      <c r="I126" s="159">
        <v>8292.5126528964338</v>
      </c>
      <c r="J126" s="159">
        <v>8398.015455782177</v>
      </c>
      <c r="K126" s="159">
        <v>8443.572133179754</v>
      </c>
      <c r="L126" s="159">
        <v>8533.5003290554487</v>
      </c>
      <c r="M126" s="159">
        <v>8554.1335248824507</v>
      </c>
      <c r="N126" s="159">
        <v>8763.4803632070525</v>
      </c>
      <c r="O126" s="159">
        <v>8865.8860410250818</v>
      </c>
      <c r="P126" s="159">
        <v>8809.0519759454419</v>
      </c>
      <c r="Q126" s="159">
        <v>8952.6449459858813</v>
      </c>
      <c r="R126" s="159">
        <v>8943.8897564101735</v>
      </c>
      <c r="S126" s="159">
        <v>9065.1225376649891</v>
      </c>
      <c r="T126" s="159">
        <v>8933.3930389385769</v>
      </c>
      <c r="U126" s="159">
        <v>9151.7692887157682</v>
      </c>
      <c r="V126" s="159">
        <v>9403.9924903146566</v>
      </c>
      <c r="W126" s="159">
        <v>9763.7960342511742</v>
      </c>
      <c r="X126" s="159">
        <v>9730.1899373332744</v>
      </c>
      <c r="Y126" s="159">
        <v>9606.6814331592395</v>
      </c>
      <c r="Z126" s="159">
        <v>9463.5796358044863</v>
      </c>
      <c r="AA126" s="159">
        <v>9464.8324132711459</v>
      </c>
      <c r="AB126" s="159">
        <v>9454.8936819798364</v>
      </c>
      <c r="AC126" s="159">
        <v>9406.3704361558976</v>
      </c>
      <c r="AD126" s="159">
        <v>9493.4959983174776</v>
      </c>
      <c r="AE126" s="159">
        <v>9427.5605637253593</v>
      </c>
      <c r="AF126" s="160">
        <v>9517.3780815977916</v>
      </c>
      <c r="AG126" s="160">
        <v>9561.0323188737639</v>
      </c>
      <c r="AH126" s="160">
        <v>9462.8739053600766</v>
      </c>
      <c r="AI126" s="160">
        <v>9265.7896233878637</v>
      </c>
      <c r="AJ126" s="160">
        <v>9431.0733344894215</v>
      </c>
      <c r="AK126" s="160">
        <v>9541.9791294024326</v>
      </c>
      <c r="AL126" s="40"/>
      <c r="AM126" s="40"/>
      <c r="AN126" s="140">
        <f t="shared" si="5"/>
        <v>0.16729943628453325</v>
      </c>
      <c r="AO126" s="141"/>
      <c r="AP126" s="169"/>
      <c r="AQ126" s="169"/>
      <c r="AR126" s="169"/>
      <c r="AS126" s="140"/>
    </row>
    <row r="127" spans="1:105">
      <c r="A127" s="239" t="s">
        <v>26</v>
      </c>
      <c r="B127" s="242" t="s">
        <v>76</v>
      </c>
      <c r="C127" s="207" t="s">
        <v>87</v>
      </c>
      <c r="D127" s="133" t="s">
        <v>85</v>
      </c>
      <c r="E127" s="157">
        <v>390526.062496937</v>
      </c>
      <c r="F127" s="157">
        <v>372803.85843495553</v>
      </c>
      <c r="G127" s="157">
        <v>343803.84685058176</v>
      </c>
      <c r="H127" s="157">
        <v>308738.64398706501</v>
      </c>
      <c r="I127" s="157">
        <v>261032.15550928639</v>
      </c>
      <c r="J127" s="157">
        <v>244480.300966034</v>
      </c>
      <c r="K127" s="157">
        <v>228515.08692593389</v>
      </c>
      <c r="L127" s="157">
        <v>221863.40089565367</v>
      </c>
      <c r="M127" s="157">
        <v>227732.96777977317</v>
      </c>
      <c r="N127" s="157">
        <v>193057.63001147876</v>
      </c>
      <c r="O127" s="157">
        <v>219119.44538328791</v>
      </c>
      <c r="P127" s="157">
        <v>213273.50781150616</v>
      </c>
      <c r="Q127" s="157">
        <v>235768.54400248657</v>
      </c>
      <c r="R127" s="157">
        <v>256260.70045960936</v>
      </c>
      <c r="S127" s="157">
        <v>267794.77035817096</v>
      </c>
      <c r="T127" s="157">
        <v>278091.01995331986</v>
      </c>
      <c r="U127" s="157">
        <v>299189.29891562881</v>
      </c>
      <c r="V127" s="157">
        <v>301538.26563631085</v>
      </c>
      <c r="W127" s="157">
        <v>298362.22092614113</v>
      </c>
      <c r="X127" s="157">
        <v>291770.88377975131</v>
      </c>
      <c r="Y127" s="157">
        <v>313537.73644338973</v>
      </c>
      <c r="Z127" s="157">
        <v>303771.56341710704</v>
      </c>
      <c r="AA127" s="157">
        <v>308830.70003381051</v>
      </c>
      <c r="AB127" s="157">
        <v>317316.27128449618</v>
      </c>
      <c r="AC127" s="157">
        <v>365663.76974305772</v>
      </c>
      <c r="AD127" s="157">
        <v>369467.09856534615</v>
      </c>
      <c r="AE127" s="157">
        <v>368870.63608176215</v>
      </c>
      <c r="AF127" s="158">
        <v>388929.01332748908</v>
      </c>
      <c r="AG127" s="158">
        <v>404229.31321734359</v>
      </c>
      <c r="AH127" s="158">
        <v>371825.51226698549</v>
      </c>
      <c r="AI127" s="158">
        <v>351993.28359552915</v>
      </c>
      <c r="AJ127" s="158">
        <v>323734.28999595658</v>
      </c>
      <c r="AK127" s="158">
        <v>348843.83157459204</v>
      </c>
      <c r="AL127" s="83">
        <v>-0.15</v>
      </c>
      <c r="AM127" s="41">
        <v>1992</v>
      </c>
      <c r="AN127" s="137">
        <f>(AK127/G127)-1</f>
        <v>1.4659477403115462E-2</v>
      </c>
      <c r="AO127" s="138">
        <v>-0.05</v>
      </c>
      <c r="AP127" s="166">
        <v>1990</v>
      </c>
      <c r="AQ127" s="170" t="s">
        <v>157</v>
      </c>
      <c r="AR127" s="166">
        <v>2030</v>
      </c>
      <c r="AS127" s="137">
        <f>(AK127/E127)-1</f>
        <v>-0.10673354463422502</v>
      </c>
    </row>
    <row r="128" spans="1:105">
      <c r="A128" s="240"/>
      <c r="B128" s="243"/>
      <c r="C128" s="208"/>
      <c r="D128" s="133" t="s">
        <v>86</v>
      </c>
      <c r="E128" s="157">
        <v>385736.50116360321</v>
      </c>
      <c r="F128" s="157">
        <v>368209.8604349551</v>
      </c>
      <c r="G128" s="157">
        <v>339393.76351724804</v>
      </c>
      <c r="H128" s="157">
        <v>304515.24298706464</v>
      </c>
      <c r="I128" s="157">
        <v>265815.37117595348</v>
      </c>
      <c r="J128" s="157">
        <v>258536.48863270192</v>
      </c>
      <c r="K128" s="157">
        <v>251277.01992593595</v>
      </c>
      <c r="L128" s="157">
        <v>254478.48856232321</v>
      </c>
      <c r="M128" s="157">
        <v>268458.02744644351</v>
      </c>
      <c r="N128" s="157">
        <v>230600.89467814879</v>
      </c>
      <c r="O128" s="157">
        <v>253161.94504995763</v>
      </c>
      <c r="P128" s="157">
        <v>247017.69614484254</v>
      </c>
      <c r="Q128" s="157">
        <v>269019.85166915623</v>
      </c>
      <c r="R128" s="157">
        <v>289491.00945961231</v>
      </c>
      <c r="S128" s="157">
        <v>306844.11269150779</v>
      </c>
      <c r="T128" s="157">
        <v>323279.03528665728</v>
      </c>
      <c r="U128" s="157">
        <v>350749.39724896679</v>
      </c>
      <c r="V128" s="157">
        <v>350785.3126363153</v>
      </c>
      <c r="W128" s="157">
        <v>345186.69392614538</v>
      </c>
      <c r="X128" s="157">
        <v>333925.78644642181</v>
      </c>
      <c r="Y128" s="157">
        <v>351437.68277672649</v>
      </c>
      <c r="Z128" s="157">
        <v>329890.75408377609</v>
      </c>
      <c r="AA128" s="157">
        <v>323353.8807004785</v>
      </c>
      <c r="AB128" s="157">
        <v>320283.99528449646</v>
      </c>
      <c r="AC128" s="157">
        <v>372303.85140972497</v>
      </c>
      <c r="AD128" s="157">
        <v>380052.54689868045</v>
      </c>
      <c r="AE128" s="157">
        <v>382962.55641509674</v>
      </c>
      <c r="AF128" s="158">
        <v>407202.10066082404</v>
      </c>
      <c r="AG128" s="158">
        <v>425908.01688401221</v>
      </c>
      <c r="AH128" s="158">
        <v>391068.08260032057</v>
      </c>
      <c r="AI128" s="158">
        <v>368098.55026219727</v>
      </c>
      <c r="AJ128" s="158">
        <v>328422.26666262368</v>
      </c>
      <c r="AK128" s="158">
        <v>352973.02534125908</v>
      </c>
      <c r="AL128" s="39"/>
      <c r="AM128" s="39"/>
      <c r="AN128" s="103">
        <f>(AK128/G128)-1</f>
        <v>4.0010345750860932E-2</v>
      </c>
      <c r="AO128" s="139"/>
      <c r="AP128" s="168"/>
      <c r="AQ128" s="168"/>
      <c r="AR128" s="168"/>
      <c r="AS128" s="103"/>
    </row>
    <row r="129" spans="1:105">
      <c r="A129" s="240"/>
      <c r="B129" s="243"/>
      <c r="C129" s="209" t="s">
        <v>88</v>
      </c>
      <c r="D129" s="133" t="s">
        <v>85</v>
      </c>
      <c r="E129" s="157">
        <v>267405.35609501379</v>
      </c>
      <c r="F129" s="157">
        <v>260420.50733344399</v>
      </c>
      <c r="G129" s="157">
        <v>233523.39817007611</v>
      </c>
      <c r="H129" s="157">
        <v>207558.70931605707</v>
      </c>
      <c r="I129" s="157">
        <v>174671.11172623266</v>
      </c>
      <c r="J129" s="157">
        <v>168467.98492597038</v>
      </c>
      <c r="K129" s="157">
        <v>154715.70311893569</v>
      </c>
      <c r="L129" s="157">
        <v>147293.12578947935</v>
      </c>
      <c r="M129" s="157">
        <v>145621.86745158219</v>
      </c>
      <c r="N129" s="157">
        <v>118761.62808400099</v>
      </c>
      <c r="O129" s="157">
        <v>142196.98257234215</v>
      </c>
      <c r="P129" s="157">
        <v>138036.49488030674</v>
      </c>
      <c r="Q129" s="157">
        <v>156768.22356624354</v>
      </c>
      <c r="R129" s="157">
        <v>175021.96618400919</v>
      </c>
      <c r="S129" s="157">
        <v>185475.84372318868</v>
      </c>
      <c r="T129" s="157">
        <v>198448.55362719868</v>
      </c>
      <c r="U129" s="157">
        <v>219633.14904426996</v>
      </c>
      <c r="V129" s="157">
        <v>225712.39948813393</v>
      </c>
      <c r="W129" s="157">
        <v>226102.39378163542</v>
      </c>
      <c r="X129" s="157">
        <v>223189.22622978725</v>
      </c>
      <c r="Y129" s="157">
        <v>248092.76871015166</v>
      </c>
      <c r="Z129" s="157">
        <v>238156.9707009604</v>
      </c>
      <c r="AA129" s="157">
        <v>245262.9016742502</v>
      </c>
      <c r="AB129" s="157">
        <v>253532.73254511459</v>
      </c>
      <c r="AC129" s="157">
        <v>299137.33938181377</v>
      </c>
      <c r="AD129" s="157">
        <v>303052.27007578209</v>
      </c>
      <c r="AE129" s="157">
        <v>301738.82139232202</v>
      </c>
      <c r="AF129" s="158">
        <v>317720.42704936734</v>
      </c>
      <c r="AG129" s="158">
        <v>329572.12509605876</v>
      </c>
      <c r="AH129" s="158">
        <v>296039.62227161881</v>
      </c>
      <c r="AI129" s="158">
        <v>281789.17932734115</v>
      </c>
      <c r="AJ129" s="158">
        <v>244903.72279712683</v>
      </c>
      <c r="AK129" s="158">
        <v>274345.56945064128</v>
      </c>
      <c r="AL129" s="39"/>
      <c r="AM129" s="39"/>
      <c r="AN129" s="103">
        <f>(AK129/G129)-1</f>
        <v>0.17480976895871581</v>
      </c>
      <c r="AO129" s="139"/>
      <c r="AP129" s="168"/>
      <c r="AQ129" s="168"/>
      <c r="AR129" s="168"/>
      <c r="AS129" s="103"/>
    </row>
    <row r="130" spans="1:105">
      <c r="A130" s="241"/>
      <c r="B130" s="244"/>
      <c r="C130" s="210"/>
      <c r="D130" s="148" t="s">
        <v>86</v>
      </c>
      <c r="E130" s="159">
        <v>262589.04276168003</v>
      </c>
      <c r="F130" s="159">
        <v>255790.27733344358</v>
      </c>
      <c r="G130" s="159">
        <v>229086.25483674236</v>
      </c>
      <c r="H130" s="159">
        <v>203309.40931605667</v>
      </c>
      <c r="I130" s="159">
        <v>179367.26839289974</v>
      </c>
      <c r="J130" s="159">
        <v>182110.70559263829</v>
      </c>
      <c r="K130" s="159">
        <v>177304.20311893773</v>
      </c>
      <c r="L130" s="159">
        <v>178825.65245614888</v>
      </c>
      <c r="M130" s="159">
        <v>186103.33411825253</v>
      </c>
      <c r="N130" s="159">
        <v>155893.70475067102</v>
      </c>
      <c r="O130" s="159">
        <v>175982.63923901189</v>
      </c>
      <c r="P130" s="159">
        <v>171408.89621364311</v>
      </c>
      <c r="Q130" s="159">
        <v>189726.9772329132</v>
      </c>
      <c r="R130" s="159">
        <v>207567.66618401214</v>
      </c>
      <c r="S130" s="159">
        <v>224215.38705652553</v>
      </c>
      <c r="T130" s="159">
        <v>243382.09796053611</v>
      </c>
      <c r="U130" s="159">
        <v>270730.23537760793</v>
      </c>
      <c r="V130" s="159">
        <v>274637.20948813838</v>
      </c>
      <c r="W130" s="159">
        <v>272854.59378163965</v>
      </c>
      <c r="X130" s="159">
        <v>265297.92289645772</v>
      </c>
      <c r="Y130" s="159">
        <v>285899.95204348845</v>
      </c>
      <c r="Z130" s="159">
        <v>264228.20636762946</v>
      </c>
      <c r="AA130" s="159">
        <v>259755.32834091817</v>
      </c>
      <c r="AB130" s="159">
        <v>256495.03254511487</v>
      </c>
      <c r="AC130" s="159">
        <v>305704.81604848104</v>
      </c>
      <c r="AD130" s="159">
        <v>313477.18640911637</v>
      </c>
      <c r="AE130" s="159">
        <v>315811.63472565665</v>
      </c>
      <c r="AF130" s="160">
        <v>335557.44038270228</v>
      </c>
      <c r="AG130" s="160">
        <v>351146.1317627274</v>
      </c>
      <c r="AH130" s="160">
        <v>315164.73560495389</v>
      </c>
      <c r="AI130" s="160">
        <v>297752.82299400924</v>
      </c>
      <c r="AJ130" s="160">
        <v>249480.85946379392</v>
      </c>
      <c r="AK130" s="160">
        <v>278292.07611730829</v>
      </c>
      <c r="AL130" s="40"/>
      <c r="AM130" s="40"/>
      <c r="AN130" s="140">
        <f>(AK130/G130)-1</f>
        <v>0.21479167886188688</v>
      </c>
      <c r="AO130" s="141"/>
      <c r="AP130" s="169"/>
      <c r="AQ130" s="169"/>
      <c r="AR130" s="169"/>
      <c r="AS130" s="140"/>
    </row>
    <row r="131" spans="1:105" s="112" customFormat="1">
      <c r="A131" s="239" t="s">
        <v>26</v>
      </c>
      <c r="B131" s="242" t="s">
        <v>77</v>
      </c>
      <c r="C131" s="207" t="s">
        <v>87</v>
      </c>
      <c r="D131" s="133" t="s">
        <v>85</v>
      </c>
      <c r="E131" s="157">
        <v>229.01310861507832</v>
      </c>
      <c r="F131" s="157">
        <v>236.54326401242912</v>
      </c>
      <c r="G131" s="157">
        <v>236.68937685928972</v>
      </c>
      <c r="H131" s="157">
        <v>243.72602658882732</v>
      </c>
      <c r="I131" s="157">
        <v>230.05526601557904</v>
      </c>
      <c r="J131" s="157">
        <v>233.78978437501513</v>
      </c>
      <c r="K131" s="157">
        <v>236.11182801871152</v>
      </c>
      <c r="L131" s="157">
        <v>248.61112798812525</v>
      </c>
      <c r="M131" s="157">
        <v>259.55943950938985</v>
      </c>
      <c r="N131" s="157">
        <v>256.47310131941271</v>
      </c>
      <c r="O131" s="157">
        <v>247.0108091881774</v>
      </c>
      <c r="P131" s="157">
        <v>246.65883743532245</v>
      </c>
      <c r="Q131" s="157">
        <v>252.99876151840189</v>
      </c>
      <c r="R131" s="157">
        <v>263.12471037398399</v>
      </c>
      <c r="S131" s="157">
        <v>263.37407238848215</v>
      </c>
      <c r="T131" s="157">
        <v>263.9490979482398</v>
      </c>
      <c r="U131" s="157">
        <v>267.60444869744919</v>
      </c>
      <c r="V131" s="157">
        <v>238.38966475039624</v>
      </c>
      <c r="W131" s="157">
        <v>258.05229364750812</v>
      </c>
      <c r="X131" s="157">
        <v>243.27107832936119</v>
      </c>
      <c r="Y131" s="157">
        <v>228.30831484992297</v>
      </c>
      <c r="Z131" s="157">
        <v>215.42848635036012</v>
      </c>
      <c r="AA131" s="157">
        <v>224.65397858192722</v>
      </c>
      <c r="AB131" s="157">
        <v>230.81538140120162</v>
      </c>
      <c r="AC131" s="157">
        <v>199.75494063587564</v>
      </c>
      <c r="AD131" s="157">
        <v>198.10821661404358</v>
      </c>
      <c r="AE131" s="157">
        <v>187.73580212316079</v>
      </c>
      <c r="AF131" s="158">
        <v>193.28158569232698</v>
      </c>
      <c r="AG131" s="158">
        <v>181.0357460940445</v>
      </c>
      <c r="AH131" s="158">
        <v>187.67127410177443</v>
      </c>
      <c r="AI131" s="158">
        <v>180.10863487745871</v>
      </c>
      <c r="AJ131" s="158">
        <v>183.25545722372206</v>
      </c>
      <c r="AK131" s="158">
        <v>165.52043087664956</v>
      </c>
      <c r="AL131" s="83">
        <v>-0.2</v>
      </c>
      <c r="AM131" s="41">
        <v>1990</v>
      </c>
      <c r="AN131" s="73">
        <f t="shared" ref="AN131:AN150" si="6">(AK131/E131)-1</f>
        <v>-0.27724473119635384</v>
      </c>
      <c r="AO131" s="36">
        <v>-0.16</v>
      </c>
      <c r="AP131" s="166">
        <v>1990</v>
      </c>
      <c r="AQ131" s="167">
        <v>-0.4</v>
      </c>
      <c r="AR131" s="166">
        <v>2030</v>
      </c>
      <c r="AS131" s="137">
        <f>(AK131/E131)-1</f>
        <v>-0.27724473119635384</v>
      </c>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c r="BX131" s="110"/>
      <c r="BY131" s="110"/>
      <c r="BZ131" s="110"/>
      <c r="CA131" s="110"/>
      <c r="CB131" s="110"/>
      <c r="CC131" s="110"/>
      <c r="CD131" s="110"/>
      <c r="CE131" s="110"/>
      <c r="CF131" s="110"/>
      <c r="CG131" s="110"/>
      <c r="CH131" s="110"/>
      <c r="CI131" s="110"/>
      <c r="CJ131" s="110"/>
      <c r="CK131" s="110"/>
      <c r="CL131" s="110"/>
      <c r="CM131" s="110"/>
      <c r="CN131" s="110"/>
      <c r="CO131" s="110"/>
      <c r="CP131" s="110"/>
      <c r="CQ131" s="110"/>
      <c r="CR131" s="110"/>
      <c r="CS131" s="110"/>
      <c r="CT131" s="110"/>
      <c r="CU131" s="110"/>
      <c r="CV131" s="110"/>
      <c r="CW131" s="110"/>
      <c r="CX131" s="110"/>
      <c r="CY131" s="110"/>
      <c r="CZ131" s="110"/>
      <c r="DA131" s="110"/>
    </row>
    <row r="132" spans="1:105" s="112" customFormat="1">
      <c r="A132" s="240"/>
      <c r="B132" s="243"/>
      <c r="C132" s="208"/>
      <c r="D132" s="133" t="s">
        <v>86</v>
      </c>
      <c r="E132" s="157">
        <v>235.80995946610992</v>
      </c>
      <c r="F132" s="157">
        <v>227.11790701012009</v>
      </c>
      <c r="G132" s="157">
        <v>238.49893176920881</v>
      </c>
      <c r="H132" s="157">
        <v>242.16137353792345</v>
      </c>
      <c r="I132" s="157">
        <v>248.32916171417102</v>
      </c>
      <c r="J132" s="157">
        <v>238.24198876684076</v>
      </c>
      <c r="K132" s="157">
        <v>232.00781899184472</v>
      </c>
      <c r="L132" s="157">
        <v>261.39496213584226</v>
      </c>
      <c r="M132" s="157">
        <v>264.17552083554023</v>
      </c>
      <c r="N132" s="157">
        <v>259.72489920738485</v>
      </c>
      <c r="O132" s="157">
        <v>276.36263506207592</v>
      </c>
      <c r="P132" s="157">
        <v>252.112906768996</v>
      </c>
      <c r="Q132" s="157">
        <v>259.18702082481701</v>
      </c>
      <c r="R132" s="157">
        <v>269.95656944596897</v>
      </c>
      <c r="S132" s="157">
        <v>272.3615500380306</v>
      </c>
      <c r="T132" s="157">
        <v>272.91051210482584</v>
      </c>
      <c r="U132" s="157">
        <v>281.40956503082731</v>
      </c>
      <c r="V132" s="157">
        <v>261.41823383029077</v>
      </c>
      <c r="W132" s="157">
        <v>283.1583083485649</v>
      </c>
      <c r="X132" s="157">
        <v>264.79065679377425</v>
      </c>
      <c r="Y132" s="157">
        <v>248.20733649329523</v>
      </c>
      <c r="Z132" s="157">
        <v>238.99705868573037</v>
      </c>
      <c r="AA132" s="157">
        <v>248.35022717049753</v>
      </c>
      <c r="AB132" s="157">
        <v>246.67726997184218</v>
      </c>
      <c r="AC132" s="157">
        <v>215.3777045862644</v>
      </c>
      <c r="AD132" s="157">
        <v>210.47708061387883</v>
      </c>
      <c r="AE132" s="157">
        <v>197.98895451099347</v>
      </c>
      <c r="AF132" s="158">
        <v>204.77435625550459</v>
      </c>
      <c r="AG132" s="158">
        <v>203.39043497246189</v>
      </c>
      <c r="AH132" s="158">
        <v>199.64672190553912</v>
      </c>
      <c r="AI132" s="158">
        <v>181.63261680014699</v>
      </c>
      <c r="AJ132" s="158">
        <v>180.14057396081316</v>
      </c>
      <c r="AK132" s="158">
        <v>164.37743011829727</v>
      </c>
      <c r="AL132" s="39"/>
      <c r="AM132" s="39"/>
      <c r="AN132" s="74">
        <f t="shared" si="6"/>
        <v>-0.30292414073409302</v>
      </c>
      <c r="AO132" s="25"/>
      <c r="AP132" s="168"/>
      <c r="AQ132" s="168"/>
      <c r="AR132" s="168"/>
      <c r="AS132" s="103"/>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c r="CP132" s="110"/>
      <c r="CQ132" s="110"/>
      <c r="CR132" s="110"/>
      <c r="CS132" s="110"/>
      <c r="CT132" s="110"/>
      <c r="CU132" s="110"/>
      <c r="CV132" s="110"/>
      <c r="CW132" s="110"/>
      <c r="CX132" s="110"/>
      <c r="CY132" s="110"/>
      <c r="CZ132" s="110"/>
      <c r="DA132" s="110"/>
    </row>
    <row r="133" spans="1:105" s="112" customFormat="1">
      <c r="A133" s="240"/>
      <c r="B133" s="243"/>
      <c r="C133" s="209" t="s">
        <v>88</v>
      </c>
      <c r="D133" s="133" t="s">
        <v>85</v>
      </c>
      <c r="E133" s="157">
        <v>198.97085579909398</v>
      </c>
      <c r="F133" s="157">
        <v>206.32915145690549</v>
      </c>
      <c r="G133" s="157">
        <v>206.95049105709788</v>
      </c>
      <c r="H133" s="157">
        <v>215.0344202353798</v>
      </c>
      <c r="I133" s="157">
        <v>201.11109032612137</v>
      </c>
      <c r="J133" s="157">
        <v>204.20161421820046</v>
      </c>
      <c r="K133" s="157">
        <v>205.96036739446006</v>
      </c>
      <c r="L133" s="157">
        <v>218.37239510140134</v>
      </c>
      <c r="M133" s="157">
        <v>229.23433576237642</v>
      </c>
      <c r="N133" s="157">
        <v>226.5620644887249</v>
      </c>
      <c r="O133" s="157">
        <v>216.85582232698033</v>
      </c>
      <c r="P133" s="157">
        <v>214.66710834290646</v>
      </c>
      <c r="Q133" s="157">
        <v>220.01443603721168</v>
      </c>
      <c r="R133" s="157">
        <v>229.34896518988467</v>
      </c>
      <c r="S133" s="157">
        <v>229.38321834411843</v>
      </c>
      <c r="T133" s="157">
        <v>228.97193187680634</v>
      </c>
      <c r="U133" s="157">
        <v>231.10050639850439</v>
      </c>
      <c r="V133" s="157">
        <v>200.7687839071539</v>
      </c>
      <c r="W133" s="157">
        <v>219.50781298127001</v>
      </c>
      <c r="X133" s="157">
        <v>205.35447851668621</v>
      </c>
      <c r="Y133" s="157">
        <v>190.80810266284001</v>
      </c>
      <c r="Z133" s="157">
        <v>176.75864231492218</v>
      </c>
      <c r="AA133" s="157">
        <v>185.29687728900529</v>
      </c>
      <c r="AB133" s="157">
        <v>192.51829802876188</v>
      </c>
      <c r="AC133" s="157">
        <v>161.21587238019629</v>
      </c>
      <c r="AD133" s="157">
        <v>159.69254817518876</v>
      </c>
      <c r="AE133" s="157">
        <v>149.68682275510824</v>
      </c>
      <c r="AF133" s="158">
        <v>155.51528924673778</v>
      </c>
      <c r="AG133" s="158">
        <v>142.61943810467477</v>
      </c>
      <c r="AH133" s="158">
        <v>148.69651882793781</v>
      </c>
      <c r="AI133" s="158">
        <v>141.62440932309215</v>
      </c>
      <c r="AJ133" s="158">
        <v>145.61785917330741</v>
      </c>
      <c r="AK133" s="158">
        <v>128.35224714499617</v>
      </c>
      <c r="AL133" s="39"/>
      <c r="AM133" s="39"/>
      <c r="AN133" s="74">
        <f t="shared" si="6"/>
        <v>-0.35491935927241147</v>
      </c>
      <c r="AO133" s="25"/>
      <c r="AP133" s="168"/>
      <c r="AQ133" s="168"/>
      <c r="AR133" s="168"/>
      <c r="AS133" s="103"/>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c r="CG133" s="110"/>
      <c r="CH133" s="110"/>
      <c r="CI133" s="110"/>
      <c r="CJ133" s="110"/>
      <c r="CK133" s="110"/>
      <c r="CL133" s="110"/>
      <c r="CM133" s="110"/>
      <c r="CN133" s="110"/>
      <c r="CO133" s="110"/>
      <c r="CP133" s="110"/>
      <c r="CQ133" s="110"/>
      <c r="CR133" s="110"/>
      <c r="CS133" s="110"/>
      <c r="CT133" s="110"/>
      <c r="CU133" s="110"/>
      <c r="CV133" s="110"/>
      <c r="CW133" s="110"/>
      <c r="CX133" s="110"/>
      <c r="CY133" s="110"/>
      <c r="CZ133" s="110"/>
      <c r="DA133" s="110"/>
    </row>
    <row r="134" spans="1:105" s="112" customFormat="1">
      <c r="A134" s="241"/>
      <c r="B134" s="244"/>
      <c r="C134" s="210"/>
      <c r="D134" s="148" t="s">
        <v>86</v>
      </c>
      <c r="E134" s="159">
        <v>205.58454976702802</v>
      </c>
      <c r="F134" s="159">
        <v>196.72047242405367</v>
      </c>
      <c r="G134" s="159">
        <v>208.57655878902892</v>
      </c>
      <c r="H134" s="159">
        <v>213.28611485904264</v>
      </c>
      <c r="I134" s="159">
        <v>219.20116855183483</v>
      </c>
      <c r="J134" s="159">
        <v>208.46983598970232</v>
      </c>
      <c r="K134" s="159">
        <v>201.67221059982424</v>
      </c>
      <c r="L134" s="159">
        <v>230.88979262080827</v>
      </c>
      <c r="M134" s="159">
        <v>233.57184197489894</v>
      </c>
      <c r="N134" s="159">
        <v>229.52331789324793</v>
      </c>
      <c r="O134" s="159">
        <v>245.90539220593087</v>
      </c>
      <c r="P134" s="159">
        <v>219.8073712805338</v>
      </c>
      <c r="Q134" s="159">
        <v>225.87751266437988</v>
      </c>
      <c r="R134" s="159">
        <v>235.87073177756645</v>
      </c>
      <c r="S134" s="159">
        <v>238.05256548579754</v>
      </c>
      <c r="T134" s="159">
        <v>237.60708825919696</v>
      </c>
      <c r="U134" s="159">
        <v>244.571151001868</v>
      </c>
      <c r="V134" s="159">
        <v>223.45479078501606</v>
      </c>
      <c r="W134" s="159">
        <v>244.26326686692573</v>
      </c>
      <c r="X134" s="159">
        <v>226.51659948272976</v>
      </c>
      <c r="Y134" s="159">
        <v>210.34665825989777</v>
      </c>
      <c r="Z134" s="159">
        <v>199.96373773564881</v>
      </c>
      <c r="AA134" s="159">
        <v>208.62663594691816</v>
      </c>
      <c r="AB134" s="159">
        <v>208.0106816623196</v>
      </c>
      <c r="AC134" s="159">
        <v>176.46611454018935</v>
      </c>
      <c r="AD134" s="159">
        <v>171.67527530941234</v>
      </c>
      <c r="AE134" s="159">
        <v>159.5393173416393</v>
      </c>
      <c r="AF134" s="160">
        <v>166.60562982889778</v>
      </c>
      <c r="AG134" s="160">
        <v>164.57007558728048</v>
      </c>
      <c r="AH134" s="160">
        <v>160.26630710303905</v>
      </c>
      <c r="AI134" s="160">
        <v>142.77786224946951</v>
      </c>
      <c r="AJ134" s="160">
        <v>142.14220593751131</v>
      </c>
      <c r="AK134" s="160">
        <v>126.85825749061858</v>
      </c>
      <c r="AL134" s="40"/>
      <c r="AM134" s="40"/>
      <c r="AN134" s="75">
        <f t="shared" si="6"/>
        <v>-0.38293875860624471</v>
      </c>
      <c r="AO134" s="32"/>
      <c r="AP134" s="169"/>
      <c r="AQ134" s="169"/>
      <c r="AR134" s="169"/>
      <c r="AS134" s="14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c r="CH134" s="110"/>
      <c r="CI134" s="110"/>
      <c r="CJ134" s="110"/>
      <c r="CK134" s="110"/>
      <c r="CL134" s="110"/>
      <c r="CM134" s="110"/>
      <c r="CN134" s="110"/>
      <c r="CO134" s="110"/>
      <c r="CP134" s="110"/>
      <c r="CQ134" s="110"/>
      <c r="CR134" s="110"/>
      <c r="CS134" s="110"/>
      <c r="CT134" s="110"/>
      <c r="CU134" s="110"/>
      <c r="CV134" s="110"/>
      <c r="CW134" s="110"/>
      <c r="CX134" s="110"/>
      <c r="CY134" s="110"/>
      <c r="CZ134" s="110"/>
      <c r="DA134" s="110"/>
    </row>
    <row r="135" spans="1:105">
      <c r="A135" s="239" t="s">
        <v>26</v>
      </c>
      <c r="B135" s="242" t="s">
        <v>78</v>
      </c>
      <c r="C135" s="207" t="s">
        <v>87</v>
      </c>
      <c r="D135" s="133" t="s">
        <v>85</v>
      </c>
      <c r="E135" s="157">
        <v>101.51214625353728</v>
      </c>
      <c r="F135" s="157">
        <v>102.41395651644193</v>
      </c>
      <c r="G135" s="157">
        <v>107.98422620511808</v>
      </c>
      <c r="H135" s="157">
        <v>106.92218236322212</v>
      </c>
      <c r="I135" s="157">
        <v>107.53615723102082</v>
      </c>
      <c r="J135" s="157">
        <v>104.18724534412787</v>
      </c>
      <c r="K135" s="157">
        <v>107.86782091561142</v>
      </c>
      <c r="L135" s="157">
        <v>106.25856574128767</v>
      </c>
      <c r="M135" s="157">
        <v>105.36412598375615</v>
      </c>
      <c r="N135" s="157">
        <v>106.45151327470126</v>
      </c>
      <c r="O135" s="157">
        <v>104.67246385342521</v>
      </c>
      <c r="P135" s="157">
        <v>104.93332517662755</v>
      </c>
      <c r="Q135" s="157">
        <v>105.2527472746284</v>
      </c>
      <c r="R135" s="157">
        <v>102.3049780093851</v>
      </c>
      <c r="S135" s="157">
        <v>97.207629120082487</v>
      </c>
      <c r="T135" s="157">
        <v>95.997140373605333</v>
      </c>
      <c r="U135" s="157">
        <v>91.624451763597705</v>
      </c>
      <c r="V135" s="157">
        <v>91.237661997251777</v>
      </c>
      <c r="W135" s="157">
        <v>91.864857246447912</v>
      </c>
      <c r="X135" s="157">
        <v>88.001740636896585</v>
      </c>
      <c r="Y135" s="157">
        <v>85.693661082046731</v>
      </c>
      <c r="Z135" s="157">
        <v>84.461506839006944</v>
      </c>
      <c r="AA135" s="157">
        <v>87.806925471515484</v>
      </c>
      <c r="AB135" s="157">
        <v>90.200897490492792</v>
      </c>
      <c r="AC135" s="157">
        <v>84.737572544713743</v>
      </c>
      <c r="AD135" s="157">
        <v>88.012188324416655</v>
      </c>
      <c r="AE135" s="157">
        <v>86.807542324278927</v>
      </c>
      <c r="AF135" s="158">
        <v>83.321595667325937</v>
      </c>
      <c r="AG135" s="158">
        <v>86.252642806949638</v>
      </c>
      <c r="AH135" s="158">
        <v>82.173762438998608</v>
      </c>
      <c r="AI135" s="158">
        <v>69.265420969230718</v>
      </c>
      <c r="AJ135" s="158">
        <v>73.108944431502678</v>
      </c>
      <c r="AK135" s="158">
        <v>66.533518958894248</v>
      </c>
      <c r="AL135" s="83">
        <v>-0.3</v>
      </c>
      <c r="AM135" s="41">
        <v>1990</v>
      </c>
      <c r="AN135" s="137">
        <f t="shared" si="6"/>
        <v>-0.34457578315091697</v>
      </c>
      <c r="AO135" s="138">
        <v>-0.22</v>
      </c>
      <c r="AP135" s="166">
        <v>1990</v>
      </c>
      <c r="AQ135" s="167">
        <v>-0.55000000000000004</v>
      </c>
      <c r="AR135" s="166">
        <v>2030</v>
      </c>
      <c r="AS135" s="137">
        <f>(AK135/E135)-1</f>
        <v>-0.34457578315091697</v>
      </c>
    </row>
    <row r="136" spans="1:105">
      <c r="A136" s="240"/>
      <c r="B136" s="243"/>
      <c r="C136" s="208"/>
      <c r="D136" s="133" t="s">
        <v>86</v>
      </c>
      <c r="E136" s="157">
        <v>101.39884102738999</v>
      </c>
      <c r="F136" s="157">
        <v>102.30047703565991</v>
      </c>
      <c r="G136" s="157">
        <v>107.86868475772988</v>
      </c>
      <c r="H136" s="157">
        <v>106.8061437404133</v>
      </c>
      <c r="I136" s="157">
        <v>107.41741757582402</v>
      </c>
      <c r="J136" s="157">
        <v>104.06855829297319</v>
      </c>
      <c r="K136" s="157">
        <v>107.75191209699025</v>
      </c>
      <c r="L136" s="157">
        <v>106.14537291784379</v>
      </c>
      <c r="M136" s="157">
        <v>105.25448509670194</v>
      </c>
      <c r="N136" s="157">
        <v>106.34418756818434</v>
      </c>
      <c r="O136" s="157">
        <v>104.56865233533578</v>
      </c>
      <c r="P136" s="157">
        <v>104.83184449966035</v>
      </c>
      <c r="Q136" s="157">
        <v>105.16398877850457</v>
      </c>
      <c r="R136" s="157">
        <v>102.22071401001736</v>
      </c>
      <c r="S136" s="157">
        <v>97.128903293569323</v>
      </c>
      <c r="T136" s="157">
        <v>95.911700403624366</v>
      </c>
      <c r="U136" s="157">
        <v>91.538668844574147</v>
      </c>
      <c r="V136" s="157">
        <v>91.146476312183509</v>
      </c>
      <c r="W136" s="157">
        <v>91.77960438400747</v>
      </c>
      <c r="X136" s="157">
        <v>87.914436594412848</v>
      </c>
      <c r="Y136" s="157">
        <v>85.610067965352215</v>
      </c>
      <c r="Z136" s="157">
        <v>84.375860240938792</v>
      </c>
      <c r="AA136" s="157">
        <v>87.726787316585089</v>
      </c>
      <c r="AB136" s="157">
        <v>90.126429130445217</v>
      </c>
      <c r="AC136" s="157">
        <v>84.669175167395366</v>
      </c>
      <c r="AD136" s="157">
        <v>87.948737535469419</v>
      </c>
      <c r="AE136" s="157">
        <v>86.743996840935068</v>
      </c>
      <c r="AF136" s="158">
        <v>83.259050573416019</v>
      </c>
      <c r="AG136" s="158">
        <v>86.186494096900319</v>
      </c>
      <c r="AH136" s="158">
        <v>82.11580852536602</v>
      </c>
      <c r="AI136" s="158">
        <v>69.198036225884223</v>
      </c>
      <c r="AJ136" s="158">
        <v>73.035991339100008</v>
      </c>
      <c r="AK136" s="158">
        <v>66.459559575843642</v>
      </c>
      <c r="AL136" s="39"/>
      <c r="AM136" s="39"/>
      <c r="AN136" s="103">
        <f t="shared" si="6"/>
        <v>-0.34457278897407229</v>
      </c>
      <c r="AO136" s="139"/>
      <c r="AP136" s="168"/>
      <c r="AQ136" s="168"/>
      <c r="AR136" s="168"/>
      <c r="AS136" s="103"/>
    </row>
    <row r="137" spans="1:105">
      <c r="A137" s="240"/>
      <c r="B137" s="243"/>
      <c r="C137" s="209" t="s">
        <v>88</v>
      </c>
      <c r="D137" s="133" t="s">
        <v>85</v>
      </c>
      <c r="E137" s="157">
        <v>96.986338396310501</v>
      </c>
      <c r="F137" s="157">
        <v>97.767760305978982</v>
      </c>
      <c r="G137" s="157">
        <v>103.3356891045368</v>
      </c>
      <c r="H137" s="157">
        <v>102.28002652011293</v>
      </c>
      <c r="I137" s="157">
        <v>103.05291624345676</v>
      </c>
      <c r="J137" s="157">
        <v>99.858370389560093</v>
      </c>
      <c r="K137" s="157">
        <v>103.2711249729996</v>
      </c>
      <c r="L137" s="157">
        <v>101.57648889943765</v>
      </c>
      <c r="M137" s="157">
        <v>100.41792335104525</v>
      </c>
      <c r="N137" s="157">
        <v>100.99753714704842</v>
      </c>
      <c r="O137" s="157">
        <v>98.678398452188844</v>
      </c>
      <c r="P137" s="157">
        <v>98.223871172192773</v>
      </c>
      <c r="Q137" s="157">
        <v>97.916058441403123</v>
      </c>
      <c r="R137" s="157">
        <v>95.266759757509561</v>
      </c>
      <c r="S137" s="157">
        <v>90.166684354668121</v>
      </c>
      <c r="T137" s="157">
        <v>87.994857515503156</v>
      </c>
      <c r="U137" s="157">
        <v>82.413534292530215</v>
      </c>
      <c r="V137" s="157">
        <v>81.019809171225575</v>
      </c>
      <c r="W137" s="157">
        <v>80.622190537322837</v>
      </c>
      <c r="X137" s="157">
        <v>77.48463836747608</v>
      </c>
      <c r="Y137" s="157">
        <v>75.051491399919215</v>
      </c>
      <c r="Z137" s="157">
        <v>73.439921154953993</v>
      </c>
      <c r="AA137" s="157">
        <v>76.968449572755517</v>
      </c>
      <c r="AB137" s="157">
        <v>78.212158649065316</v>
      </c>
      <c r="AC137" s="157">
        <v>73.809140591440823</v>
      </c>
      <c r="AD137" s="157">
        <v>76.302340999788655</v>
      </c>
      <c r="AE137" s="157">
        <v>75.395191868050077</v>
      </c>
      <c r="AF137" s="158">
        <v>73.289578858449801</v>
      </c>
      <c r="AG137" s="158">
        <v>74.75526506354332</v>
      </c>
      <c r="AH137" s="158">
        <v>71.01982556875744</v>
      </c>
      <c r="AI137" s="158">
        <v>60.648662375946252</v>
      </c>
      <c r="AJ137" s="158">
        <v>64.513502753557987</v>
      </c>
      <c r="AK137" s="158">
        <v>57.452790234427368</v>
      </c>
      <c r="AL137" s="39"/>
      <c r="AM137" s="39"/>
      <c r="AN137" s="103">
        <f t="shared" si="6"/>
        <v>-0.40761976187140025</v>
      </c>
      <c r="AO137" s="139"/>
      <c r="AP137" s="168"/>
      <c r="AQ137" s="168"/>
      <c r="AR137" s="168"/>
      <c r="AS137" s="103"/>
    </row>
    <row r="138" spans="1:105">
      <c r="A138" s="241"/>
      <c r="B138" s="244"/>
      <c r="C138" s="210"/>
      <c r="D138" s="148" t="s">
        <v>86</v>
      </c>
      <c r="E138" s="159">
        <v>96.862763553138862</v>
      </c>
      <c r="F138" s="159">
        <v>97.643884038361421</v>
      </c>
      <c r="G138" s="159">
        <v>103.20957007325745</v>
      </c>
      <c r="H138" s="159">
        <v>102.15327372188716</v>
      </c>
      <c r="I138" s="159">
        <v>102.92326258761611</v>
      </c>
      <c r="J138" s="159">
        <v>99.728647499005717</v>
      </c>
      <c r="K138" s="159">
        <v>103.14413545981733</v>
      </c>
      <c r="L138" s="159">
        <v>101.45216812465841</v>
      </c>
      <c r="M138" s="159">
        <v>100.29713034832064</v>
      </c>
      <c r="N138" s="159">
        <v>100.8789994266249</v>
      </c>
      <c r="O138" s="159">
        <v>98.56334838063627</v>
      </c>
      <c r="P138" s="159">
        <v>98.111889207725568</v>
      </c>
      <c r="Q138" s="159">
        <v>97.806793003566142</v>
      </c>
      <c r="R138" s="159">
        <v>95.161623733499724</v>
      </c>
      <c r="S138" s="159">
        <v>90.066474520083915</v>
      </c>
      <c r="T138" s="159">
        <v>87.897127489093236</v>
      </c>
      <c r="U138" s="159">
        <v>82.320780671543517</v>
      </c>
      <c r="V138" s="159">
        <v>80.918142811870453</v>
      </c>
      <c r="W138" s="159">
        <v>80.52690362024029</v>
      </c>
      <c r="X138" s="159">
        <v>77.391125624850247</v>
      </c>
      <c r="Y138" s="159">
        <v>74.959623680937852</v>
      </c>
      <c r="Z138" s="159">
        <v>73.345912233922689</v>
      </c>
      <c r="AA138" s="159">
        <v>76.880228976504071</v>
      </c>
      <c r="AB138" s="159">
        <v>78.127303748409844</v>
      </c>
      <c r="AC138" s="159">
        <v>73.728859260918497</v>
      </c>
      <c r="AD138" s="159">
        <v>76.226829121416429</v>
      </c>
      <c r="AE138" s="159">
        <v>75.321401663014129</v>
      </c>
      <c r="AF138" s="160">
        <v>73.217619663768829</v>
      </c>
      <c r="AG138" s="160">
        <v>74.682882264743355</v>
      </c>
      <c r="AH138" s="160">
        <v>70.949988137088013</v>
      </c>
      <c r="AI138" s="160">
        <v>60.577978373136602</v>
      </c>
      <c r="AJ138" s="160">
        <v>64.435036422232614</v>
      </c>
      <c r="AK138" s="160">
        <v>57.372103935026765</v>
      </c>
      <c r="AL138" s="40"/>
      <c r="AM138" s="40"/>
      <c r="AN138" s="140">
        <f t="shared" si="6"/>
        <v>-0.40769701554558213</v>
      </c>
      <c r="AO138" s="141"/>
      <c r="AP138" s="169"/>
      <c r="AQ138" s="169"/>
      <c r="AR138" s="169"/>
      <c r="AS138" s="140"/>
    </row>
    <row r="139" spans="1:105" s="112" customFormat="1">
      <c r="A139" s="239" t="s">
        <v>26</v>
      </c>
      <c r="B139" s="242" t="s">
        <v>79</v>
      </c>
      <c r="C139" s="207" t="s">
        <v>87</v>
      </c>
      <c r="D139" s="133" t="s">
        <v>85</v>
      </c>
      <c r="E139" s="157">
        <v>50796.769249585668</v>
      </c>
      <c r="F139" s="157">
        <v>48400.868079214422</v>
      </c>
      <c r="G139" s="157">
        <v>46770.378949129619</v>
      </c>
      <c r="H139" s="157">
        <v>48639.019526145421</v>
      </c>
      <c r="I139" s="157">
        <v>50545.044552851861</v>
      </c>
      <c r="J139" s="157">
        <v>50904.26843756868</v>
      </c>
      <c r="K139" s="157">
        <v>53786.903044414685</v>
      </c>
      <c r="L139" s="157">
        <v>53750.971830855597</v>
      </c>
      <c r="M139" s="157">
        <v>53822.511424745549</v>
      </c>
      <c r="N139" s="157">
        <v>54783.755305181752</v>
      </c>
      <c r="O139" s="157">
        <v>54117.224863793439</v>
      </c>
      <c r="P139" s="157">
        <v>55318.288359223443</v>
      </c>
      <c r="Q139" s="157">
        <v>54149.652444826599</v>
      </c>
      <c r="R139" s="157">
        <v>54898.128139605935</v>
      </c>
      <c r="S139" s="157">
        <v>55362.103859597686</v>
      </c>
      <c r="T139" s="157">
        <v>54375.270500381841</v>
      </c>
      <c r="U139" s="157">
        <v>54429.200784131761</v>
      </c>
      <c r="V139" s="157">
        <v>56134.042022664871</v>
      </c>
      <c r="W139" s="157">
        <v>54700.232611239262</v>
      </c>
      <c r="X139" s="157">
        <v>52233.299511456069</v>
      </c>
      <c r="Y139" s="157">
        <v>54555.85326526688</v>
      </c>
      <c r="Z139" s="157">
        <v>53589.90588294818</v>
      </c>
      <c r="AA139" s="157">
        <v>53020.557054560311</v>
      </c>
      <c r="AB139" s="157">
        <v>53249.592529597459</v>
      </c>
      <c r="AC139" s="157">
        <v>53620.43933033268</v>
      </c>
      <c r="AD139" s="157">
        <v>54141.062564871841</v>
      </c>
      <c r="AE139" s="157">
        <v>53275.633887589473</v>
      </c>
      <c r="AF139" s="158">
        <v>52577.877823366907</v>
      </c>
      <c r="AG139" s="158">
        <v>52670.862422024125</v>
      </c>
      <c r="AH139" s="158">
        <v>50919.945130137705</v>
      </c>
      <c r="AI139" s="158">
        <v>49251.978755528558</v>
      </c>
      <c r="AJ139" s="158">
        <v>49124.970386074121</v>
      </c>
      <c r="AK139" s="158">
        <v>48754.93642736107</v>
      </c>
      <c r="AL139" s="41" t="s">
        <v>36</v>
      </c>
      <c r="AM139" s="41">
        <v>1990</v>
      </c>
      <c r="AN139" s="73">
        <f t="shared" si="6"/>
        <v>-4.0196115863042836E-2</v>
      </c>
      <c r="AO139" s="36">
        <v>-0.16</v>
      </c>
      <c r="AP139" s="166">
        <v>1990</v>
      </c>
      <c r="AQ139" s="167">
        <v>-0.55000000000000004</v>
      </c>
      <c r="AR139" s="166">
        <v>2030</v>
      </c>
      <c r="AS139" s="137">
        <f>(AK139/E139)-1</f>
        <v>-4.0196115863042836E-2</v>
      </c>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c r="CG139" s="110"/>
      <c r="CH139" s="110"/>
      <c r="CI139" s="110"/>
      <c r="CJ139" s="110"/>
      <c r="CK139" s="110"/>
      <c r="CL139" s="110"/>
      <c r="CM139" s="110"/>
      <c r="CN139" s="110"/>
      <c r="CO139" s="110"/>
      <c r="CP139" s="110"/>
      <c r="CQ139" s="110"/>
      <c r="CR139" s="110"/>
      <c r="CS139" s="110"/>
      <c r="CT139" s="110"/>
      <c r="CU139" s="110"/>
      <c r="CV139" s="110"/>
      <c r="CW139" s="110"/>
      <c r="CX139" s="110"/>
      <c r="CY139" s="110"/>
      <c r="CZ139" s="110"/>
      <c r="DA139" s="110"/>
    </row>
    <row r="140" spans="1:105" s="112" customFormat="1">
      <c r="A140" s="240"/>
      <c r="B140" s="243"/>
      <c r="C140" s="208"/>
      <c r="D140" s="133" t="s">
        <v>86</v>
      </c>
      <c r="E140" s="157">
        <v>39022.225082278659</v>
      </c>
      <c r="F140" s="157">
        <v>35569.108209576982</v>
      </c>
      <c r="G140" s="157">
        <v>34433.865123081567</v>
      </c>
      <c r="H140" s="157">
        <v>35407.262121345142</v>
      </c>
      <c r="I140" s="157">
        <v>38490.903608288521</v>
      </c>
      <c r="J140" s="157">
        <v>36373.314535880643</v>
      </c>
      <c r="K140" s="157">
        <v>43675.682296831044</v>
      </c>
      <c r="L140" s="157">
        <v>40815.072349550668</v>
      </c>
      <c r="M140" s="157">
        <v>39610.057142440695</v>
      </c>
      <c r="N140" s="157">
        <v>35184.758084201334</v>
      </c>
      <c r="O140" s="157">
        <v>37145.23352318105</v>
      </c>
      <c r="P140" s="157">
        <v>33581.901552739815</v>
      </c>
      <c r="Q140" s="157">
        <v>31029.301834518272</v>
      </c>
      <c r="R140" s="157">
        <v>32558.549943822054</v>
      </c>
      <c r="S140" s="157">
        <v>32513.648483309615</v>
      </c>
      <c r="T140" s="157">
        <v>29567.920154121217</v>
      </c>
      <c r="U140" s="157">
        <v>34501.057508858619</v>
      </c>
      <c r="V140" s="157">
        <v>34678.446567833023</v>
      </c>
      <c r="W140" s="157">
        <v>28293.578041812892</v>
      </c>
      <c r="X140" s="157">
        <v>27235.429078828762</v>
      </c>
      <c r="Y140" s="157">
        <v>28266.21376717788</v>
      </c>
      <c r="Z140" s="157">
        <v>28029.845025100734</v>
      </c>
      <c r="AA140" s="157">
        <v>28372.720611314176</v>
      </c>
      <c r="AB140" s="157">
        <v>32047.560077728598</v>
      </c>
      <c r="AC140" s="157">
        <v>34760.516875421177</v>
      </c>
      <c r="AD140" s="157">
        <v>39089.607256258503</v>
      </c>
      <c r="AE140" s="157">
        <v>39588.74312780465</v>
      </c>
      <c r="AF140" s="158">
        <v>36613.537787752895</v>
      </c>
      <c r="AG140" s="158">
        <v>39665.949072216245</v>
      </c>
      <c r="AH140" s="158">
        <v>42167.121450504354</v>
      </c>
      <c r="AI140" s="158">
        <v>33136.81896792652</v>
      </c>
      <c r="AJ140" s="158">
        <v>37382.395609021529</v>
      </c>
      <c r="AK140" s="158">
        <v>35008.839498041205</v>
      </c>
      <c r="AL140" s="39"/>
      <c r="AM140" s="39"/>
      <c r="AN140" s="74">
        <f t="shared" si="6"/>
        <v>-0.10284871187573752</v>
      </c>
      <c r="AO140" s="25"/>
      <c r="AP140" s="168"/>
      <c r="AQ140" s="168"/>
      <c r="AR140" s="168"/>
      <c r="AS140" s="103"/>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c r="BX140" s="110"/>
      <c r="BY140" s="110"/>
      <c r="BZ140" s="110"/>
      <c r="CA140" s="110"/>
      <c r="CB140" s="110"/>
      <c r="CC140" s="110"/>
      <c r="CD140" s="110"/>
      <c r="CE140" s="110"/>
      <c r="CF140" s="110"/>
      <c r="CG140" s="110"/>
      <c r="CH140" s="110"/>
      <c r="CI140" s="110"/>
      <c r="CJ140" s="110"/>
      <c r="CK140" s="110"/>
      <c r="CL140" s="110"/>
      <c r="CM140" s="110"/>
      <c r="CN140" s="110"/>
      <c r="CO140" s="110"/>
      <c r="CP140" s="110"/>
      <c r="CQ140" s="110"/>
      <c r="CR140" s="110"/>
      <c r="CS140" s="110"/>
      <c r="CT140" s="110"/>
      <c r="CU140" s="110"/>
      <c r="CV140" s="110"/>
      <c r="CW140" s="110"/>
      <c r="CX140" s="110"/>
      <c r="CY140" s="110"/>
      <c r="CZ140" s="110"/>
      <c r="DA140" s="110"/>
    </row>
    <row r="141" spans="1:105" s="112" customFormat="1">
      <c r="A141" s="240"/>
      <c r="B141" s="243"/>
      <c r="C141" s="209" t="s">
        <v>88</v>
      </c>
      <c r="D141" s="133" t="s">
        <v>85</v>
      </c>
      <c r="E141" s="157">
        <v>34536.451803992808</v>
      </c>
      <c r="F141" s="157">
        <v>32951.274941361298</v>
      </c>
      <c r="G141" s="157">
        <v>33787.693332460098</v>
      </c>
      <c r="H141" s="157">
        <v>35268.429480309103</v>
      </c>
      <c r="I141" s="157">
        <v>37143.588816907199</v>
      </c>
      <c r="J141" s="157">
        <v>37692.404770684603</v>
      </c>
      <c r="K141" s="157">
        <v>40748.614384422697</v>
      </c>
      <c r="L141" s="157">
        <v>40836.915275199601</v>
      </c>
      <c r="M141" s="157">
        <v>41032.281927313794</v>
      </c>
      <c r="N141" s="157">
        <v>41764.236104724303</v>
      </c>
      <c r="O141" s="157">
        <v>41225.161775293309</v>
      </c>
      <c r="P141" s="157">
        <v>42568.568729468403</v>
      </c>
      <c r="Q141" s="157">
        <v>41767.232770667099</v>
      </c>
      <c r="R141" s="157">
        <v>43254.699553046506</v>
      </c>
      <c r="S141" s="157">
        <v>43690.606299306899</v>
      </c>
      <c r="T141" s="157">
        <v>42850.484301412602</v>
      </c>
      <c r="U141" s="157">
        <v>43511.581480449</v>
      </c>
      <c r="V141" s="157">
        <v>45272.752013795493</v>
      </c>
      <c r="W141" s="157">
        <v>44449.106260302302</v>
      </c>
      <c r="X141" s="157">
        <v>42877.943046731394</v>
      </c>
      <c r="Y141" s="157">
        <v>45444.898495685811</v>
      </c>
      <c r="Z141" s="157">
        <v>44592.865511673495</v>
      </c>
      <c r="AA141" s="157">
        <v>44081.791260935308</v>
      </c>
      <c r="AB141" s="157">
        <v>44358.673493074508</v>
      </c>
      <c r="AC141" s="157">
        <v>44772.234522594306</v>
      </c>
      <c r="AD141" s="157">
        <v>45318.996822959998</v>
      </c>
      <c r="AE141" s="157">
        <v>44511.089887675997</v>
      </c>
      <c r="AF141" s="158">
        <v>43998.003107173397</v>
      </c>
      <c r="AG141" s="158">
        <v>44232.046309638397</v>
      </c>
      <c r="AH141" s="158">
        <v>42631.052118389685</v>
      </c>
      <c r="AI141" s="158">
        <v>41056.177433971199</v>
      </c>
      <c r="AJ141" s="158">
        <v>40898.455642375506</v>
      </c>
      <c r="AK141" s="158">
        <v>40683.259507722003</v>
      </c>
      <c r="AL141" s="39"/>
      <c r="AM141" s="39"/>
      <c r="AN141" s="74">
        <f t="shared" si="6"/>
        <v>0.17798028988659897</v>
      </c>
      <c r="AO141" s="25"/>
      <c r="AP141" s="168"/>
      <c r="AQ141" s="168"/>
      <c r="AR141" s="168"/>
      <c r="AS141" s="103"/>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c r="BX141" s="110"/>
      <c r="BY141" s="110"/>
      <c r="BZ141" s="110"/>
      <c r="CA141" s="110"/>
      <c r="CB141" s="110"/>
      <c r="CC141" s="110"/>
      <c r="CD141" s="110"/>
      <c r="CE141" s="110"/>
      <c r="CF141" s="110"/>
      <c r="CG141" s="110"/>
      <c r="CH141" s="110"/>
      <c r="CI141" s="110"/>
      <c r="CJ141" s="110"/>
      <c r="CK141" s="110"/>
      <c r="CL141" s="110"/>
      <c r="CM141" s="110"/>
      <c r="CN141" s="110"/>
      <c r="CO141" s="110"/>
      <c r="CP141" s="110"/>
      <c r="CQ141" s="110"/>
      <c r="CR141" s="110"/>
      <c r="CS141" s="110"/>
      <c r="CT141" s="110"/>
      <c r="CU141" s="110"/>
      <c r="CV141" s="110"/>
      <c r="CW141" s="110"/>
      <c r="CX141" s="110"/>
      <c r="CY141" s="110"/>
      <c r="CZ141" s="110"/>
      <c r="DA141" s="110"/>
    </row>
    <row r="142" spans="1:105" s="112" customFormat="1">
      <c r="A142" s="241"/>
      <c r="B142" s="244"/>
      <c r="C142" s="210"/>
      <c r="D142" s="148" t="s">
        <v>86</v>
      </c>
      <c r="E142" s="159">
        <v>22348.77252917425</v>
      </c>
      <c r="F142" s="159">
        <v>19703.03027623349</v>
      </c>
      <c r="G142" s="159">
        <v>21034.311487798252</v>
      </c>
      <c r="H142" s="159">
        <v>21621.896848269702</v>
      </c>
      <c r="I142" s="159">
        <v>24674.411561306384</v>
      </c>
      <c r="J142" s="159">
        <v>22745.798201472302</v>
      </c>
      <c r="K142" s="159">
        <v>30219.828434470604</v>
      </c>
      <c r="L142" s="159">
        <v>27478.898582418577</v>
      </c>
      <c r="M142" s="159">
        <v>26394.485005188384</v>
      </c>
      <c r="N142" s="159">
        <v>21738.100180616602</v>
      </c>
      <c r="O142" s="159">
        <v>23824.844290812682</v>
      </c>
      <c r="P142" s="159">
        <v>20402.399153788258</v>
      </c>
      <c r="Q142" s="159">
        <v>18215.192471761242</v>
      </c>
      <c r="R142" s="159">
        <v>20483.391396676692</v>
      </c>
      <c r="S142" s="159">
        <v>20411.34043149032</v>
      </c>
      <c r="T142" s="159">
        <v>17610.521394738491</v>
      </c>
      <c r="U142" s="159">
        <v>23146.360567203188</v>
      </c>
      <c r="V142" s="159">
        <v>23382.90161436619</v>
      </c>
      <c r="W142" s="159">
        <v>17599.635635521256</v>
      </c>
      <c r="X142" s="159">
        <v>17440.035242302092</v>
      </c>
      <c r="Y142" s="159">
        <v>18708.759600714999</v>
      </c>
      <c r="Z142" s="159">
        <v>18586.562858475339</v>
      </c>
      <c r="AA142" s="159">
        <v>18985.747801430189</v>
      </c>
      <c r="AB142" s="159">
        <v>22708.712333096792</v>
      </c>
      <c r="AC142" s="159">
        <v>25464.299776765914</v>
      </c>
      <c r="AD142" s="159">
        <v>29818.485151606979</v>
      </c>
      <c r="AE142" s="159">
        <v>30363.528892945291</v>
      </c>
      <c r="AF142" s="160">
        <v>27572.034419536416</v>
      </c>
      <c r="AG142" s="160">
        <v>30766.751664831521</v>
      </c>
      <c r="AH142" s="160">
        <v>33420.122946078023</v>
      </c>
      <c r="AI142" s="160">
        <v>24481.775895129911</v>
      </c>
      <c r="AJ142" s="160">
        <v>28693.019318818529</v>
      </c>
      <c r="AK142" s="160">
        <v>26481.439215265516</v>
      </c>
      <c r="AL142" s="40"/>
      <c r="AM142" s="40"/>
      <c r="AN142" s="75">
        <f t="shared" si="6"/>
        <v>0.18491694256122804</v>
      </c>
      <c r="AO142" s="32"/>
      <c r="AP142" s="169"/>
      <c r="AQ142" s="169"/>
      <c r="AR142" s="169"/>
      <c r="AS142" s="14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row>
    <row r="143" spans="1:105" s="112" customFormat="1">
      <c r="A143" s="239" t="s">
        <v>26</v>
      </c>
      <c r="B143" s="242" t="s">
        <v>80</v>
      </c>
      <c r="C143" s="207" t="s">
        <v>87</v>
      </c>
      <c r="D143" s="133" t="s">
        <v>85</v>
      </c>
      <c r="E143" s="157">
        <v>54665.542967645808</v>
      </c>
      <c r="F143" s="157">
        <v>56538.209108330033</v>
      </c>
      <c r="G143" s="157">
        <v>56272.971649207619</v>
      </c>
      <c r="H143" s="157">
        <v>53679.344906005652</v>
      </c>
      <c r="I143" s="157">
        <v>52622.104027187241</v>
      </c>
      <c r="J143" s="157">
        <v>53511.063992829913</v>
      </c>
      <c r="K143" s="157">
        <v>54173.137658462365</v>
      </c>
      <c r="L143" s="157">
        <v>52971.460223477094</v>
      </c>
      <c r="M143" s="157">
        <v>54520.903365068822</v>
      </c>
      <c r="N143" s="157">
        <v>54334.563596598608</v>
      </c>
      <c r="O143" s="157">
        <v>53604.880991821745</v>
      </c>
      <c r="P143" s="157">
        <v>55147.044445818472</v>
      </c>
      <c r="Q143" s="157">
        <v>53601.822432588604</v>
      </c>
      <c r="R143" s="157">
        <v>54673.999241473575</v>
      </c>
      <c r="S143" s="157">
        <v>55281.76856649726</v>
      </c>
      <c r="T143" s="157">
        <v>55916.389751231683</v>
      </c>
      <c r="U143" s="157">
        <v>55591.864309766497</v>
      </c>
      <c r="V143" s="157">
        <v>53656.316881508305</v>
      </c>
      <c r="W143" s="157">
        <v>55054.195767596349</v>
      </c>
      <c r="X143" s="157">
        <v>53576.785556569703</v>
      </c>
      <c r="Y143" s="157">
        <v>55160.413723303936</v>
      </c>
      <c r="Z143" s="157">
        <v>51042.395434096819</v>
      </c>
      <c r="AA143" s="157">
        <v>52375.112735610121</v>
      </c>
      <c r="AB143" s="157">
        <v>53228.90402372332</v>
      </c>
      <c r="AC143" s="157">
        <v>49294.253782859239</v>
      </c>
      <c r="AD143" s="157">
        <v>48781.558231018782</v>
      </c>
      <c r="AE143" s="157">
        <v>49086.684553956489</v>
      </c>
      <c r="AF143" s="158">
        <v>48116.061904587994</v>
      </c>
      <c r="AG143" s="158">
        <v>46614.28078556119</v>
      </c>
      <c r="AH143" s="158">
        <v>46361.670801136883</v>
      </c>
      <c r="AI143" s="158">
        <v>43696.817568229941</v>
      </c>
      <c r="AJ143" s="158">
        <v>45042.28937000993</v>
      </c>
      <c r="AK143" s="158">
        <v>41536.134931482993</v>
      </c>
      <c r="AL143" s="41" t="s">
        <v>35</v>
      </c>
      <c r="AM143" s="41">
        <v>1990</v>
      </c>
      <c r="AN143" s="73">
        <f t="shared" si="6"/>
        <v>-0.24017703517430622</v>
      </c>
      <c r="AO143" s="37">
        <v>-0.158</v>
      </c>
      <c r="AP143" s="166">
        <v>1990</v>
      </c>
      <c r="AQ143" s="167">
        <v>-0.65</v>
      </c>
      <c r="AR143" s="166">
        <v>2035</v>
      </c>
      <c r="AS143" s="137">
        <f>(AK143/E143)-1</f>
        <v>-0.24017703517430622</v>
      </c>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c r="BX143" s="110"/>
      <c r="BY143" s="110"/>
      <c r="BZ143" s="110"/>
      <c r="CA143" s="110"/>
      <c r="CB143" s="110"/>
      <c r="CC143" s="110"/>
      <c r="CD143" s="110"/>
      <c r="CE143" s="110"/>
      <c r="CF143" s="110"/>
      <c r="CG143" s="110"/>
      <c r="CH143" s="110"/>
      <c r="CI143" s="110"/>
      <c r="CJ143" s="110"/>
      <c r="CK143" s="110"/>
      <c r="CL143" s="110"/>
      <c r="CM143" s="110"/>
      <c r="CN143" s="110"/>
      <c r="CO143" s="110"/>
      <c r="CP143" s="110"/>
      <c r="CQ143" s="110"/>
      <c r="CR143" s="110"/>
      <c r="CS143" s="110"/>
      <c r="CT143" s="110"/>
      <c r="CU143" s="110"/>
      <c r="CV143" s="110"/>
      <c r="CW143" s="110"/>
      <c r="CX143" s="110"/>
      <c r="CY143" s="110"/>
      <c r="CZ143" s="110"/>
      <c r="DA143" s="110"/>
    </row>
    <row r="144" spans="1:105" s="112" customFormat="1">
      <c r="A144" s="240"/>
      <c r="B144" s="243"/>
      <c r="C144" s="208"/>
      <c r="D144" s="133" t="s">
        <v>86</v>
      </c>
      <c r="E144" s="157">
        <v>51706.297431540312</v>
      </c>
      <c r="F144" s="157">
        <v>50518.093140490484</v>
      </c>
      <c r="G144" s="157">
        <v>51867.146242882212</v>
      </c>
      <c r="H144" s="157">
        <v>48369.977721551149</v>
      </c>
      <c r="I144" s="157">
        <v>49669.586624281998</v>
      </c>
      <c r="J144" s="157">
        <v>49203.66362048631</v>
      </c>
      <c r="K144" s="157">
        <v>47926.321119526947</v>
      </c>
      <c r="L144" s="157">
        <v>49064.938443857187</v>
      </c>
      <c r="M144" s="157">
        <v>51360.168143192015</v>
      </c>
      <c r="N144" s="157">
        <v>52577.292945768015</v>
      </c>
      <c r="O144" s="157">
        <v>58015.810580934471</v>
      </c>
      <c r="P144" s="157">
        <v>54402.956379599978</v>
      </c>
      <c r="Q144" s="157">
        <v>51068.75451392986</v>
      </c>
      <c r="R144" s="157">
        <v>52732.901141219001</v>
      </c>
      <c r="S144" s="157">
        <v>51850.207518757306</v>
      </c>
      <c r="T144" s="157">
        <v>52705.482003933917</v>
      </c>
      <c r="U144" s="157">
        <v>55081.666348831226</v>
      </c>
      <c r="V144" s="157">
        <v>52843.614127910267</v>
      </c>
      <c r="W144" s="157">
        <v>53006.558315396651</v>
      </c>
      <c r="X144" s="157">
        <v>51185.42210325475</v>
      </c>
      <c r="Y144" s="157">
        <v>52041.953536147368</v>
      </c>
      <c r="Z144" s="157">
        <v>49904.239911408105</v>
      </c>
      <c r="AA144" s="157">
        <v>50731.904449488968</v>
      </c>
      <c r="AB144" s="157">
        <v>51419.050383887399</v>
      </c>
      <c r="AC144" s="157">
        <v>48590.632530733026</v>
      </c>
      <c r="AD144" s="157">
        <v>47238.511741704802</v>
      </c>
      <c r="AE144" s="157">
        <v>47050.156467734356</v>
      </c>
      <c r="AF144" s="158">
        <v>46786.694089094308</v>
      </c>
      <c r="AG144" s="158">
        <v>46730.71874036485</v>
      </c>
      <c r="AH144" s="158">
        <v>45733.084701316206</v>
      </c>
      <c r="AI144" s="158">
        <v>43046.436156357056</v>
      </c>
      <c r="AJ144" s="158">
        <v>43768.580918710199</v>
      </c>
      <c r="AK144" s="158">
        <v>41969.230765461114</v>
      </c>
      <c r="AL144" s="39"/>
      <c r="AM144" s="39"/>
      <c r="AN144" s="74">
        <f t="shared" si="6"/>
        <v>-0.18831490843008392</v>
      </c>
      <c r="AO144" s="25"/>
      <c r="AP144" s="168"/>
      <c r="AQ144" s="168"/>
      <c r="AR144" s="168"/>
      <c r="AS144" s="103"/>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row>
    <row r="145" spans="1:105" s="112" customFormat="1">
      <c r="A145" s="240"/>
      <c r="B145" s="243"/>
      <c r="C145" s="209" t="s">
        <v>88</v>
      </c>
      <c r="D145" s="133" t="s">
        <v>85</v>
      </c>
      <c r="E145" s="157">
        <v>44148.588656750471</v>
      </c>
      <c r="F145" s="157">
        <v>46131.6712095658</v>
      </c>
      <c r="G145" s="157">
        <v>46017.52904669819</v>
      </c>
      <c r="H145" s="157">
        <v>43610.237127686378</v>
      </c>
      <c r="I145" s="157">
        <v>42669.574904853471</v>
      </c>
      <c r="J145" s="157">
        <v>43413.913292437828</v>
      </c>
      <c r="K145" s="157">
        <v>44108.031476030235</v>
      </c>
      <c r="L145" s="157">
        <v>43045.787583304729</v>
      </c>
      <c r="M145" s="157">
        <v>44623.134088071471</v>
      </c>
      <c r="N145" s="157">
        <v>44445.530738195906</v>
      </c>
      <c r="O145" s="157">
        <v>43620.736429712284</v>
      </c>
      <c r="P145" s="157">
        <v>45086.545453424522</v>
      </c>
      <c r="Q145" s="157">
        <v>43466.809690800081</v>
      </c>
      <c r="R145" s="157">
        <v>44649.641445712048</v>
      </c>
      <c r="S145" s="157">
        <v>45232.801781082548</v>
      </c>
      <c r="T145" s="157">
        <v>45776.742295643111</v>
      </c>
      <c r="U145" s="157">
        <v>45364.588759147111</v>
      </c>
      <c r="V145" s="157">
        <v>43358.122944492126</v>
      </c>
      <c r="W145" s="157">
        <v>44698.535826548279</v>
      </c>
      <c r="X145" s="157">
        <v>43523.338055234672</v>
      </c>
      <c r="Y145" s="157">
        <v>45034.102010938186</v>
      </c>
      <c r="Z145" s="157">
        <v>40972.653078343079</v>
      </c>
      <c r="AA145" s="157">
        <v>42240.525174697897</v>
      </c>
      <c r="AB145" s="157">
        <v>43171.428262574344</v>
      </c>
      <c r="AC145" s="157">
        <v>39221.0584001198</v>
      </c>
      <c r="AD145" s="157">
        <v>38718.969491679498</v>
      </c>
      <c r="AE145" s="157">
        <v>39172.086040867689</v>
      </c>
      <c r="AF145" s="158">
        <v>38164.797662969417</v>
      </c>
      <c r="AG145" s="158">
        <v>36859.041300101526</v>
      </c>
      <c r="AH145" s="158">
        <v>36720.794397804122</v>
      </c>
      <c r="AI145" s="158">
        <v>34228.229640718579</v>
      </c>
      <c r="AJ145" s="158">
        <v>35779.835094460999</v>
      </c>
      <c r="AK145" s="158">
        <v>32818.888627462955</v>
      </c>
      <c r="AL145" s="39"/>
      <c r="AM145" s="39"/>
      <c r="AN145" s="74">
        <f t="shared" si="6"/>
        <v>-0.25662655079133923</v>
      </c>
      <c r="AO145" s="25"/>
      <c r="AP145" s="168"/>
      <c r="AQ145" s="168"/>
      <c r="AR145" s="168"/>
      <c r="AS145" s="103"/>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row>
    <row r="146" spans="1:105" s="112" customFormat="1">
      <c r="A146" s="241"/>
      <c r="B146" s="244"/>
      <c r="C146" s="210"/>
      <c r="D146" s="148" t="s">
        <v>86</v>
      </c>
      <c r="E146" s="159">
        <v>41101.096524178625</v>
      </c>
      <c r="F146" s="159">
        <v>40048.89895828232</v>
      </c>
      <c r="G146" s="159">
        <v>41550.409534367056</v>
      </c>
      <c r="H146" s="159">
        <v>38240.024522207284</v>
      </c>
      <c r="I146" s="159">
        <v>39650.54563593131</v>
      </c>
      <c r="J146" s="159">
        <v>39036.733489456012</v>
      </c>
      <c r="K146" s="159">
        <v>37795.037123454538</v>
      </c>
      <c r="L146" s="159">
        <v>39043.123216954722</v>
      </c>
      <c r="M146" s="159">
        <v>41397.334476328841</v>
      </c>
      <c r="N146" s="159">
        <v>42628.263898754711</v>
      </c>
      <c r="O146" s="159">
        <v>47970.96872931187</v>
      </c>
      <c r="P146" s="159">
        <v>44282.858308141513</v>
      </c>
      <c r="Q146" s="159">
        <v>40863.634183973962</v>
      </c>
      <c r="R146" s="159">
        <v>42635.996512359816</v>
      </c>
      <c r="S146" s="159">
        <v>41741.867389819832</v>
      </c>
      <c r="T146" s="159">
        <v>42506.030415039131</v>
      </c>
      <c r="U146" s="159">
        <v>44792.763437582274</v>
      </c>
      <c r="V146" s="159">
        <v>42480.345918365085</v>
      </c>
      <c r="W146" s="159">
        <v>42590.81240400915</v>
      </c>
      <c r="X146" s="159">
        <v>41071.538927800248</v>
      </c>
      <c r="Y146" s="159">
        <v>41855.837841838009</v>
      </c>
      <c r="Z146" s="159">
        <v>39770.706206662202</v>
      </c>
      <c r="AA146" s="159">
        <v>40537.163072015581</v>
      </c>
      <c r="AB146" s="159">
        <v>41300.983470254687</v>
      </c>
      <c r="AC146" s="159">
        <v>38456.161112955058</v>
      </c>
      <c r="AD146" s="159">
        <v>37114.257431099853</v>
      </c>
      <c r="AE146" s="159">
        <v>37068.15272051761</v>
      </c>
      <c r="AF146" s="160">
        <v>36771.916001628546</v>
      </c>
      <c r="AG146" s="160">
        <v>36913.189753476683</v>
      </c>
      <c r="AH146" s="160">
        <v>36030.866707978857</v>
      </c>
      <c r="AI146" s="160">
        <v>33516.484167836657</v>
      </c>
      <c r="AJ146" s="160">
        <v>34443.997588833539</v>
      </c>
      <c r="AK146" s="160">
        <v>33183.45087530381</v>
      </c>
      <c r="AL146" s="40"/>
      <c r="AM146" s="40"/>
      <c r="AN146" s="75">
        <f t="shared" si="6"/>
        <v>-0.19263830696626516</v>
      </c>
      <c r="AO146" s="32"/>
      <c r="AP146" s="169"/>
      <c r="AQ146" s="169"/>
      <c r="AR146" s="169"/>
      <c r="AS146" s="14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c r="CH146" s="110"/>
      <c r="CI146" s="110"/>
      <c r="CJ146" s="110"/>
      <c r="CK146" s="110"/>
      <c r="CL146" s="110"/>
      <c r="CM146" s="110"/>
      <c r="CN146" s="110"/>
      <c r="CO146" s="110"/>
      <c r="CP146" s="110"/>
      <c r="CQ146" s="110"/>
      <c r="CR146" s="110"/>
      <c r="CS146" s="110"/>
      <c r="CT146" s="110"/>
      <c r="CU146" s="110"/>
      <c r="CV146" s="110"/>
      <c r="CW146" s="110"/>
      <c r="CX146" s="110"/>
      <c r="CY146" s="110"/>
      <c r="CZ146" s="110"/>
      <c r="DA146" s="110"/>
    </row>
    <row r="147" spans="1:105" s="112" customFormat="1">
      <c r="A147" s="239" t="s">
        <v>26</v>
      </c>
      <c r="B147" s="242" t="s">
        <v>81</v>
      </c>
      <c r="C147" s="207" t="s">
        <v>87</v>
      </c>
      <c r="D147" s="133" t="s">
        <v>85</v>
      </c>
      <c r="E147" s="157">
        <v>228001.91456962004</v>
      </c>
      <c r="F147" s="157">
        <v>235398.91965143115</v>
      </c>
      <c r="G147" s="157">
        <v>241811.60520891403</v>
      </c>
      <c r="H147" s="157">
        <v>249142.27068982238</v>
      </c>
      <c r="I147" s="157">
        <v>242768.8328251004</v>
      </c>
      <c r="J147" s="157">
        <v>256494.33664505032</v>
      </c>
      <c r="K147" s="157">
        <v>275852.24796439777</v>
      </c>
      <c r="L147" s="157">
        <v>286738.15721656074</v>
      </c>
      <c r="M147" s="157">
        <v>288138.1240926343</v>
      </c>
      <c r="N147" s="157">
        <v>285633.04697860853</v>
      </c>
      <c r="O147" s="157">
        <v>306388.30970814382</v>
      </c>
      <c r="P147" s="157">
        <v>287554.81961191579</v>
      </c>
      <c r="Q147" s="157">
        <v>292465.16096905171</v>
      </c>
      <c r="R147" s="157">
        <v>312138.82771102816</v>
      </c>
      <c r="S147" s="157">
        <v>321689.75324339152</v>
      </c>
      <c r="T147" s="157">
        <v>344782.21451462765</v>
      </c>
      <c r="U147" s="157">
        <v>365229.65980722883</v>
      </c>
      <c r="V147" s="157">
        <v>399028.02102807467</v>
      </c>
      <c r="W147" s="157">
        <v>394923.57828298444</v>
      </c>
      <c r="X147" s="157">
        <v>401316.72969552054</v>
      </c>
      <c r="Y147" s="157">
        <v>405269.24171703646</v>
      </c>
      <c r="Z147" s="157">
        <v>434770.7522395025</v>
      </c>
      <c r="AA147" s="157">
        <v>455164.66278975358</v>
      </c>
      <c r="AB147" s="157">
        <v>447307.51112375275</v>
      </c>
      <c r="AC147" s="157">
        <v>466379.72999859281</v>
      </c>
      <c r="AD147" s="157">
        <v>480074.59319849312</v>
      </c>
      <c r="AE147" s="157">
        <v>504088.95172459917</v>
      </c>
      <c r="AF147" s="158">
        <v>531107.53373882268</v>
      </c>
      <c r="AG147" s="158">
        <v>528079.17335718521</v>
      </c>
      <c r="AH147" s="158">
        <v>515582.21671163727</v>
      </c>
      <c r="AI147" s="158">
        <v>530175.40525344573</v>
      </c>
      <c r="AJ147" s="158">
        <v>571987.74333260825</v>
      </c>
      <c r="AK147" s="158">
        <v>558270.48182228173</v>
      </c>
      <c r="AL147" s="41" t="s">
        <v>28</v>
      </c>
      <c r="AM147" s="41" t="s">
        <v>28</v>
      </c>
      <c r="AN147" s="73">
        <f t="shared" si="6"/>
        <v>1.4485341839171912</v>
      </c>
      <c r="AO147" s="25" t="s">
        <v>28</v>
      </c>
      <c r="AP147" s="166" t="s">
        <v>131</v>
      </c>
      <c r="AQ147" s="167">
        <v>-0.41</v>
      </c>
      <c r="AR147" s="166">
        <v>2030</v>
      </c>
      <c r="AS147" s="137">
        <f>(AK147/AP185)-1</f>
        <v>-0.52487618568316452</v>
      </c>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c r="BX147" s="110"/>
      <c r="BY147" s="110"/>
      <c r="BZ147" s="110"/>
      <c r="CA147" s="110"/>
      <c r="CB147" s="110"/>
      <c r="CC147" s="110"/>
      <c r="CD147" s="110"/>
      <c r="CE147" s="110"/>
      <c r="CF147" s="110"/>
      <c r="CG147" s="110"/>
      <c r="CH147" s="110"/>
      <c r="CI147" s="110"/>
      <c r="CJ147" s="110"/>
      <c r="CK147" s="110"/>
      <c r="CL147" s="110"/>
      <c r="CM147" s="110"/>
      <c r="CN147" s="110"/>
      <c r="CO147" s="110"/>
      <c r="CP147" s="110"/>
      <c r="CQ147" s="110"/>
      <c r="CR147" s="110"/>
      <c r="CS147" s="110"/>
      <c r="CT147" s="110"/>
      <c r="CU147" s="110"/>
      <c r="CV147" s="110"/>
      <c r="CW147" s="110"/>
      <c r="CX147" s="110"/>
      <c r="CY147" s="110"/>
      <c r="CZ147" s="110"/>
      <c r="DA147" s="110"/>
    </row>
    <row r="148" spans="1:105" s="112" customFormat="1">
      <c r="A148" s="240"/>
      <c r="B148" s="243"/>
      <c r="C148" s="208"/>
      <c r="D148" s="133" t="s">
        <v>86</v>
      </c>
      <c r="E148" s="157">
        <v>161572.22516237735</v>
      </c>
      <c r="F148" s="157">
        <v>167975.40622203809</v>
      </c>
      <c r="G148" s="157">
        <v>174342.0469620401</v>
      </c>
      <c r="H148" s="157">
        <v>182471.14439640974</v>
      </c>
      <c r="I148" s="157">
        <v>174735.38574970167</v>
      </c>
      <c r="J148" s="157">
        <v>188549.54359110954</v>
      </c>
      <c r="K148" s="157">
        <v>208568.95997706088</v>
      </c>
      <c r="L148" s="157">
        <v>216284.23326678923</v>
      </c>
      <c r="M148" s="157">
        <v>217547.4864912203</v>
      </c>
      <c r="N148" s="157">
        <v>214413.62369355169</v>
      </c>
      <c r="O148" s="157">
        <v>238232.64597052705</v>
      </c>
      <c r="P148" s="157">
        <v>216826.94569749385</v>
      </c>
      <c r="Q148" s="157">
        <v>223110.64949668746</v>
      </c>
      <c r="R148" s="157">
        <v>240852.48209722544</v>
      </c>
      <c r="S148" s="157">
        <v>251752.48829391046</v>
      </c>
      <c r="T148" s="157">
        <v>272559.77909141721</v>
      </c>
      <c r="U148" s="157">
        <v>293628.31128892821</v>
      </c>
      <c r="V148" s="157">
        <v>327086.29234994896</v>
      </c>
      <c r="W148" s="157">
        <v>327070.91078037419</v>
      </c>
      <c r="X148" s="157">
        <v>330556.58039614011</v>
      </c>
      <c r="Y148" s="157">
        <v>333211.20740917098</v>
      </c>
      <c r="Z148" s="157">
        <v>359211.47684234963</v>
      </c>
      <c r="AA148" s="157">
        <v>381743.09263242973</v>
      </c>
      <c r="AB148" s="157">
        <v>370901.73693462141</v>
      </c>
      <c r="AC148" s="157">
        <v>389527.5972096764</v>
      </c>
      <c r="AD148" s="157">
        <v>407217.62807609397</v>
      </c>
      <c r="AE148" s="157">
        <v>430352.5154866926</v>
      </c>
      <c r="AF148" s="158">
        <v>455073.4502882667</v>
      </c>
      <c r="AG148" s="158">
        <v>457677.32337850734</v>
      </c>
      <c r="AH148" s="158">
        <v>451280.42424972606</v>
      </c>
      <c r="AI148" s="158">
        <v>472534.16373850848</v>
      </c>
      <c r="AJ148" s="158">
        <v>524113.10597406409</v>
      </c>
      <c r="AK148" s="158">
        <v>502174.97217642935</v>
      </c>
      <c r="AL148" s="39"/>
      <c r="AM148" s="39"/>
      <c r="AN148" s="74">
        <f t="shared" si="6"/>
        <v>2.1080525855960208</v>
      </c>
      <c r="AO148" s="25"/>
      <c r="AP148" s="168"/>
      <c r="AQ148" s="168"/>
      <c r="AR148" s="168"/>
      <c r="AS148" s="103"/>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row>
    <row r="149" spans="1:105" s="112" customFormat="1">
      <c r="A149" s="240"/>
      <c r="B149" s="243"/>
      <c r="C149" s="209" t="s">
        <v>88</v>
      </c>
      <c r="D149" s="133" t="s">
        <v>85</v>
      </c>
      <c r="E149" s="157">
        <v>154140.68321639043</v>
      </c>
      <c r="F149" s="157">
        <v>160571.10785945531</v>
      </c>
      <c r="G149" s="157">
        <v>166704.36252307371</v>
      </c>
      <c r="H149" s="157">
        <v>173770.40818818417</v>
      </c>
      <c r="I149" s="157">
        <v>170074.62399521432</v>
      </c>
      <c r="J149" s="157">
        <v>184132.36829456512</v>
      </c>
      <c r="K149" s="157">
        <v>202535.29607071052</v>
      </c>
      <c r="L149" s="157">
        <v>214931.87925039389</v>
      </c>
      <c r="M149" s="157">
        <v>214998.98890232769</v>
      </c>
      <c r="N149" s="157">
        <v>210678.19753622459</v>
      </c>
      <c r="O149" s="157">
        <v>232351.2868587735</v>
      </c>
      <c r="P149" s="157">
        <v>216293.52328199698</v>
      </c>
      <c r="Q149" s="157">
        <v>223724.43718543093</v>
      </c>
      <c r="R149" s="157">
        <v>239233.7025703298</v>
      </c>
      <c r="S149" s="157">
        <v>247182.69386602458</v>
      </c>
      <c r="T149" s="157">
        <v>266990.70911089156</v>
      </c>
      <c r="U149" s="157">
        <v>284629.61546442995</v>
      </c>
      <c r="V149" s="157">
        <v>315614.57768085343</v>
      </c>
      <c r="W149" s="157">
        <v>311674.51397029322</v>
      </c>
      <c r="X149" s="157">
        <v>317511.94546651642</v>
      </c>
      <c r="Y149" s="157">
        <v>317555.16956761753</v>
      </c>
      <c r="Z149" s="157">
        <v>342962.4325474677</v>
      </c>
      <c r="AA149" s="157">
        <v>357442.5014981922</v>
      </c>
      <c r="AB149" s="157">
        <v>349194.09118378407</v>
      </c>
      <c r="AC149" s="157">
        <v>365651.62884227175</v>
      </c>
      <c r="AD149" s="157">
        <v>386321.66535475105</v>
      </c>
      <c r="AE149" s="157">
        <v>404647.96877319086</v>
      </c>
      <c r="AF149" s="158">
        <v>429350.28354358405</v>
      </c>
      <c r="AG149" s="158">
        <v>422146.31600151671</v>
      </c>
      <c r="AH149" s="158">
        <v>404300.91745389509</v>
      </c>
      <c r="AI149" s="158">
        <v>414377.83826285682</v>
      </c>
      <c r="AJ149" s="158">
        <v>455248.36736534763</v>
      </c>
      <c r="AK149" s="158">
        <v>441422.79428925313</v>
      </c>
      <c r="AL149" s="39"/>
      <c r="AM149" s="39"/>
      <c r="AN149" s="74">
        <f t="shared" si="6"/>
        <v>1.8637656527677486</v>
      </c>
      <c r="AO149" s="25"/>
      <c r="AP149" s="168"/>
      <c r="AQ149" s="168"/>
      <c r="AR149" s="168"/>
      <c r="AS149" s="103"/>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c r="CG149" s="110"/>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row>
    <row r="150" spans="1:105" s="112" customFormat="1">
      <c r="A150" s="241"/>
      <c r="B150" s="244"/>
      <c r="C150" s="210"/>
      <c r="D150" s="148" t="s">
        <v>86</v>
      </c>
      <c r="E150" s="159">
        <v>87568.376569147717</v>
      </c>
      <c r="F150" s="159">
        <v>93070.735045485766</v>
      </c>
      <c r="G150" s="159">
        <v>99116.917933367513</v>
      </c>
      <c r="H150" s="159">
        <v>106949.17736993641</v>
      </c>
      <c r="I150" s="159">
        <v>101667.29130433807</v>
      </c>
      <c r="J150" s="159">
        <v>116108.41128433486</v>
      </c>
      <c r="K150" s="159">
        <v>135099.5894196493</v>
      </c>
      <c r="L150" s="159">
        <v>144409.18266009426</v>
      </c>
      <c r="M150" s="159">
        <v>144333.80148544375</v>
      </c>
      <c r="N150" s="159">
        <v>139392.11373007152</v>
      </c>
      <c r="O150" s="159">
        <v>163915.42353887123</v>
      </c>
      <c r="P150" s="159">
        <v>145481.04816225069</v>
      </c>
      <c r="Q150" s="159">
        <v>154262.16551938915</v>
      </c>
      <c r="R150" s="159">
        <v>167859.99158169513</v>
      </c>
      <c r="S150" s="159">
        <v>177177.71653727669</v>
      </c>
      <c r="T150" s="159">
        <v>194724.3883888406</v>
      </c>
      <c r="U150" s="159">
        <v>212924.35977244034</v>
      </c>
      <c r="V150" s="159">
        <v>243520.35478855768</v>
      </c>
      <c r="W150" s="159">
        <v>243455.00212882581</v>
      </c>
      <c r="X150" s="159">
        <v>246677.37638307235</v>
      </c>
      <c r="Y150" s="159">
        <v>245436.83175915043</v>
      </c>
      <c r="Z150" s="159">
        <v>267337.33773339516</v>
      </c>
      <c r="AA150" s="159">
        <v>283874.26553644746</v>
      </c>
      <c r="AB150" s="159">
        <v>272630.47881748562</v>
      </c>
      <c r="AC150" s="159">
        <v>288739.19765086233</v>
      </c>
      <c r="AD150" s="159">
        <v>313402.04036712676</v>
      </c>
      <c r="AE150" s="159">
        <v>330781.57869668928</v>
      </c>
      <c r="AF150" s="160">
        <v>353190.01081671583</v>
      </c>
      <c r="AG150" s="160">
        <v>351687.57078043203</v>
      </c>
      <c r="AH150" s="160">
        <v>339887.10676988639</v>
      </c>
      <c r="AI150" s="160">
        <v>356519.13782412134</v>
      </c>
      <c r="AJ150" s="160">
        <v>406152.84269016725</v>
      </c>
      <c r="AK150" s="160">
        <v>385185.31164616998</v>
      </c>
      <c r="AL150" s="40"/>
      <c r="AM150" s="40"/>
      <c r="AN150" s="75">
        <f t="shared" si="6"/>
        <v>3.3986805138726224</v>
      </c>
      <c r="AO150" s="32"/>
      <c r="AP150" s="169"/>
      <c r="AQ150" s="169"/>
      <c r="AR150" s="169"/>
      <c r="AS150" s="14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row>
    <row r="151" spans="1:105">
      <c r="A151" s="239" t="s">
        <v>26</v>
      </c>
      <c r="B151" s="242" t="s">
        <v>82</v>
      </c>
      <c r="C151" s="207" t="s">
        <v>87</v>
      </c>
      <c r="D151" s="133" t="s">
        <v>85</v>
      </c>
      <c r="E151" s="157">
        <v>962527.74592499365</v>
      </c>
      <c r="F151" s="157">
        <v>875728.9217880168</v>
      </c>
      <c r="G151" s="157">
        <v>819946.96668049169</v>
      </c>
      <c r="H151" s="157">
        <v>728907.09019378724</v>
      </c>
      <c r="I151" s="157">
        <v>622241.87909136305</v>
      </c>
      <c r="J151" s="157">
        <v>578197.70361357927</v>
      </c>
      <c r="K151" s="157">
        <v>531404.52958574193</v>
      </c>
      <c r="L151" s="157">
        <v>513839.96897152287</v>
      </c>
      <c r="M151" s="157">
        <v>495605.2756830423</v>
      </c>
      <c r="N151" s="157">
        <v>464710.18919496605</v>
      </c>
      <c r="O151" s="157">
        <v>441129.19266873924</v>
      </c>
      <c r="P151" s="157">
        <v>459229.08572165552</v>
      </c>
      <c r="Q151" s="157">
        <v>443289.705219016</v>
      </c>
      <c r="R151" s="157">
        <v>452604.49247362436</v>
      </c>
      <c r="S151" s="157">
        <v>454850.50673553493</v>
      </c>
      <c r="T151" s="157">
        <v>453541.15848061128</v>
      </c>
      <c r="U151" s="157">
        <v>470659.43087687419</v>
      </c>
      <c r="V151" s="157">
        <v>474135.56100864062</v>
      </c>
      <c r="W151" s="157">
        <v>460158.18711400859</v>
      </c>
      <c r="X151" s="157">
        <v>399806.13999057154</v>
      </c>
      <c r="Y151" s="157">
        <v>416608.40769814164</v>
      </c>
      <c r="Z151" s="157">
        <v>437108.71610924171</v>
      </c>
      <c r="AA151" s="157">
        <v>425553.61198622611</v>
      </c>
      <c r="AB151" s="157">
        <v>415825.38186507823</v>
      </c>
      <c r="AC151" s="157">
        <v>368251.17972142907</v>
      </c>
      <c r="AD151" s="157">
        <v>323971.19092184294</v>
      </c>
      <c r="AE151" s="157">
        <v>342484.12554424099</v>
      </c>
      <c r="AF151" s="161">
        <v>328144.92893472291</v>
      </c>
      <c r="AG151" s="161">
        <v>344327.97880557523</v>
      </c>
      <c r="AH151" s="161">
        <v>339605.08753625146</v>
      </c>
      <c r="AI151" s="161">
        <v>324525.07090937532</v>
      </c>
      <c r="AJ151" s="161">
        <v>332893.96157714847</v>
      </c>
      <c r="AK151" s="161">
        <v>238262.87086296052</v>
      </c>
      <c r="AL151" s="83">
        <v>-0.2</v>
      </c>
      <c r="AM151" s="41">
        <v>1990</v>
      </c>
      <c r="AN151" s="137">
        <f>(AD151/E151)-1</f>
        <v>-0.66341625756408185</v>
      </c>
      <c r="AO151" s="138">
        <v>-0.24</v>
      </c>
      <c r="AP151" s="166">
        <v>1990</v>
      </c>
      <c r="AQ151" s="167">
        <v>-0.65</v>
      </c>
      <c r="AR151" s="166">
        <v>2030</v>
      </c>
      <c r="AS151" s="137">
        <f>(AD151/E151)-1</f>
        <v>-0.66341625756408185</v>
      </c>
    </row>
    <row r="152" spans="1:105">
      <c r="A152" s="240"/>
      <c r="B152" s="243"/>
      <c r="C152" s="208"/>
      <c r="D152" s="133" t="s">
        <v>86</v>
      </c>
      <c r="E152" s="157">
        <v>915477.38803790056</v>
      </c>
      <c r="F152" s="157">
        <v>820910.08976516128</v>
      </c>
      <c r="G152" s="157">
        <v>766657.2369330083</v>
      </c>
      <c r="H152" s="157">
        <v>681605.39693167084</v>
      </c>
      <c r="I152" s="157">
        <v>573042.18365960661</v>
      </c>
      <c r="J152" s="157">
        <v>532873.85868985637</v>
      </c>
      <c r="K152" s="157">
        <v>492477.48976367398</v>
      </c>
      <c r="L152" s="157">
        <v>480765.16282150871</v>
      </c>
      <c r="M152" s="157">
        <v>458318.38008939452</v>
      </c>
      <c r="N152" s="157">
        <v>425444.3712427757</v>
      </c>
      <c r="O152" s="157">
        <v>408305.81339715928</v>
      </c>
      <c r="P152" s="157">
        <v>434785.33978324052</v>
      </c>
      <c r="Q152" s="157">
        <v>421175.96687361575</v>
      </c>
      <c r="R152" s="157">
        <v>420835.94915313076</v>
      </c>
      <c r="S152" s="157">
        <v>436539.26015347469</v>
      </c>
      <c r="T152" s="157">
        <v>435798.42320988682</v>
      </c>
      <c r="U152" s="157">
        <v>448867.09532481642</v>
      </c>
      <c r="V152" s="157">
        <v>451229.78475401923</v>
      </c>
      <c r="W152" s="157">
        <v>450137.13255269581</v>
      </c>
      <c r="X152" s="157">
        <v>384546.98551931209</v>
      </c>
      <c r="Y152" s="157">
        <v>395988.200516593</v>
      </c>
      <c r="Z152" s="157">
        <v>430481.01336027024</v>
      </c>
      <c r="AA152" s="157">
        <v>415161.2433354205</v>
      </c>
      <c r="AB152" s="157">
        <v>417669.35052675277</v>
      </c>
      <c r="AC152" s="157">
        <v>371296.41002329963</v>
      </c>
      <c r="AD152" s="157">
        <v>328364.14371852617</v>
      </c>
      <c r="AE152" s="157">
        <v>348753.29931335134</v>
      </c>
      <c r="AF152" s="161">
        <v>325844.17287190113</v>
      </c>
      <c r="AG152" s="161">
        <v>351665.83215739543</v>
      </c>
      <c r="AH152" s="161">
        <v>344893.51340118254</v>
      </c>
      <c r="AI152" s="161">
        <v>309282.13596334512</v>
      </c>
      <c r="AJ152" s="161">
        <v>327861.27885230875</v>
      </c>
      <c r="AK152" s="161">
        <v>223169.19450175448</v>
      </c>
      <c r="AL152" s="39"/>
      <c r="AM152" s="39"/>
      <c r="AN152" s="103">
        <f>(AD152/E152)-1</f>
        <v>-0.64131921988560148</v>
      </c>
      <c r="AO152" s="139"/>
      <c r="AP152" s="168"/>
      <c r="AQ152" s="168"/>
      <c r="AR152" s="168"/>
      <c r="AS152" s="103"/>
    </row>
    <row r="153" spans="1:105">
      <c r="A153" s="240"/>
      <c r="B153" s="243"/>
      <c r="C153" s="209" t="s">
        <v>88</v>
      </c>
      <c r="D153" s="133" t="s">
        <v>85</v>
      </c>
      <c r="E153" s="157">
        <v>706525.67497792176</v>
      </c>
      <c r="F153" s="157">
        <v>633193.86911370012</v>
      </c>
      <c r="G153" s="157">
        <v>589505.20649590483</v>
      </c>
      <c r="H153" s="157">
        <v>510495.3921082493</v>
      </c>
      <c r="I153" s="157">
        <v>419630.28244140372</v>
      </c>
      <c r="J153" s="157">
        <v>390173.45864733576</v>
      </c>
      <c r="K153" s="157">
        <v>351834.19495018176</v>
      </c>
      <c r="L153" s="157">
        <v>340585.97253809718</v>
      </c>
      <c r="M153" s="157">
        <v>328877.98786864162</v>
      </c>
      <c r="N153" s="157">
        <v>298635.5569920002</v>
      </c>
      <c r="O153" s="157">
        <v>285663.48825715861</v>
      </c>
      <c r="P153" s="157">
        <v>303876.02583417878</v>
      </c>
      <c r="Q153" s="157">
        <v>295900.92273148021</v>
      </c>
      <c r="R153" s="157">
        <v>307245.35432022897</v>
      </c>
      <c r="S153" s="157">
        <v>310625.75107547664</v>
      </c>
      <c r="T153" s="157">
        <v>313512.51455546409</v>
      </c>
      <c r="U153" s="157">
        <v>333054.19170332397</v>
      </c>
      <c r="V153" s="157">
        <v>336828.77977928304</v>
      </c>
      <c r="W153" s="157">
        <v>325983.40139832982</v>
      </c>
      <c r="X153" s="157">
        <v>277593.35890081344</v>
      </c>
      <c r="Y153" s="157">
        <v>294365.78742607828</v>
      </c>
      <c r="Z153" s="157">
        <v>308376.39392958395</v>
      </c>
      <c r="AA153" s="157">
        <v>304429.89601162286</v>
      </c>
      <c r="AB153" s="157">
        <v>297540.22399170091</v>
      </c>
      <c r="AC153" s="157">
        <v>257703.07197414865</v>
      </c>
      <c r="AD153" s="157">
        <v>223849.80651023245</v>
      </c>
      <c r="AE153" s="157">
        <v>234105.64875195711</v>
      </c>
      <c r="AF153" s="161">
        <v>223287.75945171944</v>
      </c>
      <c r="AG153" s="161">
        <v>231899.9858564777</v>
      </c>
      <c r="AH153" s="161">
        <v>222187.89673774943</v>
      </c>
      <c r="AI153" s="161">
        <v>207100.65191141068</v>
      </c>
      <c r="AJ153" s="161">
        <v>210636.07048038385</v>
      </c>
      <c r="AK153" s="161">
        <v>142964.13453191161</v>
      </c>
      <c r="AL153" s="39"/>
      <c r="AM153" s="39"/>
      <c r="AN153" s="103">
        <f>(AD153/E153)-1</f>
        <v>-0.68316819269557683</v>
      </c>
      <c r="AO153" s="139"/>
      <c r="AP153" s="168"/>
      <c r="AQ153" s="168"/>
      <c r="AR153" s="168"/>
      <c r="AS153" s="103"/>
    </row>
    <row r="154" spans="1:105">
      <c r="A154" s="241"/>
      <c r="B154" s="244"/>
      <c r="C154" s="210"/>
      <c r="D154" s="148" t="s">
        <v>86</v>
      </c>
      <c r="E154" s="159">
        <v>659261.64757352171</v>
      </c>
      <c r="F154" s="159">
        <v>578166.46554473927</v>
      </c>
      <c r="G154" s="159">
        <v>535990.68998824817</v>
      </c>
      <c r="H154" s="159">
        <v>462943.92250105581</v>
      </c>
      <c r="I154" s="159">
        <v>370133.44189573015</v>
      </c>
      <c r="J154" s="159">
        <v>344574.63415848266</v>
      </c>
      <c r="K154" s="159">
        <v>312592.20198265644</v>
      </c>
      <c r="L154" s="159">
        <v>307252.62444121391</v>
      </c>
      <c r="M154" s="159">
        <v>291311.71486939763</v>
      </c>
      <c r="N154" s="159">
        <v>259081.90358043078</v>
      </c>
      <c r="O154" s="159">
        <v>252575.08262025067</v>
      </c>
      <c r="P154" s="159">
        <v>279142.16753250366</v>
      </c>
      <c r="Q154" s="159">
        <v>273500.94136251888</v>
      </c>
      <c r="R154" s="159">
        <v>275197.93339339615</v>
      </c>
      <c r="S154" s="159">
        <v>292041.57915403653</v>
      </c>
      <c r="T154" s="159">
        <v>295486.29961476545</v>
      </c>
      <c r="U154" s="159">
        <v>310967.04677888699</v>
      </c>
      <c r="V154" s="159">
        <v>313475.04480365751</v>
      </c>
      <c r="W154" s="159">
        <v>315625.4925450625</v>
      </c>
      <c r="X154" s="159">
        <v>262006.93257553739</v>
      </c>
      <c r="Y154" s="159">
        <v>273529.10625313636</v>
      </c>
      <c r="Z154" s="159">
        <v>301574.22650090558</v>
      </c>
      <c r="AA154" s="159">
        <v>293829.60338372615</v>
      </c>
      <c r="AB154" s="159">
        <v>299225.99094033806</v>
      </c>
      <c r="AC154" s="159">
        <v>260540.4834712056</v>
      </c>
      <c r="AD154" s="159">
        <v>228043.97049344683</v>
      </c>
      <c r="AE154" s="162">
        <v>240248.26602232381</v>
      </c>
      <c r="AF154" s="163">
        <v>220831.75726235969</v>
      </c>
      <c r="AG154" s="163">
        <v>239069.11365151344</v>
      </c>
      <c r="AH154" s="163">
        <v>227299.56515219677</v>
      </c>
      <c r="AI154" s="163">
        <v>191204.99040454888</v>
      </c>
      <c r="AJ154" s="163">
        <v>205439.82893854106</v>
      </c>
      <c r="AK154" s="163">
        <v>127732.85702847769</v>
      </c>
      <c r="AL154" s="40"/>
      <c r="AM154" s="40"/>
      <c r="AN154" s="140">
        <f>(AD154/E154)-1</f>
        <v>-0.65409185968456462</v>
      </c>
      <c r="AO154" s="141"/>
      <c r="AP154" s="169"/>
      <c r="AQ154" s="169"/>
      <c r="AR154" s="169"/>
      <c r="AS154" s="140"/>
    </row>
    <row r="155" spans="1:105" s="112" customFormat="1" ht="15" customHeight="1">
      <c r="A155" s="239" t="s">
        <v>26</v>
      </c>
      <c r="B155" s="242" t="s">
        <v>155</v>
      </c>
      <c r="C155" s="233" t="s">
        <v>87</v>
      </c>
      <c r="D155" s="133" t="s">
        <v>85</v>
      </c>
      <c r="E155" s="157">
        <v>805610.85043472145</v>
      </c>
      <c r="F155" s="157">
        <v>814428.74390115147</v>
      </c>
      <c r="G155" s="157">
        <v>794096.75139463844</v>
      </c>
      <c r="H155" s="157">
        <v>775060.91145130724</v>
      </c>
      <c r="I155" s="157">
        <v>762886.95123865909</v>
      </c>
      <c r="J155" s="157">
        <v>756780.0480092651</v>
      </c>
      <c r="K155" s="157">
        <v>777414.37154482247</v>
      </c>
      <c r="L155" s="157">
        <v>753198.84760564333</v>
      </c>
      <c r="M155" s="157">
        <v>751677.95483105327</v>
      </c>
      <c r="N155" s="157">
        <v>722572.24009482434</v>
      </c>
      <c r="O155" s="157">
        <v>722644.1781178586</v>
      </c>
      <c r="P155" s="157">
        <v>725811.66395253653</v>
      </c>
      <c r="Q155" s="157">
        <v>704706.81096560881</v>
      </c>
      <c r="R155" s="157">
        <v>710267.08739829704</v>
      </c>
      <c r="S155" s="157">
        <v>706847.80640710099</v>
      </c>
      <c r="T155" s="157">
        <v>698481.29824488051</v>
      </c>
      <c r="U155" s="157">
        <v>691100.88167338574</v>
      </c>
      <c r="V155" s="157">
        <v>678936.80846278428</v>
      </c>
      <c r="W155" s="157">
        <v>657755.09696652868</v>
      </c>
      <c r="X155" s="157">
        <v>600794.79156791547</v>
      </c>
      <c r="Y155" s="157">
        <v>614637.87812504999</v>
      </c>
      <c r="Z155" s="157">
        <v>569042.69538846146</v>
      </c>
      <c r="AA155" s="157">
        <v>585241.17895513203</v>
      </c>
      <c r="AB155" s="157">
        <v>570675.69113213266</v>
      </c>
      <c r="AC155" s="157">
        <v>529459.06752827938</v>
      </c>
      <c r="AD155" s="157">
        <v>511812.28003796196</v>
      </c>
      <c r="AE155" s="157">
        <v>484467.28989936115</v>
      </c>
      <c r="AF155" s="158">
        <v>473198.62340815947</v>
      </c>
      <c r="AG155" s="158">
        <v>465920.02251783462</v>
      </c>
      <c r="AH155" s="158">
        <v>451127.94444457866</v>
      </c>
      <c r="AI155" s="158">
        <v>407084.43394011102</v>
      </c>
      <c r="AJ155" s="158">
        <v>424545.69362459483</v>
      </c>
      <c r="AK155" s="158">
        <v>409551.58354773134</v>
      </c>
      <c r="AL155" s="41" t="s">
        <v>35</v>
      </c>
      <c r="AM155" s="41">
        <v>1990</v>
      </c>
      <c r="AN155" s="73">
        <f>(AK155/E155)-1</f>
        <v>-0.49162603342950228</v>
      </c>
      <c r="AO155" s="36">
        <v>-0.2</v>
      </c>
      <c r="AP155" s="166">
        <v>1990</v>
      </c>
      <c r="AQ155" s="167">
        <v>-0.81</v>
      </c>
      <c r="AR155" s="166">
        <v>2035</v>
      </c>
      <c r="AS155" s="137">
        <f>(AK155/E155)-1</f>
        <v>-0.49162603342950228</v>
      </c>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row>
    <row r="156" spans="1:105" s="112" customFormat="1" ht="15" customHeight="1">
      <c r="A156" s="240"/>
      <c r="B156" s="243"/>
      <c r="C156" s="234"/>
      <c r="D156" s="133" t="s">
        <v>86</v>
      </c>
      <c r="E156" s="157">
        <v>816393.69309894822</v>
      </c>
      <c r="F156" s="157">
        <v>824700.72100877261</v>
      </c>
      <c r="G156" s="157">
        <v>803523.38461194851</v>
      </c>
      <c r="H156" s="157">
        <v>783899.58629694441</v>
      </c>
      <c r="I156" s="157">
        <v>771320.35074670147</v>
      </c>
      <c r="J156" s="157">
        <v>765231.95001902687</v>
      </c>
      <c r="K156" s="157">
        <v>784847.6064916926</v>
      </c>
      <c r="L156" s="157">
        <v>760074.84903888498</v>
      </c>
      <c r="M156" s="157">
        <v>757753.41514696379</v>
      </c>
      <c r="N156" s="157">
        <v>728770.2250079501</v>
      </c>
      <c r="O156" s="157">
        <v>728589.35313854017</v>
      </c>
      <c r="P156" s="157">
        <v>731116.10615275218</v>
      </c>
      <c r="Q156" s="157">
        <v>709185.02987157239</v>
      </c>
      <c r="R156" s="157">
        <v>714599.99021216528</v>
      </c>
      <c r="S156" s="157">
        <v>710328.9353157049</v>
      </c>
      <c r="T156" s="157">
        <v>701592.89196118503</v>
      </c>
      <c r="U156" s="157">
        <v>693799.64774120867</v>
      </c>
      <c r="V156" s="157">
        <v>681288.83060226403</v>
      </c>
      <c r="W156" s="157">
        <v>659271.51558809355</v>
      </c>
      <c r="X156" s="157">
        <v>602215.23830663483</v>
      </c>
      <c r="Y156" s="157">
        <v>615989.64602868236</v>
      </c>
      <c r="Z156" s="157">
        <v>569789.51736420067</v>
      </c>
      <c r="AA156" s="157">
        <v>586149.3516801619</v>
      </c>
      <c r="AB156" s="157">
        <v>571480.75232507335</v>
      </c>
      <c r="AC156" s="157">
        <v>529850.95305081666</v>
      </c>
      <c r="AD156" s="157">
        <v>512390.11801866494</v>
      </c>
      <c r="AE156" s="157">
        <v>485098.53980225103</v>
      </c>
      <c r="AF156" s="158">
        <v>473569.1167744011</v>
      </c>
      <c r="AG156" s="158">
        <v>466851.70456584904</v>
      </c>
      <c r="AH156" s="158">
        <v>452463.90411630744</v>
      </c>
      <c r="AI156" s="158">
        <v>407863.65040870634</v>
      </c>
      <c r="AJ156" s="158">
        <v>425089.51912640029</v>
      </c>
      <c r="AK156" s="158">
        <v>410345.39287369675</v>
      </c>
      <c r="AL156" s="39"/>
      <c r="AM156" s="39"/>
      <c r="AN156" s="74">
        <f>(AK156/E156)-1</f>
        <v>-0.4973682472777724</v>
      </c>
      <c r="AO156" s="25"/>
      <c r="AP156" s="168"/>
      <c r="AQ156" s="168"/>
      <c r="AR156" s="168"/>
      <c r="AS156" s="103"/>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row>
    <row r="157" spans="1:105" s="112" customFormat="1">
      <c r="A157" s="240"/>
      <c r="B157" s="243"/>
      <c r="C157" s="235" t="s">
        <v>88</v>
      </c>
      <c r="D157" s="133" t="s">
        <v>85</v>
      </c>
      <c r="E157" s="157">
        <v>603662.86089401203</v>
      </c>
      <c r="F157" s="157">
        <v>611170.45411533839</v>
      </c>
      <c r="G157" s="157">
        <v>595536.71973988833</v>
      </c>
      <c r="H157" s="157">
        <v>581505.91995838704</v>
      </c>
      <c r="I157" s="157">
        <v>575528.19820604555</v>
      </c>
      <c r="J157" s="157">
        <v>567695.72765364638</v>
      </c>
      <c r="K157" s="157">
        <v>588361.67277779325</v>
      </c>
      <c r="L157" s="157">
        <v>564927.33421193471</v>
      </c>
      <c r="M157" s="157">
        <v>570226.87033369159</v>
      </c>
      <c r="N157" s="157">
        <v>562709.98641600937</v>
      </c>
      <c r="O157" s="157">
        <v>570519.29919362662</v>
      </c>
      <c r="P157" s="157">
        <v>579604.93655515008</v>
      </c>
      <c r="Q157" s="157">
        <v>562226.38493685366</v>
      </c>
      <c r="R157" s="157">
        <v>573068.27212889376</v>
      </c>
      <c r="S157" s="157">
        <v>575184.62450261693</v>
      </c>
      <c r="T157" s="157">
        <v>571973.99725599319</v>
      </c>
      <c r="U157" s="157">
        <v>569571.15793579398</v>
      </c>
      <c r="V157" s="157">
        <v>561356.48269712063</v>
      </c>
      <c r="W157" s="157">
        <v>546975.89881896065</v>
      </c>
      <c r="X157" s="157">
        <v>495985.96158726077</v>
      </c>
      <c r="Y157" s="157">
        <v>513873.32129260059</v>
      </c>
      <c r="Z157" s="157">
        <v>471402.35442996892</v>
      </c>
      <c r="AA157" s="157">
        <v>489094.47984958481</v>
      </c>
      <c r="AB157" s="157">
        <v>479097.57717529993</v>
      </c>
      <c r="AC157" s="157">
        <v>440088.27210238972</v>
      </c>
      <c r="AD157" s="157">
        <v>423780.8846190261</v>
      </c>
      <c r="AE157" s="157">
        <v>399133.94634387537</v>
      </c>
      <c r="AF157" s="158">
        <v>387451.76422946923</v>
      </c>
      <c r="AG157" s="158">
        <v>381411.20293273032</v>
      </c>
      <c r="AH157" s="158">
        <v>367820.14076715353</v>
      </c>
      <c r="AI157" s="158">
        <v>328150.70657017239</v>
      </c>
      <c r="AJ157" s="158">
        <v>346506.56426406465</v>
      </c>
      <c r="AK157" s="158">
        <v>333535.006327604</v>
      </c>
      <c r="AL157" s="39"/>
      <c r="AM157" s="39"/>
      <c r="AN157" s="74">
        <f>(AK157/E157)-1</f>
        <v>-0.44748132122349604</v>
      </c>
      <c r="AO157" s="25"/>
      <c r="AP157" s="168"/>
      <c r="AQ157" s="168"/>
      <c r="AR157" s="168"/>
      <c r="AS157" s="103"/>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row>
    <row r="158" spans="1:105" s="112" customFormat="1" ht="15" customHeight="1">
      <c r="A158" s="241"/>
      <c r="B158" s="244"/>
      <c r="C158" s="236"/>
      <c r="D158" s="148" t="s">
        <v>86</v>
      </c>
      <c r="E158" s="159">
        <v>606965.86465709098</v>
      </c>
      <c r="F158" s="159">
        <v>613983.37291909242</v>
      </c>
      <c r="G158" s="159">
        <v>597538.58829106716</v>
      </c>
      <c r="H158" s="159">
        <v>582943.98640801059</v>
      </c>
      <c r="I158" s="159">
        <v>576588.51903708756</v>
      </c>
      <c r="J158" s="159">
        <v>568777.25675062463</v>
      </c>
      <c r="K158" s="159">
        <v>588472.95165455597</v>
      </c>
      <c r="L158" s="159">
        <v>564494.50990620116</v>
      </c>
      <c r="M158" s="159">
        <v>569039.72810241289</v>
      </c>
      <c r="N158" s="159">
        <v>561691.25128014351</v>
      </c>
      <c r="O158" s="159">
        <v>569253.66544111155</v>
      </c>
      <c r="P158" s="159">
        <v>577731.94642587891</v>
      </c>
      <c r="Q158" s="159">
        <v>559553.35874280054</v>
      </c>
      <c r="R158" s="159">
        <v>570215.29762400733</v>
      </c>
      <c r="S158" s="159">
        <v>571554.30783686414</v>
      </c>
      <c r="T158" s="159">
        <v>567982.9977046909</v>
      </c>
      <c r="U158" s="159">
        <v>565199.84378520399</v>
      </c>
      <c r="V158" s="159">
        <v>556636.17452189268</v>
      </c>
      <c r="W158" s="159">
        <v>541457.15526131564</v>
      </c>
      <c r="X158" s="159">
        <v>490401.91848926217</v>
      </c>
      <c r="Y158" s="159">
        <v>508207.92614396662</v>
      </c>
      <c r="Z158" s="159">
        <v>465113.9009295638</v>
      </c>
      <c r="AA158" s="159">
        <v>483009.29506256373</v>
      </c>
      <c r="AB158" s="159">
        <v>472909.72084907844</v>
      </c>
      <c r="AC158" s="159">
        <v>433539.26434826409</v>
      </c>
      <c r="AD158" s="159">
        <v>417393.68516015238</v>
      </c>
      <c r="AE158" s="159">
        <v>392801.27679250442</v>
      </c>
      <c r="AF158" s="160">
        <v>380873.22127761459</v>
      </c>
      <c r="AG158" s="160">
        <v>375333.62064994185</v>
      </c>
      <c r="AH158" s="160">
        <v>362093.83101027005</v>
      </c>
      <c r="AI158" s="160">
        <v>321931.18227907008</v>
      </c>
      <c r="AJ158" s="160">
        <v>340055.61156689364</v>
      </c>
      <c r="AK158" s="160">
        <v>327309.86258391174</v>
      </c>
      <c r="AL158" s="40"/>
      <c r="AM158" s="40"/>
      <c r="AN158" s="75">
        <f>(AK158/E158)-1</f>
        <v>-0.46074420055100229</v>
      </c>
      <c r="AO158" s="32"/>
      <c r="AP158" s="169"/>
      <c r="AQ158" s="169"/>
      <c r="AR158" s="169"/>
      <c r="AS158" s="14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c r="CQ158" s="110"/>
      <c r="CR158" s="110"/>
      <c r="CS158" s="110"/>
      <c r="CT158" s="110"/>
      <c r="CU158" s="110"/>
      <c r="CV158" s="110"/>
      <c r="CW158" s="110"/>
      <c r="CX158" s="110"/>
      <c r="CY158" s="110"/>
      <c r="CZ158" s="110"/>
      <c r="DA158" s="110"/>
    </row>
    <row r="159" spans="1:105" s="112" customFormat="1" ht="15" customHeight="1">
      <c r="A159" s="221" t="s">
        <v>10</v>
      </c>
      <c r="B159" s="224" t="s">
        <v>3</v>
      </c>
      <c r="C159" s="207" t="s">
        <v>87</v>
      </c>
      <c r="D159" s="133" t="s">
        <v>85</v>
      </c>
      <c r="E159" s="157">
        <v>1269430.6322014432</v>
      </c>
      <c r="F159" s="157">
        <v>1283622.8771759272</v>
      </c>
      <c r="G159" s="157">
        <v>1295413.0293839129</v>
      </c>
      <c r="H159" s="157">
        <v>1290874.0472512813</v>
      </c>
      <c r="I159" s="157">
        <v>1351092.0232529247</v>
      </c>
      <c r="J159" s="157">
        <v>1371412.5317875964</v>
      </c>
      <c r="K159" s="157">
        <v>1384052.3634711681</v>
      </c>
      <c r="L159" s="157">
        <v>1375902.7329194997</v>
      </c>
      <c r="M159" s="157">
        <v>1327823.7307702771</v>
      </c>
      <c r="N159" s="157">
        <v>1351773.8860427472</v>
      </c>
      <c r="O159" s="157">
        <v>1371338.7018497712</v>
      </c>
      <c r="P159" s="157">
        <v>1346361.7133259026</v>
      </c>
      <c r="Q159" s="157">
        <v>1371006.4355929806</v>
      </c>
      <c r="R159" s="157">
        <v>1378193.3336292186</v>
      </c>
      <c r="S159" s="157">
        <v>1370385.2425706722</v>
      </c>
      <c r="T159" s="157">
        <v>1378031.5256946911</v>
      </c>
      <c r="U159" s="157">
        <v>1356458.656503486</v>
      </c>
      <c r="V159" s="157">
        <v>1391809.2198724723</v>
      </c>
      <c r="W159" s="157">
        <v>1318894.5480210325</v>
      </c>
      <c r="X159" s="157">
        <v>1246948.029526829</v>
      </c>
      <c r="Y159" s="157">
        <v>1300198.14770784</v>
      </c>
      <c r="Z159" s="157">
        <v>1350700.4279910435</v>
      </c>
      <c r="AA159" s="157">
        <v>1393327.1980531099</v>
      </c>
      <c r="AB159" s="157">
        <v>1405048.8039318663</v>
      </c>
      <c r="AC159" s="157">
        <v>1355557.0081102166</v>
      </c>
      <c r="AD159" s="157">
        <v>1317077.1152542473</v>
      </c>
      <c r="AE159" s="164">
        <v>1299078.7238705272</v>
      </c>
      <c r="AF159" s="165">
        <v>1284787.8882195514</v>
      </c>
      <c r="AG159" s="165">
        <v>1240000.1101839773</v>
      </c>
      <c r="AH159" s="165">
        <v>1204214.7752044662</v>
      </c>
      <c r="AI159" s="165">
        <v>1140469.0233979998</v>
      </c>
      <c r="AJ159" s="165">
        <v>1162195.7653705785</v>
      </c>
      <c r="AK159" s="165">
        <v>1133637.6942721361</v>
      </c>
      <c r="AL159" s="109">
        <v>-3.7999999999999999E-2</v>
      </c>
      <c r="AM159" s="41">
        <v>2005</v>
      </c>
      <c r="AN159" s="73">
        <f>(AK159/T159)-1</f>
        <v>-0.1773499567067971</v>
      </c>
      <c r="AO159" s="25" t="s">
        <v>28</v>
      </c>
      <c r="AP159" s="166">
        <v>2013</v>
      </c>
      <c r="AQ159" s="167">
        <v>-0.46</v>
      </c>
      <c r="AR159" s="166">
        <v>2030</v>
      </c>
      <c r="AS159" s="137">
        <f>(AK159/AB159)-1</f>
        <v>-0.19316845713844077</v>
      </c>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D159" s="110"/>
      <c r="CE159" s="110"/>
      <c r="CF159" s="110"/>
      <c r="CG159" s="110"/>
      <c r="CH159" s="110"/>
      <c r="CI159" s="110"/>
      <c r="CJ159" s="110"/>
      <c r="CK159" s="110"/>
      <c r="CL159" s="110"/>
      <c r="CM159" s="110"/>
      <c r="CN159" s="110"/>
      <c r="CO159" s="110"/>
      <c r="CP159" s="110"/>
      <c r="CQ159" s="110"/>
      <c r="CR159" s="110"/>
      <c r="CS159" s="110"/>
      <c r="CT159" s="110"/>
      <c r="CU159" s="110"/>
      <c r="CV159" s="110"/>
      <c r="CW159" s="110"/>
      <c r="CX159" s="110"/>
      <c r="CY159" s="110"/>
      <c r="CZ159" s="110"/>
      <c r="DA159" s="110"/>
    </row>
    <row r="160" spans="1:105" s="112" customFormat="1">
      <c r="A160" s="222"/>
      <c r="B160" s="225"/>
      <c r="C160" s="208"/>
      <c r="D160" s="133" t="s">
        <v>86</v>
      </c>
      <c r="E160" s="157">
        <v>1196722.7246326499</v>
      </c>
      <c r="F160" s="157">
        <v>1205344.1306954089</v>
      </c>
      <c r="G160" s="157">
        <v>1213326.6945115146</v>
      </c>
      <c r="H160" s="157">
        <v>1205563.7665426875</v>
      </c>
      <c r="I160" s="157">
        <v>1265840.7189296675</v>
      </c>
      <c r="J160" s="157">
        <v>1286411.1891496719</v>
      </c>
      <c r="K160" s="157">
        <v>1297889.2496545573</v>
      </c>
      <c r="L160" s="157">
        <v>1288930.6238740233</v>
      </c>
      <c r="M160" s="157">
        <v>1240707.3382092989</v>
      </c>
      <c r="N160" s="157">
        <v>1265185.1842877262</v>
      </c>
      <c r="O160" s="157">
        <v>1283676.3164079965</v>
      </c>
      <c r="P160" s="157">
        <v>1257979.1198022694</v>
      </c>
      <c r="Q160" s="157">
        <v>1280981.9834729198</v>
      </c>
      <c r="R160" s="157">
        <v>1278378.3202567841</v>
      </c>
      <c r="S160" s="157">
        <v>1273926.1970644349</v>
      </c>
      <c r="T160" s="157">
        <v>1287167.6512530956</v>
      </c>
      <c r="U160" s="157">
        <v>1270166.6517791359</v>
      </c>
      <c r="V160" s="157">
        <v>1310191.6119043676</v>
      </c>
      <c r="W160" s="157">
        <v>1241919.5582787574</v>
      </c>
      <c r="X160" s="157">
        <v>1172537.4290035637</v>
      </c>
      <c r="Y160" s="157">
        <v>1221481.903403389</v>
      </c>
      <c r="Z160" s="157">
        <v>1273010.7013665305</v>
      </c>
      <c r="AA160" s="157">
        <v>1312714.6408506825</v>
      </c>
      <c r="AB160" s="157">
        <v>1331689.3138840494</v>
      </c>
      <c r="AC160" s="157">
        <v>1285843.5501252774</v>
      </c>
      <c r="AD160" s="157">
        <v>1253222.6720583029</v>
      </c>
      <c r="AE160" s="157">
        <v>1239069.0583738075</v>
      </c>
      <c r="AF160" s="158">
        <v>1221274.7689428343</v>
      </c>
      <c r="AG160" s="158">
        <v>1177165.066801402</v>
      </c>
      <c r="AH160" s="158">
        <v>1146953.7157948625</v>
      </c>
      <c r="AI160" s="158">
        <v>1082162.6560287098</v>
      </c>
      <c r="AJ160" s="158">
        <v>1103923.7536224052</v>
      </c>
      <c r="AK160" s="158">
        <v>1080462.8884610895</v>
      </c>
      <c r="AL160" s="39"/>
      <c r="AM160" s="39"/>
      <c r="AN160" s="74">
        <f t="shared" ref="AN160:AN170" si="7">(AK160/E160)-1</f>
        <v>-9.7148515507005206E-2</v>
      </c>
      <c r="AO160" s="25"/>
      <c r="AP160" s="168"/>
      <c r="AQ160" s="168"/>
      <c r="AR160" s="168"/>
      <c r="AS160" s="103"/>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c r="CG160" s="110"/>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row>
    <row r="161" spans="1:105" s="112" customFormat="1">
      <c r="A161" s="222"/>
      <c r="B161" s="225"/>
      <c r="C161" s="209" t="s">
        <v>88</v>
      </c>
      <c r="D161" s="133" t="s">
        <v>85</v>
      </c>
      <c r="E161" s="157">
        <v>1157373.6612948417</v>
      </c>
      <c r="F161" s="157">
        <v>1169070.538282963</v>
      </c>
      <c r="G161" s="157">
        <v>1178852.0163191382</v>
      </c>
      <c r="H161" s="157">
        <v>1171862.3804400214</v>
      </c>
      <c r="I161" s="157">
        <v>1226887.1013408254</v>
      </c>
      <c r="J161" s="157">
        <v>1239225.93434464</v>
      </c>
      <c r="K161" s="157">
        <v>1251737.6568749512</v>
      </c>
      <c r="L161" s="157">
        <v>1244449.3860267708</v>
      </c>
      <c r="M161" s="157">
        <v>1204602.5165230667</v>
      </c>
      <c r="N161" s="157">
        <v>1241233.8256277232</v>
      </c>
      <c r="O161" s="157">
        <v>1263950.9604737498</v>
      </c>
      <c r="P161" s="157">
        <v>1249355.1085405855</v>
      </c>
      <c r="Q161" s="157">
        <v>1278980.9878582866</v>
      </c>
      <c r="R161" s="157">
        <v>1287481.5493205127</v>
      </c>
      <c r="S161" s="157">
        <v>1282872.0338385412</v>
      </c>
      <c r="T161" s="157">
        <v>1290333.4473998232</v>
      </c>
      <c r="U161" s="157">
        <v>1267269.0063349127</v>
      </c>
      <c r="V161" s="157">
        <v>1302996.4320647877</v>
      </c>
      <c r="W161" s="157">
        <v>1232180.5729677649</v>
      </c>
      <c r="X161" s="157">
        <v>1163365.7495647243</v>
      </c>
      <c r="Y161" s="157">
        <v>1214785.3784805574</v>
      </c>
      <c r="Z161" s="157">
        <v>1264803.1606841439</v>
      </c>
      <c r="AA161" s="157">
        <v>1305969.5076752538</v>
      </c>
      <c r="AB161" s="157">
        <v>1315319.8122312906</v>
      </c>
      <c r="AC161" s="157">
        <v>1263765.9744515095</v>
      </c>
      <c r="AD161" s="157">
        <v>1223194.8238392819</v>
      </c>
      <c r="AE161" s="157">
        <v>1203177.5492311174</v>
      </c>
      <c r="AF161" s="158">
        <v>1187523.9079826421</v>
      </c>
      <c r="AG161" s="158">
        <v>1142499.2917036791</v>
      </c>
      <c r="AH161" s="158">
        <v>1105461.5833546899</v>
      </c>
      <c r="AI161" s="158">
        <v>1040475.8641844646</v>
      </c>
      <c r="AJ161" s="158">
        <v>1061855.4950656199</v>
      </c>
      <c r="AK161" s="158">
        <v>1034861.0742171708</v>
      </c>
      <c r="AL161" s="39"/>
      <c r="AM161" s="39"/>
      <c r="AN161" s="74">
        <f t="shared" si="7"/>
        <v>-0.10585396158109106</v>
      </c>
      <c r="AO161" s="25"/>
      <c r="AP161" s="168"/>
      <c r="AQ161" s="168"/>
      <c r="AR161" s="168"/>
      <c r="AS161" s="103"/>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c r="CH161" s="110"/>
      <c r="CI161" s="110"/>
      <c r="CJ161" s="110"/>
      <c r="CK161" s="110"/>
      <c r="CL161" s="110"/>
      <c r="CM161" s="110"/>
      <c r="CN161" s="110"/>
      <c r="CO161" s="110"/>
      <c r="CP161" s="110"/>
      <c r="CQ161" s="110"/>
      <c r="CR161" s="110"/>
      <c r="CS161" s="110"/>
      <c r="CT161" s="110"/>
      <c r="CU161" s="110"/>
      <c r="CV161" s="110"/>
      <c r="CW161" s="110"/>
      <c r="CX161" s="110"/>
      <c r="CY161" s="110"/>
      <c r="CZ161" s="110"/>
      <c r="DA161" s="110"/>
    </row>
    <row r="162" spans="1:105" s="112" customFormat="1">
      <c r="A162" s="223"/>
      <c r="B162" s="226"/>
      <c r="C162" s="210"/>
      <c r="D162" s="148" t="s">
        <v>86</v>
      </c>
      <c r="E162" s="159">
        <v>1083678.1591756663</v>
      </c>
      <c r="F162" s="159">
        <v>1089827.8542042135</v>
      </c>
      <c r="G162" s="159">
        <v>1095825.8277016839</v>
      </c>
      <c r="H162" s="159">
        <v>1085608.3751414602</v>
      </c>
      <c r="I162" s="159">
        <v>1140728.1930217713</v>
      </c>
      <c r="J162" s="159">
        <v>1153351.1437192126</v>
      </c>
      <c r="K162" s="159">
        <v>1164688.8872728245</v>
      </c>
      <c r="L162" s="159">
        <v>1156595.7457021989</v>
      </c>
      <c r="M162" s="159">
        <v>1116649.4477444473</v>
      </c>
      <c r="N162" s="159">
        <v>1153827.5027686309</v>
      </c>
      <c r="O162" s="159">
        <v>1175482.3116314183</v>
      </c>
      <c r="P162" s="159">
        <v>1160175.6133769453</v>
      </c>
      <c r="Q162" s="159">
        <v>1188163.1058178495</v>
      </c>
      <c r="R162" s="159">
        <v>1186910.8306431491</v>
      </c>
      <c r="S162" s="159">
        <v>1185659.3821127189</v>
      </c>
      <c r="T162" s="159">
        <v>1198740.596739793</v>
      </c>
      <c r="U162" s="159">
        <v>1180280.0184829098</v>
      </c>
      <c r="V162" s="159">
        <v>1220701.9062014411</v>
      </c>
      <c r="W162" s="159">
        <v>1154523.0216927656</v>
      </c>
      <c r="X162" s="159">
        <v>1088317.5571118754</v>
      </c>
      <c r="Y162" s="159">
        <v>1135460.7078147677</v>
      </c>
      <c r="Z162" s="159">
        <v>1186529.2132593929</v>
      </c>
      <c r="AA162" s="159">
        <v>1224805.2261132605</v>
      </c>
      <c r="AB162" s="159">
        <v>1241424.9365978243</v>
      </c>
      <c r="AC162" s="159">
        <v>1193509.7384712072</v>
      </c>
      <c r="AD162" s="159">
        <v>1158831.272597465</v>
      </c>
      <c r="AE162" s="159">
        <v>1142676.6108972083</v>
      </c>
      <c r="AF162" s="160">
        <v>1123503.6764523429</v>
      </c>
      <c r="AG162" s="160">
        <v>1079185.3200052709</v>
      </c>
      <c r="AH162" s="160">
        <v>1047718.8485552778</v>
      </c>
      <c r="AI162" s="160">
        <v>981690.46975684073</v>
      </c>
      <c r="AJ162" s="160">
        <v>1003093.5783694166</v>
      </c>
      <c r="AK162" s="160">
        <v>981200.91634440213</v>
      </c>
      <c r="AL162" s="40"/>
      <c r="AM162" s="40"/>
      <c r="AN162" s="75">
        <f t="shared" si="7"/>
        <v>-9.4564278114838696E-2</v>
      </c>
      <c r="AO162" s="32"/>
      <c r="AP162" s="169"/>
      <c r="AQ162" s="169"/>
      <c r="AR162" s="169"/>
      <c r="AS162" s="14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c r="CG162" s="110"/>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row>
    <row r="163" spans="1:105" s="112" customFormat="1">
      <c r="A163" s="221" t="s">
        <v>10</v>
      </c>
      <c r="B163" s="224" t="s">
        <v>7</v>
      </c>
      <c r="C163" s="207" t="s">
        <v>87</v>
      </c>
      <c r="D163" s="133" t="s">
        <v>85</v>
      </c>
      <c r="E163" s="157">
        <v>68958.181726592331</v>
      </c>
      <c r="F163" s="157">
        <v>69918.613478798536</v>
      </c>
      <c r="G163" s="157">
        <v>71163.043192240526</v>
      </c>
      <c r="H163" s="157">
        <v>71017.984624481804</v>
      </c>
      <c r="I163" s="157">
        <v>72398.448948708668</v>
      </c>
      <c r="J163" s="157">
        <v>72988.346674344051</v>
      </c>
      <c r="K163" s="157">
        <v>75526.572778376896</v>
      </c>
      <c r="L163" s="157">
        <v>78163.571116549516</v>
      </c>
      <c r="M163" s="157">
        <v>75967.86965370593</v>
      </c>
      <c r="N163" s="157">
        <v>77508.084798788157</v>
      </c>
      <c r="O163" s="157">
        <v>79531.378394201616</v>
      </c>
      <c r="P163" s="157">
        <v>82441.795710136736</v>
      </c>
      <c r="Q163" s="157">
        <v>82361.963073147446</v>
      </c>
      <c r="R163" s="157">
        <v>84660.384645025071</v>
      </c>
      <c r="S163" s="157">
        <v>84691.058963192962</v>
      </c>
      <c r="T163" s="157">
        <v>86615.377459050011</v>
      </c>
      <c r="U163" s="157">
        <v>86726.863364364559</v>
      </c>
      <c r="V163" s="157">
        <v>84260.940688153496</v>
      </c>
      <c r="W163" s="157">
        <v>84268.353237288189</v>
      </c>
      <c r="X163" s="157">
        <v>81413.892035055993</v>
      </c>
      <c r="Y163" s="157">
        <v>82097.531433064098</v>
      </c>
      <c r="Z163" s="157">
        <v>81723.811853400213</v>
      </c>
      <c r="AA163" s="157">
        <v>84065.666675183558</v>
      </c>
      <c r="AB163" s="157">
        <v>83248.072687952488</v>
      </c>
      <c r="AC163" s="157">
        <v>84107.417336913903</v>
      </c>
      <c r="AD163" s="157">
        <v>83894.632561662424</v>
      </c>
      <c r="AE163" s="157">
        <v>81656.181167390474</v>
      </c>
      <c r="AF163" s="158">
        <v>83073.082610106358</v>
      </c>
      <c r="AG163" s="158">
        <v>83434.604331181879</v>
      </c>
      <c r="AH163" s="158">
        <v>84586.236538461744</v>
      </c>
      <c r="AI163" s="158">
        <v>81881.845501149437</v>
      </c>
      <c r="AJ163" s="158">
        <v>81808.919800596952</v>
      </c>
      <c r="AK163" s="158">
        <v>78395.363155217565</v>
      </c>
      <c r="AL163" s="41" t="s">
        <v>33</v>
      </c>
      <c r="AM163" s="41">
        <v>1990</v>
      </c>
      <c r="AN163" s="73">
        <f>(AK163/E163)-1</f>
        <v>0.13685368715262936</v>
      </c>
      <c r="AO163" s="25" t="s">
        <v>28</v>
      </c>
      <c r="AP163" s="166">
        <v>2005</v>
      </c>
      <c r="AQ163" s="170" t="s">
        <v>164</v>
      </c>
      <c r="AR163" s="166">
        <v>2035</v>
      </c>
      <c r="AS163" s="137">
        <f>(AK163/T163)-1</f>
        <v>-9.4902482041583247E-2</v>
      </c>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row>
    <row r="164" spans="1:105" s="112" customFormat="1">
      <c r="A164" s="222"/>
      <c r="B164" s="225"/>
      <c r="C164" s="208"/>
      <c r="D164" s="133" t="s">
        <v>86</v>
      </c>
      <c r="E164" s="157">
        <v>44633.557741729077</v>
      </c>
      <c r="F164" s="157">
        <v>43704.486853019524</v>
      </c>
      <c r="G164" s="157">
        <v>45703.11120383368</v>
      </c>
      <c r="H164" s="157">
        <v>45158.323890706597</v>
      </c>
      <c r="I164" s="157">
        <v>47239.686823180455</v>
      </c>
      <c r="J164" s="157">
        <v>49258.299833093384</v>
      </c>
      <c r="K164" s="157">
        <v>52570.415203586628</v>
      </c>
      <c r="L164" s="157">
        <v>54553.454726681994</v>
      </c>
      <c r="M164" s="157">
        <v>51760.363174374572</v>
      </c>
      <c r="N164" s="157">
        <v>50840.504991286638</v>
      </c>
      <c r="O164" s="157">
        <v>52177.524166992363</v>
      </c>
      <c r="P164" s="157">
        <v>54822.381372512005</v>
      </c>
      <c r="Q164" s="157">
        <v>56298.899298672237</v>
      </c>
      <c r="R164" s="157">
        <v>57846.131713758135</v>
      </c>
      <c r="S164" s="157">
        <v>58097.242164525342</v>
      </c>
      <c r="T164" s="157">
        <v>62364.442722453939</v>
      </c>
      <c r="U164" s="157">
        <v>64582.021993762479</v>
      </c>
      <c r="V164" s="157">
        <v>64215.476435082019</v>
      </c>
      <c r="W164" s="157">
        <v>55476.86442270827</v>
      </c>
      <c r="X164" s="157">
        <v>53779.057485418569</v>
      </c>
      <c r="Y164" s="157">
        <v>53524.422501967187</v>
      </c>
      <c r="Z164" s="157">
        <v>52989.069753459094</v>
      </c>
      <c r="AA164" s="157">
        <v>58565.12445017758</v>
      </c>
      <c r="AB164" s="157">
        <v>57702.484830449095</v>
      </c>
      <c r="AC164" s="157">
        <v>58598.186574712352</v>
      </c>
      <c r="AD164" s="157">
        <v>58307.564954035151</v>
      </c>
      <c r="AE164" s="157">
        <v>56713.12563317654</v>
      </c>
      <c r="AF164" s="158">
        <v>59616.01730603235</v>
      </c>
      <c r="AG164" s="158">
        <v>61009.227838365718</v>
      </c>
      <c r="AH164" s="158">
        <v>62991.824989152832</v>
      </c>
      <c r="AI164" s="158">
        <v>60821.286169874547</v>
      </c>
      <c r="AJ164" s="158">
        <v>61303.355720994427</v>
      </c>
      <c r="AK164" s="158">
        <v>59156.568833087433</v>
      </c>
      <c r="AL164" s="39"/>
      <c r="AM164" s="39"/>
      <c r="AN164" s="74">
        <f t="shared" si="7"/>
        <v>0.32538322791553798</v>
      </c>
      <c r="AO164" s="25"/>
      <c r="AP164" s="168"/>
      <c r="AQ164" s="168"/>
      <c r="AR164" s="168"/>
      <c r="AS164" s="103"/>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row>
    <row r="165" spans="1:105" s="112" customFormat="1">
      <c r="A165" s="222"/>
      <c r="B165" s="225"/>
      <c r="C165" s="209" t="s">
        <v>88</v>
      </c>
      <c r="D165" s="133" t="s">
        <v>85</v>
      </c>
      <c r="E165" s="157">
        <v>25497.218471806988</v>
      </c>
      <c r="F165" s="157">
        <v>26175.920772445861</v>
      </c>
      <c r="G165" s="157">
        <v>28162.451287760112</v>
      </c>
      <c r="H165" s="157">
        <v>27754.738987452773</v>
      </c>
      <c r="I165" s="157">
        <v>27895.36149798457</v>
      </c>
      <c r="J165" s="157">
        <v>28000.621397763567</v>
      </c>
      <c r="K165" s="157">
        <v>29300.678276564784</v>
      </c>
      <c r="L165" s="157">
        <v>31274.490577009721</v>
      </c>
      <c r="M165" s="157">
        <v>29853.02008895664</v>
      </c>
      <c r="N165" s="157">
        <v>31460.673541874319</v>
      </c>
      <c r="O165" s="157">
        <v>32241.038067609526</v>
      </c>
      <c r="P165" s="157">
        <v>34378.747612392697</v>
      </c>
      <c r="Q165" s="157">
        <v>34541.833996300586</v>
      </c>
      <c r="R165" s="157">
        <v>36243.229868745693</v>
      </c>
      <c r="S165" s="157">
        <v>35836.71177296184</v>
      </c>
      <c r="T165" s="157">
        <v>37425.184280089969</v>
      </c>
      <c r="U165" s="157">
        <v>37329.748891865522</v>
      </c>
      <c r="V165" s="157">
        <v>36408.521554116123</v>
      </c>
      <c r="W165" s="157">
        <v>37506.352889262831</v>
      </c>
      <c r="X165" s="157">
        <v>34617.447796634013</v>
      </c>
      <c r="Y165" s="157">
        <v>34807.764414152814</v>
      </c>
      <c r="Z165" s="157">
        <v>34262.130253528987</v>
      </c>
      <c r="AA165" s="157">
        <v>35941.31931661495</v>
      </c>
      <c r="AB165" s="157">
        <v>35237.914141512359</v>
      </c>
      <c r="AC165" s="157">
        <v>35435.069162571373</v>
      </c>
      <c r="AD165" s="157">
        <v>35802.200171936383</v>
      </c>
      <c r="AE165" s="157">
        <v>34145.527579894304</v>
      </c>
      <c r="AF165" s="158">
        <v>35684.559591179146</v>
      </c>
      <c r="AG165" s="158">
        <v>35702.511381959332</v>
      </c>
      <c r="AH165" s="158">
        <v>36731.819753335469</v>
      </c>
      <c r="AI165" s="158">
        <v>34022.756576093372</v>
      </c>
      <c r="AJ165" s="158">
        <v>34322.605998405292</v>
      </c>
      <c r="AK165" s="158">
        <v>31610.088935629588</v>
      </c>
      <c r="AL165" s="39"/>
      <c r="AM165" s="39"/>
      <c r="AN165" s="74">
        <f t="shared" si="7"/>
        <v>0.23974656178993725</v>
      </c>
      <c r="AO165" s="25"/>
      <c r="AP165" s="168"/>
      <c r="AQ165" s="168"/>
      <c r="AR165" s="168"/>
      <c r="AS165" s="103"/>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row>
    <row r="166" spans="1:105" s="112" customFormat="1">
      <c r="A166" s="223"/>
      <c r="B166" s="226"/>
      <c r="C166" s="210"/>
      <c r="D166" s="148" t="s">
        <v>86</v>
      </c>
      <c r="E166" s="159">
        <v>804.19490472746838</v>
      </c>
      <c r="F166" s="159">
        <v>-378.37059401035367</v>
      </c>
      <c r="G166" s="159">
        <v>2344.3273685670974</v>
      </c>
      <c r="H166" s="159">
        <v>1506.9620187038781</v>
      </c>
      <c r="I166" s="159">
        <v>2319.7289953898908</v>
      </c>
      <c r="J166" s="159">
        <v>3848.128605617665</v>
      </c>
      <c r="K166" s="159">
        <v>5894.0808967502053</v>
      </c>
      <c r="L166" s="159">
        <v>7205.7819823602731</v>
      </c>
      <c r="M166" s="159">
        <v>5145.8432197129005</v>
      </c>
      <c r="N166" s="159">
        <v>4345.3953710550959</v>
      </c>
      <c r="O166" s="159">
        <v>4446.7517624986467</v>
      </c>
      <c r="P166" s="159">
        <v>6316.3158994714722</v>
      </c>
      <c r="Q166" s="159">
        <v>8036.2522989608842</v>
      </c>
      <c r="R166" s="159">
        <v>8983.1379307113566</v>
      </c>
      <c r="S166" s="159">
        <v>8808.7108088529531</v>
      </c>
      <c r="T166" s="159">
        <v>12700.364983438085</v>
      </c>
      <c r="U166" s="159">
        <v>14712.281927053875</v>
      </c>
      <c r="V166" s="159">
        <v>15839.393649512516</v>
      </c>
      <c r="W166" s="159">
        <v>8310.4031111584409</v>
      </c>
      <c r="X166" s="159">
        <v>6556.8195556117171</v>
      </c>
      <c r="Y166" s="159">
        <v>5820.6851076443563</v>
      </c>
      <c r="Z166" s="159">
        <v>5147.1696895709101</v>
      </c>
      <c r="AA166" s="159">
        <v>10049.84988987611</v>
      </c>
      <c r="AB166" s="159">
        <v>9314.1284288712304</v>
      </c>
      <c r="AC166" s="159">
        <v>9575.1523425953128</v>
      </c>
      <c r="AD166" s="159">
        <v>9865.6317079050932</v>
      </c>
      <c r="AE166" s="159">
        <v>8832.9339424128157</v>
      </c>
      <c r="AF166" s="160">
        <v>11889.485468258314</v>
      </c>
      <c r="AG166" s="160">
        <v>12973.511322762126</v>
      </c>
      <c r="AH166" s="160">
        <v>14806.004284417348</v>
      </c>
      <c r="AI166" s="160">
        <v>12618.067728962036</v>
      </c>
      <c r="AJ166" s="160">
        <v>13551.358778690934</v>
      </c>
      <c r="AK166" s="160">
        <v>12019.144996010771</v>
      </c>
      <c r="AL166" s="40"/>
      <c r="AM166" s="40"/>
      <c r="AN166" s="75">
        <f t="shared" si="7"/>
        <v>13.945562232931467</v>
      </c>
      <c r="AO166" s="32"/>
      <c r="AP166" s="169"/>
      <c r="AQ166" s="169"/>
      <c r="AR166" s="169"/>
      <c r="AS166" s="14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row>
    <row r="167" spans="1:105" s="112" customFormat="1">
      <c r="A167" s="221" t="s">
        <v>10</v>
      </c>
      <c r="B167" s="224" t="s">
        <v>84</v>
      </c>
      <c r="C167" s="207" t="s">
        <v>87</v>
      </c>
      <c r="D167" s="133" t="s">
        <v>85</v>
      </c>
      <c r="E167" s="157">
        <v>3142797.4668935938</v>
      </c>
      <c r="F167" s="157">
        <v>2987852.7589312261</v>
      </c>
      <c r="G167" s="157">
        <v>2512071.4568659402</v>
      </c>
      <c r="H167" s="157">
        <v>2378462.680180856</v>
      </c>
      <c r="I167" s="157">
        <v>2117939.3946075412</v>
      </c>
      <c r="J167" s="157">
        <v>2065422.633895864</v>
      </c>
      <c r="K167" s="157">
        <v>2014841.1694391072</v>
      </c>
      <c r="L167" s="157">
        <v>1895331.9403199404</v>
      </c>
      <c r="M167" s="157">
        <v>1863352.3297372933</v>
      </c>
      <c r="N167" s="157">
        <v>1893792.4963747538</v>
      </c>
      <c r="O167" s="157">
        <v>1880426.7124194461</v>
      </c>
      <c r="P167" s="157">
        <v>1916832.391446946</v>
      </c>
      <c r="Q167" s="157">
        <v>1896399.301260476</v>
      </c>
      <c r="R167" s="157">
        <v>1927579.8442089872</v>
      </c>
      <c r="S167" s="157">
        <v>1936302.3435028975</v>
      </c>
      <c r="T167" s="157">
        <v>1953629.4875827809</v>
      </c>
      <c r="U167" s="157">
        <v>2012876.1729748596</v>
      </c>
      <c r="V167" s="157">
        <v>2010018.1807905533</v>
      </c>
      <c r="W167" s="157">
        <v>2037071.7586961421</v>
      </c>
      <c r="X167" s="157">
        <v>1902898.0884484232</v>
      </c>
      <c r="Y167" s="157">
        <v>1997139.5675057301</v>
      </c>
      <c r="Z167" s="157">
        <v>2049760.3757819906</v>
      </c>
      <c r="AA167" s="157">
        <v>2071103.3392923996</v>
      </c>
      <c r="AB167" s="157">
        <v>2006947.4782644487</v>
      </c>
      <c r="AC167" s="157">
        <v>1997208.2779226825</v>
      </c>
      <c r="AD167" s="157">
        <v>1988440.7124297374</v>
      </c>
      <c r="AE167" s="157">
        <v>1984451.1743962693</v>
      </c>
      <c r="AF167" s="158">
        <v>2024861.1647146121</v>
      </c>
      <c r="AG167" s="158">
        <v>2087290.0291074389</v>
      </c>
      <c r="AH167" s="158">
        <v>2077266.3769343956</v>
      </c>
      <c r="AI167" s="158">
        <v>2001271.3451281297</v>
      </c>
      <c r="AJ167" s="158">
        <v>2098145.7607690077</v>
      </c>
      <c r="AK167" s="158">
        <v>2042026.8216418209</v>
      </c>
      <c r="AL167" s="41" t="s">
        <v>34</v>
      </c>
      <c r="AM167" s="41">
        <v>1990</v>
      </c>
      <c r="AN167" s="73">
        <f t="shared" si="7"/>
        <v>-0.35025185582187623</v>
      </c>
      <c r="AO167" s="25" t="s">
        <v>28</v>
      </c>
      <c r="AP167" s="166">
        <v>1990</v>
      </c>
      <c r="AQ167" s="170">
        <v>-0.7</v>
      </c>
      <c r="AR167" s="166">
        <v>2030</v>
      </c>
      <c r="AS167" s="137">
        <f>(AK167/E167)-1</f>
        <v>-0.35025185582187623</v>
      </c>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row>
    <row r="168" spans="1:105" s="112" customFormat="1">
      <c r="A168" s="222"/>
      <c r="B168" s="225"/>
      <c r="C168" s="208"/>
      <c r="D168" s="133" t="s">
        <v>86</v>
      </c>
      <c r="E168" s="157">
        <v>2601458.4390345477</v>
      </c>
      <c r="F168" s="157">
        <v>2381934.3607589505</v>
      </c>
      <c r="G168" s="157">
        <v>1861499.8370140605</v>
      </c>
      <c r="H168" s="157">
        <v>1527086.2928599573</v>
      </c>
      <c r="I168" s="157">
        <v>1107497.1230788084</v>
      </c>
      <c r="J168" s="157">
        <v>959535.85359735135</v>
      </c>
      <c r="K168" s="157">
        <v>875006.61336071277</v>
      </c>
      <c r="L168" s="157">
        <v>692258.4550938165</v>
      </c>
      <c r="M168" s="157">
        <v>625002.78573790751</v>
      </c>
      <c r="N168" s="157">
        <v>581800.61136439152</v>
      </c>
      <c r="O168" s="157">
        <v>591828.27734088467</v>
      </c>
      <c r="P168" s="157">
        <v>506476.7254018145</v>
      </c>
      <c r="Q168" s="157">
        <v>447423.99196849403</v>
      </c>
      <c r="R168" s="157">
        <v>392852.81952782883</v>
      </c>
      <c r="S168" s="157">
        <v>247341.97987242593</v>
      </c>
      <c r="T168" s="157">
        <v>271468.58874109347</v>
      </c>
      <c r="U168" s="157">
        <v>408961.51116532361</v>
      </c>
      <c r="V168" s="157">
        <v>295245.37557926861</v>
      </c>
      <c r="W168" s="157">
        <v>388946.97451714135</v>
      </c>
      <c r="X168" s="157">
        <v>190104.26735527092</v>
      </c>
      <c r="Y168" s="157">
        <v>212848.54774058168</v>
      </c>
      <c r="Z168" s="157">
        <v>634025.30434004392</v>
      </c>
      <c r="AA168" s="157">
        <v>1073752.0364229265</v>
      </c>
      <c r="AB168" s="157">
        <v>617710.5800769974</v>
      </c>
      <c r="AC168" s="157">
        <v>743937.51342979039</v>
      </c>
      <c r="AD168" s="157">
        <v>769042.33047260949</v>
      </c>
      <c r="AE168" s="157">
        <v>871033.76303817169</v>
      </c>
      <c r="AF168" s="158">
        <v>823727.95824095025</v>
      </c>
      <c r="AG168" s="158">
        <v>1004062.9374205406</v>
      </c>
      <c r="AH168" s="158">
        <v>1139489.2463092653</v>
      </c>
      <c r="AI168" s="158">
        <v>807205.65491548879</v>
      </c>
      <c r="AJ168" s="158">
        <v>1136609.2380735099</v>
      </c>
      <c r="AK168" s="158">
        <v>813188.77523438807</v>
      </c>
      <c r="AL168" s="39"/>
      <c r="AM168" s="39"/>
      <c r="AN168" s="74">
        <f t="shared" si="7"/>
        <v>-0.68741042984481493</v>
      </c>
      <c r="AO168" s="25"/>
      <c r="AP168" s="168"/>
      <c r="AQ168" s="168"/>
      <c r="AR168" s="168"/>
      <c r="AS168" s="103"/>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c r="CH168" s="110"/>
      <c r="CI168" s="110"/>
      <c r="CJ168" s="110"/>
      <c r="CK168" s="110"/>
      <c r="CL168" s="110"/>
      <c r="CM168" s="110"/>
      <c r="CN168" s="110"/>
      <c r="CO168" s="110"/>
      <c r="CP168" s="110"/>
      <c r="CQ168" s="110"/>
      <c r="CR168" s="110"/>
      <c r="CS168" s="110"/>
      <c r="CT168" s="110"/>
      <c r="CU168" s="110"/>
      <c r="CV168" s="110"/>
      <c r="CW168" s="110"/>
      <c r="CX168" s="110"/>
      <c r="CY168" s="110"/>
      <c r="CZ168" s="110"/>
      <c r="DA168" s="110"/>
    </row>
    <row r="169" spans="1:105" s="112" customFormat="1">
      <c r="A169" s="222"/>
      <c r="B169" s="225"/>
      <c r="C169" s="209" t="s">
        <v>88</v>
      </c>
      <c r="D169" s="133" t="s">
        <v>85</v>
      </c>
      <c r="E169" s="157">
        <v>2534638.085183613</v>
      </c>
      <c r="F169" s="157">
        <v>2405960.4043792002</v>
      </c>
      <c r="G169" s="157">
        <v>1965325.1182081089</v>
      </c>
      <c r="H169" s="157">
        <v>1866015.6303622497</v>
      </c>
      <c r="I169" s="157">
        <v>1646861.0778358676</v>
      </c>
      <c r="J169" s="157">
        <v>1618323.9412290324</v>
      </c>
      <c r="K169" s="157">
        <v>1586265.4577589876</v>
      </c>
      <c r="L169" s="157">
        <v>1481066.4085384416</v>
      </c>
      <c r="M169" s="157">
        <v>1464425.1237385527</v>
      </c>
      <c r="N169" s="157">
        <v>1493204.9948452166</v>
      </c>
      <c r="O169" s="157">
        <v>1478086.8698581592</v>
      </c>
      <c r="P169" s="157">
        <v>1515324.8527618302</v>
      </c>
      <c r="Q169" s="157">
        <v>1505779.7397898182</v>
      </c>
      <c r="R169" s="157">
        <v>1536315.8110392331</v>
      </c>
      <c r="S169" s="157">
        <v>1542790.6061639695</v>
      </c>
      <c r="T169" s="157">
        <v>1561910.6917456912</v>
      </c>
      <c r="U169" s="157">
        <v>1622152.0171722574</v>
      </c>
      <c r="V169" s="157">
        <v>1622969.7578581851</v>
      </c>
      <c r="W169" s="157">
        <v>1651191.5525614505</v>
      </c>
      <c r="X169" s="157">
        <v>1544428.7246118153</v>
      </c>
      <c r="Y169" s="157">
        <v>1632325.4749298736</v>
      </c>
      <c r="Z169" s="157">
        <v>1684492.232681015</v>
      </c>
      <c r="AA169" s="157">
        <v>1699944.7348021739</v>
      </c>
      <c r="AB169" s="157">
        <v>1638418.1451412498</v>
      </c>
      <c r="AC169" s="157">
        <v>1637734.1474585615</v>
      </c>
      <c r="AD169" s="157">
        <v>1635820.885622662</v>
      </c>
      <c r="AE169" s="157">
        <v>1631762.6164978051</v>
      </c>
      <c r="AF169" s="158">
        <v>1662522.572903208</v>
      </c>
      <c r="AG169" s="158">
        <v>1710549.6280213722</v>
      </c>
      <c r="AH169" s="158">
        <v>1702599.4695157488</v>
      </c>
      <c r="AI169" s="158">
        <v>1629546.8816099388</v>
      </c>
      <c r="AJ169" s="158">
        <v>1711217.0638064989</v>
      </c>
      <c r="AK169" s="158">
        <v>1658923.0690453025</v>
      </c>
      <c r="AL169" s="39"/>
      <c r="AM169" s="39"/>
      <c r="AN169" s="74">
        <f t="shared" si="7"/>
        <v>-0.34549903643338986</v>
      </c>
      <c r="AO169" s="25"/>
      <c r="AP169" s="168"/>
      <c r="AQ169" s="168"/>
      <c r="AR169" s="168"/>
      <c r="AS169" s="103"/>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row>
    <row r="170" spans="1:105" s="112" customFormat="1">
      <c r="A170" s="223"/>
      <c r="B170" s="226"/>
      <c r="C170" s="210"/>
      <c r="D170" s="148" t="s">
        <v>86</v>
      </c>
      <c r="E170" s="159">
        <v>1975406.4090171738</v>
      </c>
      <c r="F170" s="159">
        <v>1779137.5779415022</v>
      </c>
      <c r="G170" s="159">
        <v>1293763.8982735896</v>
      </c>
      <c r="H170" s="159">
        <v>993751.43801366794</v>
      </c>
      <c r="I170" s="159">
        <v>616442.39500674023</v>
      </c>
      <c r="J170" s="159">
        <v>493022.31185521325</v>
      </c>
      <c r="K170" s="159">
        <v>423483.19694275269</v>
      </c>
      <c r="L170" s="159">
        <v>257732.69748257101</v>
      </c>
      <c r="M170" s="159">
        <v>201356.38053765241</v>
      </c>
      <c r="N170" s="159">
        <v>160234.31159789232</v>
      </c>
      <c r="O170" s="159">
        <v>166700.17074568849</v>
      </c>
      <c r="P170" s="159">
        <v>80741.062374222092</v>
      </c>
      <c r="Q170" s="159">
        <v>30101.439768899698</v>
      </c>
      <c r="R170" s="159">
        <v>-30233.826499137562</v>
      </c>
      <c r="S170" s="159">
        <v>-172318.87826842512</v>
      </c>
      <c r="T170" s="159">
        <v>-152342.3304030695</v>
      </c>
      <c r="U170" s="159">
        <v>-15427.947799919872</v>
      </c>
      <c r="V170" s="159">
        <v>-118714.20046606427</v>
      </c>
      <c r="W170" s="159">
        <v>-37375.508861718699</v>
      </c>
      <c r="X170" s="159">
        <v>-201654.7223780246</v>
      </c>
      <c r="Y170" s="159">
        <v>-174961.4133522911</v>
      </c>
      <c r="Z170" s="159">
        <v>239897.31569598918</v>
      </c>
      <c r="AA170" s="159">
        <v>650485.80788306543</v>
      </c>
      <c r="AB170" s="159">
        <v>226086.60430725361</v>
      </c>
      <c r="AC170" s="159">
        <v>356197.81605830556</v>
      </c>
      <c r="AD170" s="159">
        <v>390344.77231054357</v>
      </c>
      <c r="AE170" s="159">
        <v>484584.92132448219</v>
      </c>
      <c r="AF170" s="160">
        <v>437838.18760507414</v>
      </c>
      <c r="AG170" s="160">
        <v>594303.59962425451</v>
      </c>
      <c r="AH170" s="160">
        <v>733885.98548629531</v>
      </c>
      <c r="AI170" s="160">
        <v>409382.63124771975</v>
      </c>
      <c r="AJ170" s="160">
        <v>703864.10242710088</v>
      </c>
      <c r="AK170" s="160">
        <v>413174.45053673326</v>
      </c>
      <c r="AL170" s="40"/>
      <c r="AM170" s="40"/>
      <c r="AN170" s="75">
        <f t="shared" si="7"/>
        <v>-0.79084078666004709</v>
      </c>
      <c r="AO170" s="32"/>
      <c r="AP170" s="169"/>
      <c r="AQ170" s="169"/>
      <c r="AR170" s="169"/>
      <c r="AS170" s="14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c r="BX170" s="110"/>
      <c r="BY170" s="110"/>
      <c r="BZ170" s="110"/>
      <c r="CA170" s="110"/>
      <c r="CB170" s="110"/>
      <c r="CC170" s="110"/>
      <c r="CD170" s="110"/>
      <c r="CE170" s="110"/>
      <c r="CF170" s="110"/>
      <c r="CG170" s="110"/>
      <c r="CH170" s="110"/>
      <c r="CI170" s="110"/>
      <c r="CJ170" s="110"/>
      <c r="CK170" s="110"/>
      <c r="CL170" s="110"/>
      <c r="CM170" s="110"/>
      <c r="CN170" s="110"/>
      <c r="CO170" s="110"/>
      <c r="CP170" s="110"/>
      <c r="CQ170" s="110"/>
      <c r="CR170" s="110"/>
      <c r="CS170" s="110"/>
      <c r="CT170" s="110"/>
      <c r="CU170" s="110"/>
      <c r="CV170" s="110"/>
      <c r="CW170" s="110"/>
      <c r="CX170" s="110"/>
      <c r="CY170" s="110"/>
      <c r="CZ170" s="110"/>
      <c r="DA170" s="110"/>
    </row>
    <row r="171" spans="1:105" s="112" customFormat="1">
      <c r="A171" s="227" t="s">
        <v>27</v>
      </c>
      <c r="B171" s="230" t="s">
        <v>8</v>
      </c>
      <c r="C171" s="207" t="s">
        <v>87</v>
      </c>
      <c r="D171" s="133" t="s">
        <v>85</v>
      </c>
      <c r="E171" s="157">
        <v>607748.75544612901</v>
      </c>
      <c r="F171" s="157">
        <v>603138.22528745886</v>
      </c>
      <c r="G171" s="157">
        <v>621534.92821716284</v>
      </c>
      <c r="H171" s="157">
        <v>626611.05327568296</v>
      </c>
      <c r="I171" s="157">
        <v>649033.63759113185</v>
      </c>
      <c r="J171" s="157">
        <v>667914.70678717794</v>
      </c>
      <c r="K171" s="157">
        <v>689261.8862737118</v>
      </c>
      <c r="L171" s="157">
        <v>705539.08656566974</v>
      </c>
      <c r="M171" s="157">
        <v>712157.94597128138</v>
      </c>
      <c r="N171" s="157">
        <v>722853.4518593743</v>
      </c>
      <c r="O171" s="157">
        <v>747738.55802425323</v>
      </c>
      <c r="P171" s="157">
        <v>738885.29375832726</v>
      </c>
      <c r="Q171" s="157">
        <v>744657.3924466694</v>
      </c>
      <c r="R171" s="157">
        <v>763142.98248201737</v>
      </c>
      <c r="S171" s="157">
        <v>766724.22051172797</v>
      </c>
      <c r="T171" s="157">
        <v>761492.70593701443</v>
      </c>
      <c r="U171" s="157">
        <v>756771.99628981901</v>
      </c>
      <c r="V171" s="157">
        <v>776521.15388411214</v>
      </c>
      <c r="W171" s="157">
        <v>759573.39699560369</v>
      </c>
      <c r="X171" s="157">
        <v>716134.72748034785</v>
      </c>
      <c r="Y171" s="157">
        <v>728504.46324892098</v>
      </c>
      <c r="Z171" s="157">
        <v>738322.90169395809</v>
      </c>
      <c r="AA171" s="157">
        <v>743856.56428306072</v>
      </c>
      <c r="AB171" s="157">
        <v>750970.15160735743</v>
      </c>
      <c r="AC171" s="157">
        <v>749706.29305378441</v>
      </c>
      <c r="AD171" s="157">
        <v>745717.81273694767</v>
      </c>
      <c r="AE171" s="157">
        <v>731279.75293753587</v>
      </c>
      <c r="AF171" s="158">
        <v>742011.65539151209</v>
      </c>
      <c r="AG171" s="158">
        <v>752631.23093201627</v>
      </c>
      <c r="AH171" s="158">
        <v>752024.57675372623</v>
      </c>
      <c r="AI171" s="158">
        <v>686362.15753213922</v>
      </c>
      <c r="AJ171" s="158">
        <v>698441.74224171112</v>
      </c>
      <c r="AK171" s="158">
        <v>707767.55820038752</v>
      </c>
      <c r="AL171" s="83">
        <v>-0.17</v>
      </c>
      <c r="AM171" s="41">
        <v>2005</v>
      </c>
      <c r="AN171" s="73">
        <f>(AK171/T171)-1</f>
        <v>-7.0552412804162468E-2</v>
      </c>
      <c r="AO171" s="25" t="s">
        <v>28</v>
      </c>
      <c r="AP171" s="166">
        <v>2005</v>
      </c>
      <c r="AQ171" s="170" t="s">
        <v>166</v>
      </c>
      <c r="AR171" s="166">
        <v>2035</v>
      </c>
      <c r="AS171" s="137">
        <f>(AK171/T171)-1</f>
        <v>-7.0552412804162468E-2</v>
      </c>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row>
    <row r="172" spans="1:105" s="112" customFormat="1">
      <c r="A172" s="228"/>
      <c r="B172" s="231"/>
      <c r="C172" s="208"/>
      <c r="D172" s="133" t="s">
        <v>86</v>
      </c>
      <c r="E172" s="157">
        <v>656932.93118143734</v>
      </c>
      <c r="F172" s="157">
        <v>646378.94397798553</v>
      </c>
      <c r="G172" s="157">
        <v>675696.90108220978</v>
      </c>
      <c r="H172" s="157">
        <v>693741.51228257793</v>
      </c>
      <c r="I172" s="157">
        <v>703895.42861299217</v>
      </c>
      <c r="J172" s="157">
        <v>733004.72902357904</v>
      </c>
      <c r="K172" s="157">
        <v>744635.14973169228</v>
      </c>
      <c r="L172" s="157">
        <v>759372.66215985734</v>
      </c>
      <c r="M172" s="157">
        <v>759256.4591627589</v>
      </c>
      <c r="N172" s="157">
        <v>774335.24802522128</v>
      </c>
      <c r="O172" s="157">
        <v>804854.75931728352</v>
      </c>
      <c r="P172" s="157">
        <v>778699.7507311115</v>
      </c>
      <c r="Q172" s="157">
        <v>814217.25928686245</v>
      </c>
      <c r="R172" s="157">
        <v>829499.09529483411</v>
      </c>
      <c r="S172" s="157">
        <v>829892.01101326267</v>
      </c>
      <c r="T172" s="157">
        <v>827486.67584141577</v>
      </c>
      <c r="U172" s="157">
        <v>803901.26132009667</v>
      </c>
      <c r="V172" s="157">
        <v>822310.84640959662</v>
      </c>
      <c r="W172" s="157">
        <v>798765.76454559807</v>
      </c>
      <c r="X172" s="157">
        <v>727181.59877535352</v>
      </c>
      <c r="Y172" s="157">
        <v>767961.23848875158</v>
      </c>
      <c r="Z172" s="157">
        <v>780410.30954252835</v>
      </c>
      <c r="AA172" s="157">
        <v>770687.33149704023</v>
      </c>
      <c r="AB172" s="157">
        <v>780126.73706523655</v>
      </c>
      <c r="AC172" s="157">
        <v>755367.90066711768</v>
      </c>
      <c r="AD172" s="157">
        <v>789069.85176230839</v>
      </c>
      <c r="AE172" s="157">
        <v>758210.84839314513</v>
      </c>
      <c r="AF172" s="158">
        <v>761111.24279110017</v>
      </c>
      <c r="AG172" s="158">
        <v>775618.72362183523</v>
      </c>
      <c r="AH172" s="158">
        <v>765655.73717530898</v>
      </c>
      <c r="AI172" s="158">
        <v>712004.41366455506</v>
      </c>
      <c r="AJ172" s="158">
        <v>711978.63216929638</v>
      </c>
      <c r="AK172" s="158">
        <v>759226.96735131624</v>
      </c>
      <c r="AL172" s="107"/>
      <c r="AM172" s="39"/>
      <c r="AN172" s="74">
        <f t="shared" ref="AN172:AN178" si="8">(AK172/T172)-1</f>
        <v>-8.2490401939935509E-2</v>
      </c>
      <c r="AO172" s="25"/>
      <c r="AP172" s="168"/>
      <c r="AQ172" s="168"/>
      <c r="AR172" s="168"/>
      <c r="AS172" s="103"/>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c r="CG172" s="110"/>
      <c r="CH172" s="110"/>
      <c r="CI172" s="110"/>
      <c r="CJ172" s="110"/>
      <c r="CK172" s="110"/>
      <c r="CL172" s="110"/>
      <c r="CM172" s="110"/>
      <c r="CN172" s="110"/>
      <c r="CO172" s="110"/>
      <c r="CP172" s="110"/>
      <c r="CQ172" s="110"/>
      <c r="CR172" s="110"/>
      <c r="CS172" s="110"/>
      <c r="CT172" s="110"/>
      <c r="CU172" s="110"/>
      <c r="CV172" s="110"/>
      <c r="CW172" s="110"/>
      <c r="CX172" s="110"/>
      <c r="CY172" s="110"/>
      <c r="CZ172" s="110"/>
      <c r="DA172" s="110"/>
    </row>
    <row r="173" spans="1:105" s="112" customFormat="1">
      <c r="A173" s="228"/>
      <c r="B173" s="231"/>
      <c r="C173" s="209" t="s">
        <v>88</v>
      </c>
      <c r="D173" s="133" t="s">
        <v>85</v>
      </c>
      <c r="E173" s="157">
        <v>458014.93552474678</v>
      </c>
      <c r="F173" s="157">
        <v>449756.12114344432</v>
      </c>
      <c r="G173" s="157">
        <v>463496.74963858596</v>
      </c>
      <c r="H173" s="157">
        <v>464160.01275739941</v>
      </c>
      <c r="I173" s="157">
        <v>478630.55286119349</v>
      </c>
      <c r="J173" s="157">
        <v>491413.65436887252</v>
      </c>
      <c r="K173" s="157">
        <v>507728.67642064445</v>
      </c>
      <c r="L173" s="157">
        <v>522021.92346206005</v>
      </c>
      <c r="M173" s="157">
        <v>529635.74513397925</v>
      </c>
      <c r="N173" s="157">
        <v>543865.61090489267</v>
      </c>
      <c r="O173" s="157">
        <v>566261.3626986345</v>
      </c>
      <c r="P173" s="157">
        <v>558360.49086101481</v>
      </c>
      <c r="Q173" s="157">
        <v>563728.4932470466</v>
      </c>
      <c r="R173" s="157">
        <v>580792.40091160266</v>
      </c>
      <c r="S173" s="157">
        <v>579162.80135955138</v>
      </c>
      <c r="T173" s="157">
        <v>572854.82164759981</v>
      </c>
      <c r="U173" s="157">
        <v>568173.23418784444</v>
      </c>
      <c r="V173" s="157">
        <v>591888.68625188642</v>
      </c>
      <c r="W173" s="157">
        <v>575769.90531276911</v>
      </c>
      <c r="X173" s="157">
        <v>542810.70657176338</v>
      </c>
      <c r="Y173" s="157">
        <v>554734.25614216086</v>
      </c>
      <c r="Z173" s="157">
        <v>563320.36941680522</v>
      </c>
      <c r="AA173" s="157">
        <v>564221.19243368693</v>
      </c>
      <c r="AB173" s="157">
        <v>568853.79743076675</v>
      </c>
      <c r="AC173" s="157">
        <v>566468.85508718225</v>
      </c>
      <c r="AD173" s="157">
        <v>565644.08148966345</v>
      </c>
      <c r="AE173" s="157">
        <v>558871.64786614699</v>
      </c>
      <c r="AF173" s="158">
        <v>569602.98819103092</v>
      </c>
      <c r="AG173" s="158">
        <v>579078.841669749</v>
      </c>
      <c r="AH173" s="158">
        <v>582024.98160077934</v>
      </c>
      <c r="AI173" s="158">
        <v>526581.62753486237</v>
      </c>
      <c r="AJ173" s="158">
        <v>540311.63330928981</v>
      </c>
      <c r="AK173" s="158">
        <v>550611.61159179604</v>
      </c>
      <c r="AL173" s="107"/>
      <c r="AM173" s="39"/>
      <c r="AN173" s="74">
        <f t="shared" si="8"/>
        <v>-3.8828703565468081E-2</v>
      </c>
      <c r="AO173" s="25"/>
      <c r="AP173" s="168"/>
      <c r="AQ173" s="168"/>
      <c r="AR173" s="168"/>
      <c r="AS173" s="103"/>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c r="CG173" s="110"/>
      <c r="CH173" s="110"/>
      <c r="CI173" s="110"/>
      <c r="CJ173" s="110"/>
      <c r="CK173" s="110"/>
      <c r="CL173" s="110"/>
      <c r="CM173" s="110"/>
      <c r="CN173" s="110"/>
      <c r="CO173" s="110"/>
      <c r="CP173" s="110"/>
      <c r="CQ173" s="110"/>
      <c r="CR173" s="110"/>
      <c r="CS173" s="110"/>
      <c r="CT173" s="110"/>
      <c r="CU173" s="110"/>
      <c r="CV173" s="110"/>
      <c r="CW173" s="110"/>
      <c r="CX173" s="110"/>
      <c r="CY173" s="110"/>
      <c r="CZ173" s="110"/>
      <c r="DA173" s="110"/>
    </row>
    <row r="174" spans="1:105" s="112" customFormat="1">
      <c r="A174" s="229"/>
      <c r="B174" s="232"/>
      <c r="C174" s="210"/>
      <c r="D174" s="148" t="s">
        <v>86</v>
      </c>
      <c r="E174" s="159">
        <v>506039.30675705505</v>
      </c>
      <c r="F174" s="159">
        <v>490864.01679897099</v>
      </c>
      <c r="G174" s="159">
        <v>515704.25924163294</v>
      </c>
      <c r="H174" s="159">
        <v>529556.49831429438</v>
      </c>
      <c r="I174" s="159">
        <v>531986.02757305384</v>
      </c>
      <c r="J174" s="159">
        <v>555122.59594327363</v>
      </c>
      <c r="K174" s="159">
        <v>561809.48863362486</v>
      </c>
      <c r="L174" s="159">
        <v>574644.12631624762</v>
      </c>
      <c r="M174" s="159">
        <v>575528.13453145674</v>
      </c>
      <c r="N174" s="159">
        <v>593975.25990873971</v>
      </c>
      <c r="O174" s="159">
        <v>622157.25757266476</v>
      </c>
      <c r="P174" s="159">
        <v>597027.67396679905</v>
      </c>
      <c r="Q174" s="159">
        <v>632077.11363523966</v>
      </c>
      <c r="R174" s="159">
        <v>645867.35005741939</v>
      </c>
      <c r="S174" s="159">
        <v>641073.57771808608</v>
      </c>
      <c r="T174" s="159">
        <v>637490.48532000114</v>
      </c>
      <c r="U174" s="159">
        <v>614057.65674812219</v>
      </c>
      <c r="V174" s="159">
        <v>636519.88641337096</v>
      </c>
      <c r="W174" s="159">
        <v>613843.18519676349</v>
      </c>
      <c r="X174" s="159">
        <v>552845.07535976905</v>
      </c>
      <c r="Y174" s="159">
        <v>593041.78971899138</v>
      </c>
      <c r="Z174" s="159">
        <v>604263.13527437556</v>
      </c>
      <c r="AA174" s="159">
        <v>589861.72041566647</v>
      </c>
      <c r="AB174" s="159">
        <v>596729.69378464576</v>
      </c>
      <c r="AC174" s="159">
        <v>570872.15627951559</v>
      </c>
      <c r="AD174" s="159">
        <v>607613.03865702427</v>
      </c>
      <c r="AE174" s="159">
        <v>584530.64776475623</v>
      </c>
      <c r="AF174" s="160">
        <v>587469.98842661898</v>
      </c>
      <c r="AG174" s="160">
        <v>600920.22572056798</v>
      </c>
      <c r="AH174" s="160">
        <v>594686.71676036203</v>
      </c>
      <c r="AI174" s="160">
        <v>551339.42180727818</v>
      </c>
      <c r="AJ174" s="160">
        <v>552920.88461287506</v>
      </c>
      <c r="AK174" s="160">
        <v>601179.87736172485</v>
      </c>
      <c r="AL174" s="108"/>
      <c r="AM174" s="40"/>
      <c r="AN174" s="75">
        <f t="shared" si="8"/>
        <v>-5.6958666512566758E-2</v>
      </c>
      <c r="AO174" s="32"/>
      <c r="AP174" s="169"/>
      <c r="AQ174" s="169"/>
      <c r="AR174" s="169"/>
      <c r="AS174" s="14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row>
    <row r="175" spans="1:105" s="112" customFormat="1">
      <c r="A175" s="227" t="s">
        <v>27</v>
      </c>
      <c r="B175" s="230" t="s">
        <v>83</v>
      </c>
      <c r="C175" s="207" t="s">
        <v>87</v>
      </c>
      <c r="D175" s="133" t="s">
        <v>85</v>
      </c>
      <c r="E175" s="157">
        <v>6536914.6797930636</v>
      </c>
      <c r="F175" s="157">
        <v>6472689.3518884191</v>
      </c>
      <c r="G175" s="157">
        <v>6576351.6936139883</v>
      </c>
      <c r="H175" s="157">
        <v>6686455.5372199845</v>
      </c>
      <c r="I175" s="157">
        <v>6782638.781299673</v>
      </c>
      <c r="J175" s="157">
        <v>6862137.292178221</v>
      </c>
      <c r="K175" s="157">
        <v>7056258.3775752159</v>
      </c>
      <c r="L175" s="157">
        <v>7108979.9652857324</v>
      </c>
      <c r="M175" s="157">
        <v>7178986.2880283399</v>
      </c>
      <c r="N175" s="157">
        <v>7218632.9666135358</v>
      </c>
      <c r="O175" s="157">
        <v>7419881.1122579444</v>
      </c>
      <c r="P175" s="157">
        <v>7287316.9534539031</v>
      </c>
      <c r="Q175" s="157">
        <v>7329898.1137895538</v>
      </c>
      <c r="R175" s="157">
        <v>7386887.0427374924</v>
      </c>
      <c r="S175" s="157">
        <v>7492328.7569057671</v>
      </c>
      <c r="T175" s="157">
        <v>7494637.1004351787</v>
      </c>
      <c r="U175" s="157">
        <v>7429178.1398755172</v>
      </c>
      <c r="V175" s="157">
        <v>7529904.7443570793</v>
      </c>
      <c r="W175" s="157">
        <v>7326352.5874689966</v>
      </c>
      <c r="X175" s="157">
        <v>6866918.7256182758</v>
      </c>
      <c r="Y175" s="157">
        <v>7066007.4087265087</v>
      </c>
      <c r="Z175" s="157">
        <v>6911768.4826680692</v>
      </c>
      <c r="AA175" s="157">
        <v>6660905.1235916503</v>
      </c>
      <c r="AB175" s="157">
        <v>6845403.0743498141</v>
      </c>
      <c r="AC175" s="157">
        <v>6905851.3419710565</v>
      </c>
      <c r="AD175" s="157">
        <v>6736216.7832995113</v>
      </c>
      <c r="AE175" s="157">
        <v>6580035.9711100031</v>
      </c>
      <c r="AF175" s="158">
        <v>6551027.1463901987</v>
      </c>
      <c r="AG175" s="158">
        <v>6752749.7220774842</v>
      </c>
      <c r="AH175" s="158">
        <v>6590128.917246636</v>
      </c>
      <c r="AI175" s="158">
        <v>6001807.2754546683</v>
      </c>
      <c r="AJ175" s="158">
        <v>6328794.3530199779</v>
      </c>
      <c r="AK175" s="158">
        <v>6343209.3302705865</v>
      </c>
      <c r="AL175" s="83">
        <v>-0.17</v>
      </c>
      <c r="AM175" s="41">
        <v>2005</v>
      </c>
      <c r="AN175" s="73">
        <f>(AK175/T175)-1</f>
        <v>-0.15363355886807839</v>
      </c>
      <c r="AO175" s="25" t="s">
        <v>28</v>
      </c>
      <c r="AP175" s="166">
        <v>2005</v>
      </c>
      <c r="AQ175" s="170" t="s">
        <v>167</v>
      </c>
      <c r="AR175" s="166">
        <v>2035</v>
      </c>
      <c r="AS175" s="137">
        <f>(AK175/T175)-1</f>
        <v>-0.15363355886807839</v>
      </c>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c r="CH175" s="110"/>
      <c r="CI175" s="110"/>
      <c r="CJ175" s="110"/>
      <c r="CK175" s="110"/>
      <c r="CL175" s="110"/>
      <c r="CM175" s="110"/>
      <c r="CN175" s="110"/>
      <c r="CO175" s="110"/>
      <c r="CP175" s="110"/>
      <c r="CQ175" s="110"/>
      <c r="CR175" s="110"/>
      <c r="CS175" s="110"/>
      <c r="CT175" s="110"/>
      <c r="CU175" s="110"/>
      <c r="CV175" s="110"/>
      <c r="CW175" s="110"/>
      <c r="CX175" s="110"/>
      <c r="CY175" s="110"/>
      <c r="CZ175" s="110"/>
      <c r="DA175" s="110"/>
    </row>
    <row r="176" spans="1:105" s="112" customFormat="1">
      <c r="A176" s="228"/>
      <c r="B176" s="231"/>
      <c r="C176" s="208"/>
      <c r="D176" s="133" t="s">
        <v>86</v>
      </c>
      <c r="E176" s="157">
        <v>5560219.921339374</v>
      </c>
      <c r="F176" s="157">
        <v>5483708.2833548114</v>
      </c>
      <c r="G176" s="157">
        <v>5568966.448885384</v>
      </c>
      <c r="H176" s="157">
        <v>5695109.0123030301</v>
      </c>
      <c r="I176" s="157">
        <v>5777417.2531236727</v>
      </c>
      <c r="J176" s="157">
        <v>5881906.0644246535</v>
      </c>
      <c r="K176" s="157">
        <v>6045083.798512727</v>
      </c>
      <c r="L176" s="157">
        <v>6123785.1517567085</v>
      </c>
      <c r="M176" s="157">
        <v>6182651.6079145242</v>
      </c>
      <c r="N176" s="157">
        <v>6250157.3504340518</v>
      </c>
      <c r="O176" s="157">
        <v>6436193.3943910534</v>
      </c>
      <c r="P176" s="157">
        <v>6307564.5814820696</v>
      </c>
      <c r="Q176" s="157">
        <v>6405071.5777506353</v>
      </c>
      <c r="R176" s="157">
        <v>6428978.7422777647</v>
      </c>
      <c r="S176" s="157">
        <v>6632145.0051488848</v>
      </c>
      <c r="T176" s="157">
        <v>6586940.4914999306</v>
      </c>
      <c r="U176" s="157">
        <v>6477242.4021924604</v>
      </c>
      <c r="V176" s="157">
        <v>6629583.3848272832</v>
      </c>
      <c r="W176" s="157">
        <v>6413546.347095754</v>
      </c>
      <c r="X176" s="157">
        <v>6016041.0281849373</v>
      </c>
      <c r="Y176" s="157">
        <v>6179682.6543026082</v>
      </c>
      <c r="Z176" s="157">
        <v>5970037.6860452807</v>
      </c>
      <c r="AA176" s="157">
        <v>5731671.2079582531</v>
      </c>
      <c r="AB176" s="157">
        <v>5958790.7228037845</v>
      </c>
      <c r="AC176" s="157">
        <v>5982190.9588713143</v>
      </c>
      <c r="AD176" s="157">
        <v>5916024.3387806127</v>
      </c>
      <c r="AE176" s="157">
        <v>5663237.4803487668</v>
      </c>
      <c r="AF176" s="158">
        <v>5625024.8923016172</v>
      </c>
      <c r="AG176" s="158">
        <v>5837250.0177993532</v>
      </c>
      <c r="AH176" s="158">
        <v>5726552.9107768973</v>
      </c>
      <c r="AI176" s="158">
        <v>5097412.546179967</v>
      </c>
      <c r="AJ176" s="158">
        <v>5418240.6300558215</v>
      </c>
      <c r="AK176" s="158">
        <v>5488970.7535049785</v>
      </c>
      <c r="AL176" s="39"/>
      <c r="AM176" s="39"/>
      <c r="AN176" s="74">
        <f t="shared" si="8"/>
        <v>-0.16668888073481447</v>
      </c>
      <c r="AO176" s="25"/>
      <c r="AP176" s="168"/>
      <c r="AQ176" s="168"/>
      <c r="AR176" s="168"/>
      <c r="AS176" s="103"/>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row>
    <row r="177" spans="1:105" s="112" customFormat="1">
      <c r="A177" s="228"/>
      <c r="B177" s="231"/>
      <c r="C177" s="209" t="s">
        <v>88</v>
      </c>
      <c r="D177" s="133" t="s">
        <v>85</v>
      </c>
      <c r="E177" s="157">
        <v>5131649.9179338422</v>
      </c>
      <c r="F177" s="157">
        <v>5076301.3728953777</v>
      </c>
      <c r="G177" s="157">
        <v>5178730.8103493061</v>
      </c>
      <c r="H177" s="157">
        <v>5279479.6070834426</v>
      </c>
      <c r="I177" s="157">
        <v>5361823.1471951883</v>
      </c>
      <c r="J177" s="157">
        <v>5425799.2483278252</v>
      </c>
      <c r="K177" s="157">
        <v>5601058.0610044273</v>
      </c>
      <c r="L177" s="157">
        <v>5673108.9554237751</v>
      </c>
      <c r="M177" s="157">
        <v>5736325.2530561415</v>
      </c>
      <c r="N177" s="157">
        <v>5800249.574243417</v>
      </c>
      <c r="O177" s="157">
        <v>6023128.1481773667</v>
      </c>
      <c r="P177" s="157">
        <v>5903534.2323353216</v>
      </c>
      <c r="Q177" s="157">
        <v>5947794.8097726032</v>
      </c>
      <c r="R177" s="157">
        <v>6006415.9388180533</v>
      </c>
      <c r="S177" s="157">
        <v>6111521.3921528356</v>
      </c>
      <c r="T177" s="157">
        <v>6126864.1132818833</v>
      </c>
      <c r="U177" s="157">
        <v>6045302.9943539565</v>
      </c>
      <c r="V177" s="157">
        <v>6121520.898451956</v>
      </c>
      <c r="W177" s="157">
        <v>5919210.1388680004</v>
      </c>
      <c r="X177" s="157">
        <v>5486088.7614141153</v>
      </c>
      <c r="Y177" s="157">
        <v>5668742.1789052505</v>
      </c>
      <c r="Z177" s="157">
        <v>5540330.9081888823</v>
      </c>
      <c r="AA177" s="157">
        <v>5332810.8172207158</v>
      </c>
      <c r="AB177" s="157">
        <v>5473655.6944413669</v>
      </c>
      <c r="AC177" s="157">
        <v>5529884.0736858258</v>
      </c>
      <c r="AD177" s="157">
        <v>5368292.857288844</v>
      </c>
      <c r="AE177" s="157">
        <v>5246402.9250260228</v>
      </c>
      <c r="AF177" s="158">
        <v>5196539.8320305049</v>
      </c>
      <c r="AG177" s="158">
        <v>5362191.2282171389</v>
      </c>
      <c r="AH177" s="158">
        <v>5234488.2400557771</v>
      </c>
      <c r="AI177" s="158">
        <v>4688969.2072321847</v>
      </c>
      <c r="AJ177" s="158">
        <v>5017202.0794459097</v>
      </c>
      <c r="AK177" s="158">
        <v>5053018.6889002668</v>
      </c>
      <c r="AL177" s="39"/>
      <c r="AM177" s="39"/>
      <c r="AN177" s="74">
        <f t="shared" si="8"/>
        <v>-0.1752683598863769</v>
      </c>
      <c r="AO177" s="25"/>
      <c r="AP177" s="168"/>
      <c r="AQ177" s="168"/>
      <c r="AR177" s="168"/>
      <c r="AS177" s="103"/>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row>
    <row r="178" spans="1:105" s="112" customFormat="1">
      <c r="A178" s="229"/>
      <c r="B178" s="232"/>
      <c r="C178" s="210"/>
      <c r="D178" s="148" t="s">
        <v>86</v>
      </c>
      <c r="E178" s="159">
        <v>4096971.4653060297</v>
      </c>
      <c r="F178" s="159">
        <v>4030711.6151476419</v>
      </c>
      <c r="G178" s="159">
        <v>4117600.6004296774</v>
      </c>
      <c r="H178" s="159">
        <v>4233771.3591422653</v>
      </c>
      <c r="I178" s="159">
        <v>4299170.6797823906</v>
      </c>
      <c r="J178" s="159">
        <v>4392036.9793988075</v>
      </c>
      <c r="K178" s="159">
        <v>4533242.4327330673</v>
      </c>
      <c r="L178" s="159">
        <v>4634830.9509111205</v>
      </c>
      <c r="M178" s="159">
        <v>4685861.4177436456</v>
      </c>
      <c r="N178" s="159">
        <v>4773904.6877538003</v>
      </c>
      <c r="O178" s="159">
        <v>4976358.9775897637</v>
      </c>
      <c r="P178" s="159">
        <v>4867406.6257021371</v>
      </c>
      <c r="Q178" s="159">
        <v>4956044.4732357254</v>
      </c>
      <c r="R178" s="159">
        <v>4986591.5966010662</v>
      </c>
      <c r="S178" s="159">
        <v>5174663.1317794267</v>
      </c>
      <c r="T178" s="159">
        <v>5150286.1664341316</v>
      </c>
      <c r="U178" s="159">
        <v>5031451.0077294959</v>
      </c>
      <c r="V178" s="159">
        <v>5155265.7214950668</v>
      </c>
      <c r="W178" s="159">
        <v>4946140.2842590772</v>
      </c>
      <c r="X178" s="159">
        <v>4571073.8100196831</v>
      </c>
      <c r="Y178" s="159">
        <v>4727173.4682388529</v>
      </c>
      <c r="Z178" s="159">
        <v>4538479.1474057436</v>
      </c>
      <c r="AA178" s="159">
        <v>4341504.7670758702</v>
      </c>
      <c r="AB178" s="159">
        <v>4524295.9010299779</v>
      </c>
      <c r="AC178" s="159">
        <v>4549515.4758482687</v>
      </c>
      <c r="AD178" s="159">
        <v>4472086.3017035155</v>
      </c>
      <c r="AE178" s="159">
        <v>4272635.7317269221</v>
      </c>
      <c r="AF178" s="160">
        <v>4204656.2251248611</v>
      </c>
      <c r="AG178" s="160">
        <v>4383903.756448823</v>
      </c>
      <c r="AH178" s="160">
        <v>4312880.8107896736</v>
      </c>
      <c r="AI178" s="160">
        <v>3716203.7491012323</v>
      </c>
      <c r="AJ178" s="160">
        <v>4033783.8986624405</v>
      </c>
      <c r="AK178" s="160">
        <v>4131226.9255022826</v>
      </c>
      <c r="AL178" s="40"/>
      <c r="AM178" s="40"/>
      <c r="AN178" s="75">
        <f t="shared" si="8"/>
        <v>-0.19786458616092939</v>
      </c>
      <c r="AO178" s="32"/>
      <c r="AP178" s="40"/>
      <c r="AQ178" s="142"/>
      <c r="AR178" s="40"/>
      <c r="AS178" s="75"/>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row>
    <row r="179" spans="1:105" s="14" customFormat="1" ht="15">
      <c r="A179" s="211" t="s">
        <v>89</v>
      </c>
      <c r="B179" s="212"/>
      <c r="C179" s="217" t="s">
        <v>87</v>
      </c>
      <c r="D179" s="98" t="s">
        <v>85</v>
      </c>
      <c r="E179" s="99">
        <f>SUM(E7,E11,E15,E19,E23,E27,E31,E35,E39,E43,E47,E51,E55,E59,E63,E67,E71,E75,E79,E83,E87,E91,E95,E99,E103,E107,E111,E155,E115,E119,E123,E127,E131,E135,E139,E143,E147,E151,E159,E163,E167,E171,E175)</f>
        <v>19563812.71167795</v>
      </c>
      <c r="F179" s="99">
        <f t="shared" ref="F179:AD179" si="9">SUM(F7,F11,F15,F19,F23,F27,F31,F35,F39,F43,F47,F51,F55,F59,F63,F67,F71,F75,F79,F83,F87,F91,F95,F99,F103,F107,F111,F155,F115,F119,F123,F127,F131,F135,F139,F143,F147,F151,F159,F163,F167,F171,F175)</f>
        <v>19155048.303826347</v>
      </c>
      <c r="G179" s="99">
        <f t="shared" si="9"/>
        <v>18552669.722560104</v>
      </c>
      <c r="H179" s="99">
        <f t="shared" si="9"/>
        <v>18297694.109503105</v>
      </c>
      <c r="I179" s="99">
        <f t="shared" si="9"/>
        <v>18007674.66437922</v>
      </c>
      <c r="J179" s="99">
        <f t="shared" si="9"/>
        <v>18073801.237166271</v>
      </c>
      <c r="K179" s="99">
        <f t="shared" si="9"/>
        <v>18332579.187498078</v>
      </c>
      <c r="L179" s="99">
        <f t="shared" si="9"/>
        <v>18179115.759322759</v>
      </c>
      <c r="M179" s="99">
        <f t="shared" si="9"/>
        <v>18137235.38849362</v>
      </c>
      <c r="N179" s="99">
        <f t="shared" si="9"/>
        <v>18074528.043986205</v>
      </c>
      <c r="O179" s="99">
        <f t="shared" si="9"/>
        <v>18328073.38530314</v>
      </c>
      <c r="P179" s="99">
        <f t="shared" si="9"/>
        <v>18255725.410407383</v>
      </c>
      <c r="Q179" s="99">
        <f t="shared" si="9"/>
        <v>18285094.330495838</v>
      </c>
      <c r="R179" s="99">
        <f t="shared" si="9"/>
        <v>18534322.533389762</v>
      </c>
      <c r="S179" s="99">
        <f t="shared" si="9"/>
        <v>18683618.775265366</v>
      </c>
      <c r="T179" s="99">
        <f t="shared" si="9"/>
        <v>18722548.276914366</v>
      </c>
      <c r="U179" s="99">
        <f t="shared" si="9"/>
        <v>18752905.153926417</v>
      </c>
      <c r="V179" s="99">
        <f t="shared" si="9"/>
        <v>18887366.0095728</v>
      </c>
      <c r="W179" s="99">
        <f t="shared" si="9"/>
        <v>18497411.120195586</v>
      </c>
      <c r="X179" s="99">
        <f t="shared" si="9"/>
        <v>17345893.021741923</v>
      </c>
      <c r="Y179" s="99">
        <f t="shared" si="9"/>
        <v>17842865.951173302</v>
      </c>
      <c r="Z179" s="99">
        <f t="shared" si="9"/>
        <v>17683148.898132306</v>
      </c>
      <c r="AA179" s="99">
        <f t="shared" si="9"/>
        <v>17467883.189078249</v>
      </c>
      <c r="AB179" s="99">
        <f t="shared" si="9"/>
        <v>17480207.208764583</v>
      </c>
      <c r="AC179" s="99">
        <f t="shared" si="9"/>
        <v>17306034.861196525</v>
      </c>
      <c r="AD179" s="99">
        <f t="shared" si="9"/>
        <v>17098669.719978325</v>
      </c>
      <c r="AE179" s="99">
        <v>17121650.259624787</v>
      </c>
      <c r="AF179" s="99">
        <f t="shared" ref="AF179:AK182" si="10">SUM(AF7,AF11,AF15,AF19,AF23,AF27,AF31,AF35,AF39,AF43,AF47,AF51,AF55,AF59,AF63,AF67,AF71,AF75,AF79,AF83,AF87,AF91,AF95,AF99,AF103,AF107,AF111,AF155,AF115,AF119,AF123,AF127,AF131,AF135,AF139,AF143,AF147,AF151,AF159,AF163,AF167,AF171,AF175)</f>
        <v>16978245.815351672</v>
      </c>
      <c r="AG179" s="99">
        <f t="shared" si="10"/>
        <v>17154288.352644205</v>
      </c>
      <c r="AH179" s="99">
        <f t="shared" ref="AH179:AJ179" si="11">SUM(AH7,AH11,AH15,AH19,AH23,AH27,AH31,AH35,AH39,AH43,AH47,AH51,AH55,AH59,AH63,AH67,AH71,AH75,AH79,AH83,AH87,AH91,AH95,AH99,AH103,AH107,AH111,AH155,AH115,AH119,AH123,AH127,AH131,AH135,AH139,AH143,AH147,AH151,AH159,AH163,AH167,AH171,AH175)</f>
        <v>16708287.057862932</v>
      </c>
      <c r="AI179" s="99">
        <f t="shared" si="11"/>
        <v>15530624.728502601</v>
      </c>
      <c r="AJ179" s="99">
        <f t="shared" si="11"/>
        <v>16193492.554243743</v>
      </c>
      <c r="AK179" s="99">
        <f t="shared" si="10"/>
        <v>15929430.75124405</v>
      </c>
      <c r="AL179" s="93" t="s">
        <v>28</v>
      </c>
      <c r="AM179" s="94" t="s">
        <v>28</v>
      </c>
      <c r="AN179" s="95" t="s">
        <v>28</v>
      </c>
      <c r="AO179" s="96" t="s">
        <v>28</v>
      </c>
      <c r="AP179" s="94" t="s">
        <v>28</v>
      </c>
      <c r="AQ179" s="94" t="s">
        <v>28</v>
      </c>
      <c r="AR179" s="94" t="s">
        <v>28</v>
      </c>
      <c r="AS179" s="97" t="s">
        <v>28</v>
      </c>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row>
    <row r="180" spans="1:105" ht="15">
      <c r="A180" s="213"/>
      <c r="B180" s="214"/>
      <c r="C180" s="218"/>
      <c r="D180" s="100" t="s">
        <v>86</v>
      </c>
      <c r="E180" s="101">
        <f t="shared" ref="E180:AD180" si="12">SUM(E8,E12,E16,E20,E24,E28,E32,E36,E40,E44,E48,E52,E56,E60,E64,E68,E72,E76,E80,E84,E88,E92,E96,E100,E104,E108,E112,E156,E116,E120,E124,E128,E132,E136,E140,E144,E148,E152,E160,E164,E168,E172,E176)</f>
        <v>17824447.221695438</v>
      </c>
      <c r="F180" s="101">
        <f t="shared" si="12"/>
        <v>17189888.072549373</v>
      </c>
      <c r="G180" s="101">
        <f t="shared" si="12"/>
        <v>16519035.872782007</v>
      </c>
      <c r="H180" s="101">
        <f t="shared" si="12"/>
        <v>16063759.029737569</v>
      </c>
      <c r="I180" s="101">
        <f t="shared" si="12"/>
        <v>15587843.212859308</v>
      </c>
      <c r="J180" s="101">
        <f t="shared" si="12"/>
        <v>15559485.797741435</v>
      </c>
      <c r="K180" s="101">
        <f t="shared" si="12"/>
        <v>15728355.816079317</v>
      </c>
      <c r="L180" s="101">
        <f t="shared" si="12"/>
        <v>15540493.571560897</v>
      </c>
      <c r="M180" s="101">
        <f t="shared" si="12"/>
        <v>15440868.198783584</v>
      </c>
      <c r="N180" s="101">
        <f t="shared" si="12"/>
        <v>15321036.727939339</v>
      </c>
      <c r="O180" s="101">
        <f t="shared" si="12"/>
        <v>15660675.473800894</v>
      </c>
      <c r="P180" s="101">
        <f t="shared" si="12"/>
        <v>15409374.821932333</v>
      </c>
      <c r="Q180" s="101">
        <f t="shared" si="12"/>
        <v>15517240.797669627</v>
      </c>
      <c r="R180" s="101">
        <f t="shared" si="12"/>
        <v>15638020.728685353</v>
      </c>
      <c r="S180" s="101">
        <f t="shared" si="12"/>
        <v>15677468.678387698</v>
      </c>
      <c r="T180" s="101">
        <f t="shared" si="12"/>
        <v>15719674.471268361</v>
      </c>
      <c r="U180" s="101">
        <f t="shared" si="12"/>
        <v>15805341.061253846</v>
      </c>
      <c r="V180" s="101">
        <f t="shared" si="12"/>
        <v>15901358.740907185</v>
      </c>
      <c r="W180" s="101">
        <f t="shared" si="12"/>
        <v>15499623.604160286</v>
      </c>
      <c r="X180" s="101">
        <f t="shared" si="12"/>
        <v>14299649.017081827</v>
      </c>
      <c r="Y180" s="101">
        <f t="shared" si="12"/>
        <v>14700517.259946287</v>
      </c>
      <c r="Z180" s="101">
        <f t="shared" si="12"/>
        <v>14832333.416765664</v>
      </c>
      <c r="AA180" s="101">
        <f t="shared" si="12"/>
        <v>15001548.88463838</v>
      </c>
      <c r="AB180" s="101">
        <f t="shared" si="12"/>
        <v>14675304.938778134</v>
      </c>
      <c r="AC180" s="101">
        <f t="shared" si="12"/>
        <v>14594041.553714586</v>
      </c>
      <c r="AD180" s="101">
        <f t="shared" si="12"/>
        <v>14575690.039492689</v>
      </c>
      <c r="AE180" s="101">
        <v>15314765.016219679</v>
      </c>
      <c r="AF180" s="101">
        <f t="shared" si="10"/>
        <v>14408786.260219308</v>
      </c>
      <c r="AG180" s="101">
        <f t="shared" si="10"/>
        <v>14704352.87398638</v>
      </c>
      <c r="AH180" s="101">
        <f t="shared" ref="AH180:AJ180" si="13">SUM(AH8,AH12,AH16,AH20,AH24,AH28,AH32,AH36,AH40,AH44,AH48,AH52,AH56,AH60,AH64,AH68,AH72,AH76,AH80,AH84,AH88,AH92,AH96,AH100,AH104,AH108,AH112,AH156,AH116,AH120,AH124,AH128,AH132,AH136,AH140,AH144,AH148,AH152,AH160,AH164,AH168,AH172,AH176)</f>
        <v>14472583.067593347</v>
      </c>
      <c r="AI180" s="101">
        <f t="shared" si="13"/>
        <v>12984326.598446349</v>
      </c>
      <c r="AJ180" s="101">
        <f t="shared" si="13"/>
        <v>13841264.884818193</v>
      </c>
      <c r="AK180" s="101">
        <f t="shared" si="10"/>
        <v>13396702.346827799</v>
      </c>
      <c r="AL180" s="102" t="s">
        <v>28</v>
      </c>
      <c r="AM180" s="39" t="s">
        <v>28</v>
      </c>
      <c r="AN180" s="103" t="s">
        <v>28</v>
      </c>
      <c r="AO180" s="104" t="s">
        <v>28</v>
      </c>
      <c r="AP180" s="39" t="s">
        <v>28</v>
      </c>
      <c r="AQ180" s="39" t="s">
        <v>28</v>
      </c>
      <c r="AR180" s="39" t="s">
        <v>28</v>
      </c>
      <c r="AS180" s="105" t="s">
        <v>28</v>
      </c>
    </row>
    <row r="181" spans="1:105" ht="13.5" customHeight="1">
      <c r="A181" s="213"/>
      <c r="B181" s="214"/>
      <c r="C181" s="219" t="s">
        <v>88</v>
      </c>
      <c r="D181" s="106" t="s">
        <v>85</v>
      </c>
      <c r="E181" s="99">
        <f t="shared" ref="E181:AD181" si="14">SUM(E9,E13,E17,E21,E25,E29,E33,E37,E41,E45,E49,E53,E57,E61,E65,E69,E73,E77,E81,E85,E89,E93,E97,E101,E105,E109,E113,E157,E117,E121,E125,E129,E133,E137,E141,E145,E149,E153,E161,E165,E169,E173,E177)</f>
        <v>15379753.945024243</v>
      </c>
      <c r="F181" s="99">
        <f t="shared" si="14"/>
        <v>15065769.521554854</v>
      </c>
      <c r="G181" s="99">
        <f t="shared" si="14"/>
        <v>14541699.03459578</v>
      </c>
      <c r="H181" s="99">
        <f t="shared" si="14"/>
        <v>14345918.631990582</v>
      </c>
      <c r="I181" s="99">
        <f t="shared" si="14"/>
        <v>14119922.72219207</v>
      </c>
      <c r="J181" s="99">
        <f t="shared" si="14"/>
        <v>14203525.169148996</v>
      </c>
      <c r="K181" s="99">
        <f t="shared" si="14"/>
        <v>14460292.237591214</v>
      </c>
      <c r="L181" s="99">
        <f t="shared" si="14"/>
        <v>14347636.836135104</v>
      </c>
      <c r="M181" s="99">
        <f t="shared" si="14"/>
        <v>14357344.536081798</v>
      </c>
      <c r="N181" s="99">
        <f t="shared" si="14"/>
        <v>14387000.509145861</v>
      </c>
      <c r="O181" s="99">
        <f t="shared" si="14"/>
        <v>14693818.085838256</v>
      </c>
      <c r="P181" s="99">
        <f t="shared" si="14"/>
        <v>14664890.766436361</v>
      </c>
      <c r="Q181" s="99">
        <f t="shared" si="14"/>
        <v>14738763.322549324</v>
      </c>
      <c r="R181" s="99">
        <f t="shared" si="14"/>
        <v>15001112.69282667</v>
      </c>
      <c r="S181" s="99">
        <f t="shared" si="14"/>
        <v>15155351.103442706</v>
      </c>
      <c r="T181" s="99">
        <f t="shared" si="14"/>
        <v>15220604.236305369</v>
      </c>
      <c r="U181" s="99">
        <f t="shared" si="14"/>
        <v>15253520.381613053</v>
      </c>
      <c r="V181" s="99">
        <f t="shared" si="14"/>
        <v>15378164.303393802</v>
      </c>
      <c r="W181" s="99">
        <f t="shared" si="14"/>
        <v>15021876.936101716</v>
      </c>
      <c r="X181" s="99">
        <f t="shared" si="14"/>
        <v>13983061.8538348</v>
      </c>
      <c r="Y181" s="99">
        <f t="shared" si="14"/>
        <v>14474270.270654706</v>
      </c>
      <c r="Z181" s="99">
        <f t="shared" si="14"/>
        <v>14338408.050740458</v>
      </c>
      <c r="AA181" s="99">
        <f t="shared" si="14"/>
        <v>14160575.729669653</v>
      </c>
      <c r="AB181" s="99">
        <f t="shared" si="14"/>
        <v>14143269.154154785</v>
      </c>
      <c r="AC181" s="99">
        <f t="shared" si="14"/>
        <v>13982273.371516414</v>
      </c>
      <c r="AD181" s="99">
        <f t="shared" si="14"/>
        <v>13815572.407546967</v>
      </c>
      <c r="AE181" s="99">
        <v>13510049.627538592</v>
      </c>
      <c r="AF181" s="99">
        <f t="shared" si="10"/>
        <v>13691732.947240075</v>
      </c>
      <c r="AG181" s="99">
        <f t="shared" si="10"/>
        <v>13813135.760868676</v>
      </c>
      <c r="AH181" s="99">
        <f t="shared" ref="AH181:AJ181" si="15">SUM(AH9,AH13,AH17,AH21,AH25,AH29,AH33,AH37,AH41,AH45,AH49,AH53,AH57,AH61,AH65,AH69,AH73,AH77,AH81,AH85,AH89,AH93,AH97,AH101,AH105,AH109,AH113,AH157,AH117,AH121,AH125,AH129,AH133,AH137,AH141,AH145,AH149,AH153,AH161,AH165,AH169,AH173,AH177)</f>
        <v>13421108.295989092</v>
      </c>
      <c r="AI181" s="99">
        <f t="shared" si="15"/>
        <v>12318053.441573944</v>
      </c>
      <c r="AJ181" s="99">
        <f t="shared" si="15"/>
        <v>12960772.296391837</v>
      </c>
      <c r="AK181" s="99">
        <f t="shared" si="10"/>
        <v>12780667.302255623</v>
      </c>
      <c r="AL181" s="102" t="s">
        <v>28</v>
      </c>
      <c r="AM181" s="39" t="s">
        <v>28</v>
      </c>
      <c r="AN181" s="103" t="s">
        <v>28</v>
      </c>
      <c r="AO181" s="104" t="s">
        <v>28</v>
      </c>
      <c r="AP181" s="39" t="s">
        <v>28</v>
      </c>
      <c r="AQ181" s="39" t="s">
        <v>28</v>
      </c>
      <c r="AR181" s="39" t="s">
        <v>28</v>
      </c>
      <c r="AS181" s="105" t="s">
        <v>28</v>
      </c>
    </row>
    <row r="182" spans="1:105" ht="15">
      <c r="A182" s="215"/>
      <c r="B182" s="216"/>
      <c r="C182" s="220"/>
      <c r="D182" s="87" t="s">
        <v>86</v>
      </c>
      <c r="E182" s="88">
        <f t="shared" ref="E182:AD182" si="16">SUM(E10,E14,E18,E22,E26,E30,E34,E38,E42,E46,E50,E54,E58,E62,E66,E70,E74,E78,E82,E86,E90,E94,E98,E102,E106,E110,E114,E158,E118,E122,E126,E130,E134,E138,E142,E146,E150,E154,E162,E166,E170,E174,E178)</f>
        <v>13498788.563823272</v>
      </c>
      <c r="F182" s="88">
        <f t="shared" si="16"/>
        <v>12958630.335904501</v>
      </c>
      <c r="G182" s="88">
        <f t="shared" si="16"/>
        <v>12370920.209936485</v>
      </c>
      <c r="H182" s="88">
        <f t="shared" si="16"/>
        <v>11975502.319306049</v>
      </c>
      <c r="I182" s="88">
        <f t="shared" si="16"/>
        <v>11558714.401824336</v>
      </c>
      <c r="J182" s="88">
        <f t="shared" si="16"/>
        <v>11553649.043306919</v>
      </c>
      <c r="K182" s="88">
        <f t="shared" si="16"/>
        <v>11714211.055345092</v>
      </c>
      <c r="L182" s="88">
        <f t="shared" si="16"/>
        <v>11573186.986955877</v>
      </c>
      <c r="M182" s="88">
        <f t="shared" si="16"/>
        <v>11520369.239979006</v>
      </c>
      <c r="N182" s="88">
        <f t="shared" si="16"/>
        <v>11492417.585242776</v>
      </c>
      <c r="O182" s="88">
        <f t="shared" si="16"/>
        <v>11874679.034869347</v>
      </c>
      <c r="P182" s="88">
        <f t="shared" si="16"/>
        <v>11674182.82566773</v>
      </c>
      <c r="Q182" s="88">
        <f t="shared" si="16"/>
        <v>11813543.182676468</v>
      </c>
      <c r="R182" s="88">
        <f t="shared" si="16"/>
        <v>11944907.921191107</v>
      </c>
      <c r="S182" s="88">
        <f t="shared" si="16"/>
        <v>11984940.410848318</v>
      </c>
      <c r="T182" s="88">
        <f t="shared" si="16"/>
        <v>12053975.80892336</v>
      </c>
      <c r="U182" s="88">
        <f t="shared" si="16"/>
        <v>12146797.168846745</v>
      </c>
      <c r="V182" s="88">
        <f t="shared" si="16"/>
        <v>12233789.327275191</v>
      </c>
      <c r="W182" s="88">
        <f t="shared" si="16"/>
        <v>11860594.773346104</v>
      </c>
      <c r="X182" s="88">
        <f t="shared" si="16"/>
        <v>10776515.814174384</v>
      </c>
      <c r="Y182" s="88">
        <f t="shared" si="16"/>
        <v>11190790.112416252</v>
      </c>
      <c r="Z182" s="88">
        <f t="shared" si="16"/>
        <v>11335548.018390536</v>
      </c>
      <c r="AA182" s="88">
        <f t="shared" si="16"/>
        <v>11517815.962742047</v>
      </c>
      <c r="AB182" s="88">
        <f t="shared" si="16"/>
        <v>11192092.913073821</v>
      </c>
      <c r="AC182" s="88">
        <f t="shared" si="16"/>
        <v>11124714.02175495</v>
      </c>
      <c r="AD182" s="88">
        <f t="shared" si="16"/>
        <v>11130536.796634026</v>
      </c>
      <c r="AE182" s="88">
        <v>12212604.600744963</v>
      </c>
      <c r="AF182" s="88">
        <f t="shared" si="10"/>
        <v>10970187.482251696</v>
      </c>
      <c r="AG182" s="88">
        <f t="shared" si="10"/>
        <v>11210802.016223822</v>
      </c>
      <c r="AH182" s="88">
        <f t="shared" ref="AH182:AJ182" si="17">SUM(AH10,AH14,AH18,AH22,AH26,AH30,AH34,AH38,AH42,AH46,AH50,AH54,AH58,AH62,AH66,AH70,AH74,AH78,AH82,AH86,AH90,AH94,AH98,AH102,AH106,AH110,AH114,AH158,AH118,AH122,AH126,AH130,AH134,AH138,AH142,AH146,AH150,AH154,AH162,AH166,AH170,AH174,AH178)</f>
        <v>11040520.89078309</v>
      </c>
      <c r="AI182" s="88">
        <f t="shared" si="17"/>
        <v>9622519.0416493472</v>
      </c>
      <c r="AJ182" s="88">
        <f t="shared" si="17"/>
        <v>10434370.596668109</v>
      </c>
      <c r="AK182" s="88">
        <f t="shared" si="10"/>
        <v>10108288.131615732</v>
      </c>
      <c r="AL182" s="89" t="s">
        <v>28</v>
      </c>
      <c r="AM182" s="90" t="s">
        <v>28</v>
      </c>
      <c r="AN182" s="91" t="s">
        <v>28</v>
      </c>
      <c r="AO182" s="84" t="s">
        <v>28</v>
      </c>
      <c r="AP182" s="90" t="s">
        <v>28</v>
      </c>
      <c r="AQ182" s="90" t="s">
        <v>28</v>
      </c>
      <c r="AR182" s="90" t="s">
        <v>28</v>
      </c>
      <c r="AS182" s="92" t="s">
        <v>28</v>
      </c>
    </row>
    <row r="183" spans="1:105">
      <c r="C183" s="113"/>
      <c r="E183" s="143"/>
      <c r="T183" s="114"/>
      <c r="U183" s="115"/>
      <c r="V183" s="115"/>
      <c r="W183" s="115"/>
      <c r="X183" s="115"/>
      <c r="Y183" s="115"/>
      <c r="Z183" s="115"/>
      <c r="AA183" s="115"/>
      <c r="AB183" s="115"/>
      <c r="AC183" s="115"/>
      <c r="AD183" s="115"/>
      <c r="AE183" s="115"/>
      <c r="AF183" s="115"/>
      <c r="AG183" s="115"/>
      <c r="AH183" s="115"/>
      <c r="AI183" s="115"/>
      <c r="AJ183" s="115"/>
      <c r="AK183" s="115"/>
      <c r="AL183" s="115"/>
      <c r="AM183" s="115"/>
    </row>
    <row r="184" spans="1:105">
      <c r="B184" s="110"/>
      <c r="C184" s="113"/>
      <c r="D184" s="113"/>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P184" s="110" t="s">
        <v>132</v>
      </c>
    </row>
    <row r="185" spans="1:105">
      <c r="B185" s="110"/>
      <c r="C185" s="113"/>
      <c r="D185" s="113"/>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f>SUM(AJ7:AJ7,AJ11,AJ15,AJ19,AJ23,AJ27,AJ31,AJ35,AJ39,AJ43,AJ47,AJ51,AJ55,AJ59,AJ63,AJ67,AJ71,AJ75,AJ79,AJ83,AJ87,AJ91,AJ95,AJ99,AJ103,AJ107,AJ111)</f>
        <v>3452466.2358433865</v>
      </c>
      <c r="AK185" s="144">
        <f>SUM(AK7:AK7,AK11,AK15,AK19,AK23,AK27,AK31,AK35,AK39,AK43,AK47,AK51,AK55,AK59,AK63,AK67,AK71,AK75,AK79,AK83,AK87,AK91,AK95,AK99,AK103,AK107,AK111)</f>
        <v>3364923.7510754615</v>
      </c>
      <c r="AP185" s="116">
        <v>1175000</v>
      </c>
      <c r="AQ185" s="110" t="s">
        <v>133</v>
      </c>
    </row>
    <row r="186" spans="1:105">
      <c r="B186" s="110"/>
      <c r="C186" s="113"/>
      <c r="D186" s="113"/>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row>
    <row r="187" spans="1:105">
      <c r="B187" s="110"/>
      <c r="C187" s="113"/>
      <c r="D187" s="113"/>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row>
    <row r="188" spans="1:105">
      <c r="B188" s="110"/>
      <c r="C188" s="113"/>
      <c r="D188" s="113"/>
      <c r="E188" s="113"/>
    </row>
    <row r="189" spans="1:105">
      <c r="B189" s="110"/>
      <c r="C189" s="113"/>
    </row>
    <row r="190" spans="1:105">
      <c r="B190" s="110"/>
      <c r="C190" s="113"/>
    </row>
    <row r="191" spans="1:105">
      <c r="B191" s="110"/>
      <c r="C191" s="113"/>
    </row>
    <row r="192" spans="1:105">
      <c r="B192" s="110"/>
      <c r="C192" s="113"/>
    </row>
    <row r="193" spans="2:3">
      <c r="B193" s="110"/>
      <c r="C193" s="113"/>
    </row>
    <row r="194" spans="2:3">
      <c r="B194" s="110"/>
      <c r="C194" s="110"/>
    </row>
    <row r="195" spans="2:3">
      <c r="B195" s="110"/>
      <c r="C195" s="110"/>
    </row>
    <row r="196" spans="2:3">
      <c r="B196" s="110"/>
      <c r="C196" s="110"/>
    </row>
    <row r="197" spans="2:3">
      <c r="B197" s="110"/>
      <c r="C197" s="110"/>
    </row>
    <row r="198" spans="2:3">
      <c r="B198" s="110"/>
      <c r="C198" s="110"/>
    </row>
    <row r="199" spans="2:3">
      <c r="B199" s="110"/>
      <c r="C199" s="110"/>
    </row>
    <row r="200" spans="2:3">
      <c r="B200" s="110"/>
      <c r="C200" s="110"/>
    </row>
    <row r="201" spans="2:3">
      <c r="B201" s="110"/>
      <c r="C201" s="110"/>
    </row>
    <row r="202" spans="2:3">
      <c r="B202" s="110"/>
      <c r="C202" s="110"/>
    </row>
    <row r="203" spans="2:3">
      <c r="B203" s="110"/>
      <c r="C203" s="110"/>
    </row>
    <row r="204" spans="2:3">
      <c r="B204" s="110"/>
      <c r="C204" s="110"/>
    </row>
    <row r="205" spans="2:3">
      <c r="B205" s="110"/>
      <c r="C205" s="110"/>
    </row>
    <row r="206" spans="2:3">
      <c r="B206" s="110"/>
      <c r="C206" s="110"/>
    </row>
    <row r="207" spans="2:3">
      <c r="B207" s="110"/>
      <c r="C207" s="110"/>
    </row>
    <row r="208" spans="2:3">
      <c r="B208" s="110"/>
      <c r="C208" s="110"/>
    </row>
  </sheetData>
  <mergeCells count="180">
    <mergeCell ref="A43:A46"/>
    <mergeCell ref="B43:B46"/>
    <mergeCell ref="A47:A50"/>
    <mergeCell ref="A27:A30"/>
    <mergeCell ref="B27:B30"/>
    <mergeCell ref="A31:A34"/>
    <mergeCell ref="B31:B34"/>
    <mergeCell ref="A15:A18"/>
    <mergeCell ref="B15:B18"/>
    <mergeCell ref="A19:A22"/>
    <mergeCell ref="B19:B22"/>
    <mergeCell ref="A23:A26"/>
    <mergeCell ref="B23:B26"/>
    <mergeCell ref="B3:B6"/>
    <mergeCell ref="A3:A6"/>
    <mergeCell ref="A7:A10"/>
    <mergeCell ref="B7:B10"/>
    <mergeCell ref="A11:A14"/>
    <mergeCell ref="B11:B14"/>
    <mergeCell ref="A35:A38"/>
    <mergeCell ref="B35:B38"/>
    <mergeCell ref="A39:A42"/>
    <mergeCell ref="B39:B42"/>
    <mergeCell ref="A59:A62"/>
    <mergeCell ref="B59:B62"/>
    <mergeCell ref="A63:A66"/>
    <mergeCell ref="B63:B66"/>
    <mergeCell ref="A67:A70"/>
    <mergeCell ref="B67:B70"/>
    <mergeCell ref="B47:B50"/>
    <mergeCell ref="A51:A54"/>
    <mergeCell ref="B51:B54"/>
    <mergeCell ref="A55:A58"/>
    <mergeCell ref="B55:B58"/>
    <mergeCell ref="A83:A86"/>
    <mergeCell ref="B83:B86"/>
    <mergeCell ref="A87:A90"/>
    <mergeCell ref="B87:B90"/>
    <mergeCell ref="A91:A94"/>
    <mergeCell ref="B91:B94"/>
    <mergeCell ref="A71:A74"/>
    <mergeCell ref="B71:B74"/>
    <mergeCell ref="A75:A78"/>
    <mergeCell ref="B75:B78"/>
    <mergeCell ref="A79:A82"/>
    <mergeCell ref="B79:B82"/>
    <mergeCell ref="A107:A110"/>
    <mergeCell ref="B107:B110"/>
    <mergeCell ref="A111:A114"/>
    <mergeCell ref="B111:B114"/>
    <mergeCell ref="A155:A158"/>
    <mergeCell ref="B155:B158"/>
    <mergeCell ref="A95:A98"/>
    <mergeCell ref="B95:B98"/>
    <mergeCell ref="A99:A102"/>
    <mergeCell ref="B99:B102"/>
    <mergeCell ref="A103:A106"/>
    <mergeCell ref="B103:B106"/>
    <mergeCell ref="A127:A130"/>
    <mergeCell ref="B127:B130"/>
    <mergeCell ref="A131:A134"/>
    <mergeCell ref="B131:B134"/>
    <mergeCell ref="A135:A138"/>
    <mergeCell ref="B135:B138"/>
    <mergeCell ref="A115:A118"/>
    <mergeCell ref="B115:B118"/>
    <mergeCell ref="A119:A122"/>
    <mergeCell ref="B119:B122"/>
    <mergeCell ref="A123:A126"/>
    <mergeCell ref="B123:B126"/>
    <mergeCell ref="A151:A154"/>
    <mergeCell ref="B151:B154"/>
    <mergeCell ref="A159:A162"/>
    <mergeCell ref="B159:B162"/>
    <mergeCell ref="A163:A166"/>
    <mergeCell ref="B163:B166"/>
    <mergeCell ref="A139:A142"/>
    <mergeCell ref="B139:B142"/>
    <mergeCell ref="A143:A146"/>
    <mergeCell ref="B143:B146"/>
    <mergeCell ref="A147:A150"/>
    <mergeCell ref="B147:B150"/>
    <mergeCell ref="C11:C12"/>
    <mergeCell ref="C13:C14"/>
    <mergeCell ref="C15:C16"/>
    <mergeCell ref="C17:C18"/>
    <mergeCell ref="C19:C20"/>
    <mergeCell ref="C2:D2"/>
    <mergeCell ref="C3:C4"/>
    <mergeCell ref="C5:C6"/>
    <mergeCell ref="C7:C8"/>
    <mergeCell ref="C9:C10"/>
    <mergeCell ref="C31:C32"/>
    <mergeCell ref="C33:C34"/>
    <mergeCell ref="C35:C36"/>
    <mergeCell ref="C37:C38"/>
    <mergeCell ref="C39:C40"/>
    <mergeCell ref="C21:C22"/>
    <mergeCell ref="C23:C24"/>
    <mergeCell ref="C25:C26"/>
    <mergeCell ref="C27:C28"/>
    <mergeCell ref="C29:C30"/>
    <mergeCell ref="C51:C52"/>
    <mergeCell ref="C53:C54"/>
    <mergeCell ref="C55:C56"/>
    <mergeCell ref="C57:C58"/>
    <mergeCell ref="C59:C60"/>
    <mergeCell ref="C41:C42"/>
    <mergeCell ref="C43:C44"/>
    <mergeCell ref="C45:C46"/>
    <mergeCell ref="C47:C48"/>
    <mergeCell ref="C49:C50"/>
    <mergeCell ref="C71:C72"/>
    <mergeCell ref="C73:C74"/>
    <mergeCell ref="C75:C76"/>
    <mergeCell ref="C77:C78"/>
    <mergeCell ref="C79:C80"/>
    <mergeCell ref="C61:C62"/>
    <mergeCell ref="C63:C64"/>
    <mergeCell ref="C65:C66"/>
    <mergeCell ref="C67:C68"/>
    <mergeCell ref="C69:C70"/>
    <mergeCell ref="C91:C92"/>
    <mergeCell ref="C93:C94"/>
    <mergeCell ref="C95:C96"/>
    <mergeCell ref="C97:C98"/>
    <mergeCell ref="C99:C100"/>
    <mergeCell ref="C81:C82"/>
    <mergeCell ref="C83:C84"/>
    <mergeCell ref="C85:C86"/>
    <mergeCell ref="C87:C88"/>
    <mergeCell ref="C89:C90"/>
    <mergeCell ref="C111:C112"/>
    <mergeCell ref="C113:C114"/>
    <mergeCell ref="C155:C156"/>
    <mergeCell ref="C157:C158"/>
    <mergeCell ref="C115:C116"/>
    <mergeCell ref="C101:C102"/>
    <mergeCell ref="C103:C104"/>
    <mergeCell ref="C105:C106"/>
    <mergeCell ref="C107:C108"/>
    <mergeCell ref="C109:C110"/>
    <mergeCell ref="C127:C128"/>
    <mergeCell ref="C129:C130"/>
    <mergeCell ref="C131:C132"/>
    <mergeCell ref="C133:C134"/>
    <mergeCell ref="C135:C136"/>
    <mergeCell ref="C117:C118"/>
    <mergeCell ref="C119:C120"/>
    <mergeCell ref="C121:C122"/>
    <mergeCell ref="C123:C124"/>
    <mergeCell ref="C125:C126"/>
    <mergeCell ref="C147:C148"/>
    <mergeCell ref="C149:C150"/>
    <mergeCell ref="C151:C152"/>
    <mergeCell ref="C153:C154"/>
    <mergeCell ref="C159:C160"/>
    <mergeCell ref="C137:C138"/>
    <mergeCell ref="C139:C140"/>
    <mergeCell ref="C141:C142"/>
    <mergeCell ref="C143:C144"/>
    <mergeCell ref="C145:C146"/>
    <mergeCell ref="A179:B182"/>
    <mergeCell ref="C179:C180"/>
    <mergeCell ref="C181:C182"/>
    <mergeCell ref="C171:C172"/>
    <mergeCell ref="C173:C174"/>
    <mergeCell ref="C175:C176"/>
    <mergeCell ref="C177:C178"/>
    <mergeCell ref="C161:C162"/>
    <mergeCell ref="C163:C164"/>
    <mergeCell ref="C165:C166"/>
    <mergeCell ref="C167:C168"/>
    <mergeCell ref="C169:C170"/>
    <mergeCell ref="A167:A170"/>
    <mergeCell ref="B167:B170"/>
    <mergeCell ref="A171:A174"/>
    <mergeCell ref="B171:B174"/>
    <mergeCell ref="A175:A178"/>
    <mergeCell ref="B175:B178"/>
  </mergeCells>
  <phoneticPr fontId="3"/>
  <dataValidations count="1">
    <dataValidation allowBlank="1" showInputMessage="1" showErrorMessage="1" sqref="C177 C149 C173 C153 C5 C161 C165 C169 AO147 C9 C13 C17 C21 C25 C29 C33 C37 C41 C45 C49 C53 C57 C61 C65 C69 C73 C77 C81 C85 C89 C93 C97 C101 C105 C109 C113 C157 C117 C121 C125 C129 C133 C137 C141 C145 E5:AK5" xr:uid="{00000000-0002-0000-0200-000000000000}"/>
  </dataValidations>
  <pageMargins left="0.55000000000000004" right="0.55000000000000004" top="0.55000000000000004" bottom="0.32" header="0.37" footer="0.24"/>
  <pageSetup paperSize="9" scale="76" orientation="landscape" verticalDpi="1200" r:id="rId1"/>
  <headerFooter alignWithMargins="0">
    <oddHeader>&amp;L&amp;"ＭＳ Ｐゴシック,太字" Institute for Global Environmental Strategies</oddHeader>
  </headerFooter>
  <colBreaks count="2" manualBreakCount="2">
    <brk id="3" min="1" max="47" man="1"/>
    <brk id="14" min="1" max="47" man="1"/>
  </colBreaks>
  <ignoredErrors>
    <ignoredError sqref="AN159" formula="1"/>
    <ignoredError sqref="AQ1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6AC41"/>
  </sheetPr>
  <dimension ref="A1:AP78"/>
  <sheetViews>
    <sheetView zoomScale="70" zoomScaleNormal="70" zoomScaleSheetLayoutView="100" workbookViewId="0">
      <pane xSplit="2" ySplit="2" topLeftCell="C3" activePane="bottomRight" state="frozen"/>
      <selection pane="topRight" activeCell="C1" sqref="C1"/>
      <selection pane="bottomLeft" activeCell="A3" sqref="A3"/>
      <selection pane="bottomRight"/>
    </sheetView>
  </sheetViews>
  <sheetFormatPr defaultColWidth="9" defaultRowHeight="15"/>
  <cols>
    <col min="1" max="1" width="14.375" style="3" customWidth="1"/>
    <col min="2" max="2" width="20" style="1" customWidth="1"/>
    <col min="3" max="3" width="13.375" style="3" customWidth="1"/>
    <col min="4" max="4" width="19.375" style="3" customWidth="1"/>
    <col min="5" max="5" width="17.625" style="3" customWidth="1"/>
    <col min="6" max="28" width="11.5" style="3" customWidth="1"/>
    <col min="29" max="29" width="13.125" style="3" customWidth="1"/>
    <col min="30" max="30" width="14.75" style="3" customWidth="1"/>
    <col min="31" max="31" width="22.125" style="3" customWidth="1"/>
    <col min="32" max="32" width="11.625" style="3" bestFit="1" customWidth="1"/>
    <col min="33" max="16384" width="9" style="3"/>
  </cols>
  <sheetData>
    <row r="1" spans="1:42" ht="23.25" customHeight="1">
      <c r="A1" s="62"/>
      <c r="B1" s="62"/>
      <c r="C1" s="61" t="s">
        <v>111</v>
      </c>
      <c r="D1" s="61"/>
      <c r="E1" s="61"/>
      <c r="F1" s="43" t="s">
        <v>125</v>
      </c>
      <c r="G1" s="43"/>
      <c r="H1" s="43"/>
      <c r="I1" s="43"/>
      <c r="J1" s="43"/>
      <c r="K1" s="43"/>
      <c r="L1" s="43"/>
      <c r="M1" s="43"/>
      <c r="N1" s="43"/>
      <c r="O1" s="43"/>
      <c r="P1" s="43"/>
      <c r="Q1" s="43"/>
      <c r="R1" s="43"/>
      <c r="S1" s="43"/>
      <c r="T1" s="43"/>
      <c r="U1" s="43"/>
      <c r="V1" s="43"/>
      <c r="W1" s="43"/>
      <c r="X1" s="43"/>
      <c r="Y1" s="43"/>
      <c r="Z1" s="43"/>
      <c r="AA1" s="43"/>
      <c r="AB1" s="127"/>
      <c r="AC1" s="262" t="s">
        <v>116</v>
      </c>
      <c r="AD1" s="263"/>
      <c r="AE1" s="264"/>
    </row>
    <row r="2" spans="1:42" s="1" customFormat="1" ht="40.5" customHeight="1">
      <c r="A2" s="79" t="s">
        <v>0</v>
      </c>
      <c r="B2" s="79" t="s">
        <v>1</v>
      </c>
      <c r="C2" s="80" t="s">
        <v>109</v>
      </c>
      <c r="D2" s="80" t="s">
        <v>112</v>
      </c>
      <c r="E2" s="80" t="s">
        <v>113</v>
      </c>
      <c r="F2" s="16">
        <v>1990</v>
      </c>
      <c r="G2" s="16">
        <v>1991</v>
      </c>
      <c r="H2" s="16">
        <v>1992</v>
      </c>
      <c r="I2" s="16">
        <v>1993</v>
      </c>
      <c r="J2" s="16">
        <v>1994</v>
      </c>
      <c r="K2" s="16">
        <v>1995</v>
      </c>
      <c r="L2" s="16">
        <v>1996</v>
      </c>
      <c r="M2" s="16">
        <v>1997</v>
      </c>
      <c r="N2" s="16">
        <v>1998</v>
      </c>
      <c r="O2" s="16">
        <v>1999</v>
      </c>
      <c r="P2" s="16">
        <v>2000</v>
      </c>
      <c r="Q2" s="16">
        <v>2001</v>
      </c>
      <c r="R2" s="16">
        <v>2002</v>
      </c>
      <c r="S2" s="16">
        <v>2003</v>
      </c>
      <c r="T2" s="16">
        <v>2004</v>
      </c>
      <c r="U2" s="16">
        <v>2005</v>
      </c>
      <c r="V2" s="16">
        <v>2006</v>
      </c>
      <c r="W2" s="16">
        <v>2007</v>
      </c>
      <c r="X2" s="16">
        <v>2008</v>
      </c>
      <c r="Y2" s="16">
        <v>2009</v>
      </c>
      <c r="Z2" s="16">
        <v>2010</v>
      </c>
      <c r="AA2" s="16">
        <v>2011</v>
      </c>
      <c r="AB2" s="16">
        <v>2012</v>
      </c>
      <c r="AC2" s="129" t="s">
        <v>114</v>
      </c>
      <c r="AD2" s="66" t="s">
        <v>110</v>
      </c>
      <c r="AE2" s="66" t="s">
        <v>115</v>
      </c>
    </row>
    <row r="3" spans="1:42" s="1" customFormat="1" ht="17.25" customHeight="1">
      <c r="A3" s="24" t="s">
        <v>154</v>
      </c>
      <c r="B3" s="22" t="s">
        <v>153</v>
      </c>
      <c r="C3" s="128">
        <v>3485613.6820869562</v>
      </c>
      <c r="D3" s="128">
        <v>16209301.370000001</v>
      </c>
      <c r="E3" s="34">
        <f>D3/5</f>
        <v>3241860.2740000002</v>
      </c>
      <c r="F3" s="23">
        <f>'GHG &amp; CO2 EMISSIONS'!E3</f>
        <v>4858721.7461183947</v>
      </c>
      <c r="G3" s="23">
        <f>'GHG &amp; CO2 EMISSIONS'!F3</f>
        <v>4753235.6175495479</v>
      </c>
      <c r="H3" s="23">
        <f>'GHG &amp; CO2 EMISSIONS'!G3</f>
        <v>4602044.3048363477</v>
      </c>
      <c r="I3" s="23">
        <f>'GHG &amp; CO2 EMISSIONS'!H3</f>
        <v>4522014.9052005336</v>
      </c>
      <c r="J3" s="23">
        <f>'GHG &amp; CO2 EMISSIONS'!I3</f>
        <v>4500096.8468097374</v>
      </c>
      <c r="K3" s="23">
        <f>'GHG &amp; CO2 EMISSIONS'!J3</f>
        <v>4550599.9005432324</v>
      </c>
      <c r="L3" s="23">
        <f>'GHG &amp; CO2 EMISSIONS'!K3</f>
        <v>4641592.2045008708</v>
      </c>
      <c r="M3" s="23">
        <f>'GHG &amp; CO2 EMISSIONS'!L3</f>
        <v>4570484.1590949129</v>
      </c>
      <c r="N3" s="23">
        <f>'GHG &amp; CO2 EMISSIONS'!M3</f>
        <v>4531703.7342188023</v>
      </c>
      <c r="O3" s="23">
        <f>'GHG &amp; CO2 EMISSIONS'!N3</f>
        <v>4456534.2567076925</v>
      </c>
      <c r="P3" s="23">
        <f>'GHG &amp; CO2 EMISSIONS'!O3</f>
        <v>4445278.2092112163</v>
      </c>
      <c r="Q3" s="23">
        <f>'GHG &amp; CO2 EMISSIONS'!P3</f>
        <v>4494091.7851530304</v>
      </c>
      <c r="R3" s="23">
        <f>'GHG &amp; CO2 EMISSIONS'!Q3</f>
        <v>4480290.868138806</v>
      </c>
      <c r="S3" s="23">
        <f>'GHG &amp; CO2 EMISSIONS'!R3</f>
        <v>4555586.5243921857</v>
      </c>
      <c r="T3" s="23">
        <f>'GHG &amp; CO2 EMISSIONS'!S3</f>
        <v>4553475.1721104626</v>
      </c>
      <c r="U3" s="23">
        <f>'GHG &amp; CO2 EMISSIONS'!T3</f>
        <v>4536750.0437631505</v>
      </c>
      <c r="V3" s="23">
        <f>'GHG &amp; CO2 EMISSIONS'!U3</f>
        <v>4540454.9968389142</v>
      </c>
      <c r="W3" s="23">
        <f>'GHG &amp; CO2 EMISSIONS'!V3</f>
        <v>4491363.9388945224</v>
      </c>
      <c r="X3" s="23">
        <f>'GHG &amp; CO2 EMISSIONS'!W3</f>
        <v>4403507.8998998059</v>
      </c>
      <c r="Y3" s="23">
        <f>'GHG &amp; CO2 EMISSIONS'!X3</f>
        <v>4085898.5100680646</v>
      </c>
      <c r="Z3" s="23">
        <f>'GHG &amp; CO2 EMISSIONS'!Y3</f>
        <v>4165463.2770020375</v>
      </c>
      <c r="AA3" s="23">
        <f>'GHG &amp; CO2 EMISSIONS'!Z3</f>
        <v>4057129.8912292519</v>
      </c>
      <c r="AB3" s="132">
        <f>'GHG &amp; CO2 EMISSIONS'!AA3</f>
        <v>3985798.5339388349</v>
      </c>
      <c r="AC3" s="64">
        <v>-0.08</v>
      </c>
      <c r="AD3" s="68">
        <f>AVERAGE(X3:AB3)</f>
        <v>4139559.6224275986</v>
      </c>
      <c r="AE3" s="67">
        <f>(AD3/C3)-1</f>
        <v>0.1876128567263089</v>
      </c>
      <c r="AF3" s="12"/>
    </row>
    <row r="4" spans="1:42" s="2" customFormat="1" ht="15" customHeight="1">
      <c r="A4" s="24" t="s">
        <v>154</v>
      </c>
      <c r="B4" s="18" t="s">
        <v>57</v>
      </c>
      <c r="C4" s="134">
        <v>1232429.5427848101</v>
      </c>
      <c r="D4" s="134">
        <v>4868096.6940000001</v>
      </c>
      <c r="E4" s="35">
        <f t="shared" ref="E4:E17" si="0">D4/5</f>
        <v>973619.33880000003</v>
      </c>
      <c r="F4" s="23">
        <f>'GHG &amp; CO2 EMISSIONS'!E47</f>
        <v>1250658.1495490705</v>
      </c>
      <c r="G4" s="23">
        <f>'GHG &amp; CO2 EMISSIONS'!F47</f>
        <v>1204651.6956489037</v>
      </c>
      <c r="H4" s="23">
        <f>'GHG &amp; CO2 EMISSIONS'!G47</f>
        <v>1155057.5854496749</v>
      </c>
      <c r="I4" s="23">
        <f>'GHG &amp; CO2 EMISSIONS'!H47</f>
        <v>1145879.3480970445</v>
      </c>
      <c r="J4" s="23">
        <f>'GHG &amp; CO2 EMISSIONS'!I47</f>
        <v>1127753.8650159969</v>
      </c>
      <c r="K4" s="23">
        <f>'GHG &amp; CO2 EMISSIONS'!J47</f>
        <v>1120598.15315384</v>
      </c>
      <c r="L4" s="23">
        <f>'GHG &amp; CO2 EMISSIONS'!K47</f>
        <v>1137857.9000539314</v>
      </c>
      <c r="M4" s="23">
        <f>'GHG &amp; CO2 EMISSIONS'!L47</f>
        <v>1102105.2293041875</v>
      </c>
      <c r="N4" s="23">
        <f>'GHG &amp; CO2 EMISSIONS'!M47</f>
        <v>1077634.2324508538</v>
      </c>
      <c r="O4" s="23">
        <f>'GHG &amp; CO2 EMISSIONS'!N47</f>
        <v>1043398.4354387718</v>
      </c>
      <c r="P4" s="23">
        <f>'GHG &amp; CO2 EMISSIONS'!O47</f>
        <v>1040431.477676946</v>
      </c>
      <c r="Q4" s="23">
        <f>'GHG &amp; CO2 EMISSIONS'!P47</f>
        <v>1055087.9832802082</v>
      </c>
      <c r="R4" s="23">
        <f>'GHG &amp; CO2 EMISSIONS'!Q47</f>
        <v>1033356.4644835691</v>
      </c>
      <c r="S4" s="23">
        <f>'GHG &amp; CO2 EMISSIONS'!R47</f>
        <v>1024724.9620435191</v>
      </c>
      <c r="T4" s="23">
        <f>'GHG &amp; CO2 EMISSIONS'!S47</f>
        <v>1001225.0622408746</v>
      </c>
      <c r="U4" s="23">
        <f>'GHG &amp; CO2 EMISSIONS'!T47</f>
        <v>987522.87085543142</v>
      </c>
      <c r="V4" s="23">
        <f>'GHG &amp; CO2 EMISSIONS'!U47</f>
        <v>1000996.6987688101</v>
      </c>
      <c r="W4" s="23">
        <f>'GHG &amp; CO2 EMISSIONS'!V47</f>
        <v>960750.00024954311</v>
      </c>
      <c r="X4" s="23">
        <f>'GHG &amp; CO2 EMISSIONS'!W47</f>
        <v>968599.95306423027</v>
      </c>
      <c r="Y4" s="23">
        <f>'GHG &amp; CO2 EMISSIONS'!X47</f>
        <v>899803.2074166938</v>
      </c>
      <c r="Z4" s="23">
        <f>'GHG &amp; CO2 EMISSIONS'!Y47</f>
        <v>927911.77573002246</v>
      </c>
      <c r="AA4" s="23">
        <f>'GHG &amp; CO2 EMISSIONS'!Z47</f>
        <v>904308.97991900775</v>
      </c>
      <c r="AB4" s="132">
        <f>'GHG &amp; CO2 EMISSIONS'!AA47</f>
        <v>914497.8379461359</v>
      </c>
      <c r="AC4" s="65">
        <v>-0.21</v>
      </c>
      <c r="AD4" s="69">
        <f>AVERAGE(X4:AB4)</f>
        <v>923024.35081521794</v>
      </c>
      <c r="AE4" s="36">
        <f t="shared" ref="AE4:AE43" si="1">(AD4/C4)-1</f>
        <v>-0.25105304703298259</v>
      </c>
      <c r="AF4" s="3"/>
      <c r="AG4" s="3"/>
      <c r="AH4" s="3"/>
      <c r="AI4" s="3"/>
      <c r="AJ4" s="3"/>
      <c r="AK4" s="3"/>
      <c r="AL4" s="3"/>
      <c r="AM4" s="3"/>
      <c r="AN4" s="3"/>
      <c r="AO4" s="3"/>
      <c r="AP4" s="3"/>
    </row>
    <row r="5" spans="1:42" s="2" customFormat="1" ht="15" customHeight="1">
      <c r="A5" s="24" t="s">
        <v>154</v>
      </c>
      <c r="B5" s="18" t="s">
        <v>56</v>
      </c>
      <c r="C5" s="134">
        <v>563925.32799999998</v>
      </c>
      <c r="D5" s="134">
        <v>2819626.64</v>
      </c>
      <c r="E5" s="35">
        <f t="shared" si="0"/>
        <v>563925.32799999998</v>
      </c>
      <c r="F5" s="23">
        <f>'GHG &amp; CO2 EMISSIONS'!E43</f>
        <v>537837.22033954237</v>
      </c>
      <c r="G5" s="23">
        <f>'GHG &amp; CO2 EMISSIONS'!F43</f>
        <v>563578.37341870088</v>
      </c>
      <c r="H5" s="23">
        <f>'GHG &amp; CO2 EMISSIONS'!G43</f>
        <v>553277.05195604858</v>
      </c>
      <c r="I5" s="23">
        <f>'GHG &amp; CO2 EMISSIONS'!H43</f>
        <v>531812.54056255042</v>
      </c>
      <c r="J5" s="23">
        <f>'GHG &amp; CO2 EMISSIONS'!I43</f>
        <v>523549.45268773037</v>
      </c>
      <c r="K5" s="23">
        <f>'GHG &amp; CO2 EMISSIONS'!J43</f>
        <v>529460.51523770648</v>
      </c>
      <c r="L5" s="23">
        <f>'GHG &amp; CO2 EMISSIONS'!K43</f>
        <v>547709.93865888566</v>
      </c>
      <c r="M5" s="23">
        <f>'GHG &amp; CO2 EMISSIONS'!L43</f>
        <v>539953.86488757841</v>
      </c>
      <c r="N5" s="23">
        <f>'GHG &amp; CO2 EMISSIONS'!M43</f>
        <v>553984.59943738184</v>
      </c>
      <c r="O5" s="23">
        <f>'GHG &amp; CO2 EMISSIONS'!N43</f>
        <v>549137.81700565747</v>
      </c>
      <c r="P5" s="23">
        <f>'GHG &amp; CO2 EMISSIONS'!O43</f>
        <v>543549.89408187685</v>
      </c>
      <c r="Q5" s="23">
        <f>'GHG &amp; CO2 EMISSIONS'!P43</f>
        <v>548871.72178434033</v>
      </c>
      <c r="R5" s="23">
        <f>'GHG &amp; CO2 EMISSIONS'!Q43</f>
        <v>542677.78966375662</v>
      </c>
      <c r="S5" s="23">
        <f>'GHG &amp; CO2 EMISSIONS'!R43</f>
        <v>547029.58882793726</v>
      </c>
      <c r="T5" s="23">
        <f>'GHG &amp; CO2 EMISSIONS'!S43</f>
        <v>546910.85861471237</v>
      </c>
      <c r="U5" s="23">
        <f>'GHG &amp; CO2 EMISSIONS'!T43</f>
        <v>548450.06610231195</v>
      </c>
      <c r="V5" s="23">
        <f>'GHG &amp; CO2 EMISSIONS'!U43</f>
        <v>537852.24921277887</v>
      </c>
      <c r="W5" s="23">
        <f>'GHG &amp; CO2 EMISSIONS'!V43</f>
        <v>527940.14545064454</v>
      </c>
      <c r="X5" s="23">
        <f>'GHG &amp; CO2 EMISSIONS'!W43</f>
        <v>522513.90548346919</v>
      </c>
      <c r="Y5" s="23">
        <f>'GHG &amp; CO2 EMISSIONS'!X43</f>
        <v>501636.35898450913</v>
      </c>
      <c r="Z5" s="23">
        <f>'GHG &amp; CO2 EMISSIONS'!Y43</f>
        <v>505151.60951062897</v>
      </c>
      <c r="AA5" s="23">
        <f>'GHG &amp; CO2 EMISSIONS'!Z43</f>
        <v>480397.19481260941</v>
      </c>
      <c r="AB5" s="132">
        <f>'GHG &amp; CO2 EMISSIONS'!AA43</f>
        <v>482021.78979976021</v>
      </c>
      <c r="AC5" s="65">
        <v>0</v>
      </c>
      <c r="AD5" s="69">
        <f t="shared" ref="AD5:AD46" si="2">AVERAGE(X5:AB5)</f>
        <v>498344.17171819537</v>
      </c>
      <c r="AE5" s="36">
        <f t="shared" si="1"/>
        <v>-0.11629404289109113</v>
      </c>
      <c r="AF5" s="3"/>
      <c r="AG5" s="3"/>
      <c r="AH5" s="3"/>
      <c r="AI5" s="3"/>
      <c r="AJ5" s="3"/>
      <c r="AK5" s="3"/>
      <c r="AL5" s="3"/>
      <c r="AM5" s="3"/>
      <c r="AN5" s="3"/>
      <c r="AO5" s="3"/>
      <c r="AP5" s="3"/>
    </row>
    <row r="6" spans="1:42" s="2" customFormat="1" ht="15" customHeight="1">
      <c r="A6" s="24" t="s">
        <v>154</v>
      </c>
      <c r="B6" s="18" t="s">
        <v>61</v>
      </c>
      <c r="C6" s="134">
        <v>516850.88727272727</v>
      </c>
      <c r="D6" s="134">
        <v>2416277.898</v>
      </c>
      <c r="E6" s="35">
        <f t="shared" si="0"/>
        <v>483255.5796</v>
      </c>
      <c r="F6" s="23">
        <f>'GHG &amp; CO2 EMISSIONS'!E63</f>
        <v>521061.92173375579</v>
      </c>
      <c r="G6" s="23">
        <f>'GHG &amp; CO2 EMISSIONS'!F63</f>
        <v>522298.46397973876</v>
      </c>
      <c r="H6" s="23">
        <f>'GHG &amp; CO2 EMISSIONS'!G63</f>
        <v>521486.97703929292</v>
      </c>
      <c r="I6" s="23">
        <f>'GHG &amp; CO2 EMISSIONS'!H63</f>
        <v>514684.27732254617</v>
      </c>
      <c r="J6" s="23">
        <f>'GHG &amp; CO2 EMISSIONS'!I63</f>
        <v>508811.30243881256</v>
      </c>
      <c r="K6" s="23">
        <f>'GHG &amp; CO2 EMISSIONS'!J63</f>
        <v>535289.21084426716</v>
      </c>
      <c r="L6" s="23">
        <f>'GHG &amp; CO2 EMISSIONS'!K63</f>
        <v>530085.04911555292</v>
      </c>
      <c r="M6" s="23">
        <f>'GHG &amp; CO2 EMISSIONS'!L63</f>
        <v>537762.58208295691</v>
      </c>
      <c r="N6" s="23">
        <f>'GHG &amp; CO2 EMISSIONS'!M63</f>
        <v>550562.61405269534</v>
      </c>
      <c r="O6" s="23">
        <f>'GHG &amp; CO2 EMISSIONS'!N63</f>
        <v>556335.15062124305</v>
      </c>
      <c r="P6" s="23">
        <f>'GHG &amp; CO2 EMISSIONS'!O63</f>
        <v>560248.85263339314</v>
      </c>
      <c r="Q6" s="23">
        <f>'GHG &amp; CO2 EMISSIONS'!P63</f>
        <v>562350.92726325977</v>
      </c>
      <c r="R6" s="23">
        <f>'GHG &amp; CO2 EMISSIONS'!Q63</f>
        <v>568690.10774121562</v>
      </c>
      <c r="S6" s="23">
        <f>'GHG &amp; CO2 EMISSIONS'!R63</f>
        <v>588233.69437205326</v>
      </c>
      <c r="T6" s="23">
        <f>'GHG &amp; CO2 EMISSIONS'!S63</f>
        <v>593688.73749575648</v>
      </c>
      <c r="U6" s="23">
        <f>'GHG &amp; CO2 EMISSIONS'!T63</f>
        <v>594557.04726046696</v>
      </c>
      <c r="V6" s="23">
        <f>'GHG &amp; CO2 EMISSIONS'!U63</f>
        <v>584033.15670049854</v>
      </c>
      <c r="W6" s="23">
        <f>'GHG &amp; CO2 EMISSIONS'!V63</f>
        <v>578444.90016672667</v>
      </c>
      <c r="X6" s="23">
        <f>'GHG &amp; CO2 EMISSIONS'!W63</f>
        <v>565442.85597782827</v>
      </c>
      <c r="Y6" s="23">
        <f>'GHG &amp; CO2 EMISSIONS'!X63</f>
        <v>510214.98357761157</v>
      </c>
      <c r="Z6" s="23">
        <f>'GHG &amp; CO2 EMISSIONS'!Y63</f>
        <v>521511.21285995719</v>
      </c>
      <c r="AA6" s="23">
        <f>'GHG &amp; CO2 EMISSIONS'!Z63</f>
        <v>508256.1547847304</v>
      </c>
      <c r="AB6" s="132">
        <f>'GHG &amp; CO2 EMISSIONS'!AA63</f>
        <v>488879.0537364725</v>
      </c>
      <c r="AC6" s="65">
        <v>-6.5000000000000002E-2</v>
      </c>
      <c r="AD6" s="69">
        <f t="shared" si="2"/>
        <v>518860.85218732001</v>
      </c>
      <c r="AE6" s="36">
        <f t="shared" si="1"/>
        <v>3.8888680741147041E-3</v>
      </c>
      <c r="AF6" s="3"/>
      <c r="AG6" s="3"/>
      <c r="AH6" s="3"/>
      <c r="AI6" s="3"/>
      <c r="AJ6" s="3"/>
      <c r="AK6" s="3"/>
      <c r="AL6" s="3"/>
      <c r="AM6" s="3"/>
      <c r="AN6" s="3"/>
      <c r="AO6" s="3"/>
      <c r="AP6" s="3"/>
    </row>
    <row r="7" spans="1:42" s="2" customFormat="1" ht="15" customHeight="1">
      <c r="A7" s="24" t="s">
        <v>154</v>
      </c>
      <c r="B7" s="18" t="s">
        <v>72</v>
      </c>
      <c r="C7" s="134">
        <v>289773.20504347829</v>
      </c>
      <c r="D7" s="134">
        <v>1666195.929</v>
      </c>
      <c r="E7" s="35">
        <f t="shared" si="0"/>
        <v>333239.18579999998</v>
      </c>
      <c r="F7" s="23">
        <f>'GHG &amp; CO2 EMISSIONS'!E107</f>
        <v>287167.88698659476</v>
      </c>
      <c r="G7" s="23">
        <f>'GHG &amp; CO2 EMISSIONS'!F107</f>
        <v>295029.73665855837</v>
      </c>
      <c r="H7" s="23">
        <f>'GHG &amp; CO2 EMISSIONS'!G107</f>
        <v>304420.79363535671</v>
      </c>
      <c r="I7" s="23">
        <f>'GHG &amp; CO2 EMISSIONS'!H107</f>
        <v>294324.51318813395</v>
      </c>
      <c r="J7" s="23">
        <f>'GHG &amp; CO2 EMISSIONS'!I107</f>
        <v>310444.38143097976</v>
      </c>
      <c r="K7" s="23">
        <f>'GHG &amp; CO2 EMISSIONS'!J107</f>
        <v>326551.4404386899</v>
      </c>
      <c r="L7" s="23">
        <f>'GHG &amp; CO2 EMISSIONS'!K107</f>
        <v>318102.55221660383</v>
      </c>
      <c r="M7" s="23">
        <f>'GHG &amp; CO2 EMISSIONS'!L107</f>
        <v>332153.2917065614</v>
      </c>
      <c r="N7" s="23">
        <f>'GHG &amp; CO2 EMISSIONS'!M107</f>
        <v>341671.95609036594</v>
      </c>
      <c r="O7" s="23">
        <f>'GHG &amp; CO2 EMISSIONS'!N107</f>
        <v>367890.36922992609</v>
      </c>
      <c r="P7" s="23">
        <f>'GHG &amp; CO2 EMISSIONS'!O107</f>
        <v>383089.25532104023</v>
      </c>
      <c r="Q7" s="23">
        <f>'GHG &amp; CO2 EMISSIONS'!P107</f>
        <v>381747.6526046613</v>
      </c>
      <c r="R7" s="23">
        <f>'GHG &amp; CO2 EMISSIONS'!Q107</f>
        <v>400232.24710730201</v>
      </c>
      <c r="S7" s="23">
        <f>'GHG &amp; CO2 EMISSIONS'!R107</f>
        <v>407218.79137738294</v>
      </c>
      <c r="T7" s="23">
        <f>'GHG &amp; CO2 EMISSIONS'!S107</f>
        <v>422662.99608985207</v>
      </c>
      <c r="U7" s="23">
        <f>'GHG &amp; CO2 EMISSIONS'!T107</f>
        <v>437729.75551541691</v>
      </c>
      <c r="V7" s="23">
        <f>'GHG &amp; CO2 EMISSIONS'!U107</f>
        <v>431934.9786820049</v>
      </c>
      <c r="W7" s="23">
        <f>'GHG &amp; CO2 EMISSIONS'!V107</f>
        <v>442634.88696170109</v>
      </c>
      <c r="X7" s="23">
        <f>'GHG &amp; CO2 EMISSIONS'!W107</f>
        <v>408947.84280103154</v>
      </c>
      <c r="Y7" s="23">
        <f>'GHG &amp; CO2 EMISSIONS'!X107</f>
        <v>369597.917285754</v>
      </c>
      <c r="Z7" s="23">
        <f>'GHG &amp; CO2 EMISSIONS'!Y107</f>
        <v>354487.68940575491</v>
      </c>
      <c r="AA7" s="23">
        <f>'GHG &amp; CO2 EMISSIONS'!Z107</f>
        <v>354294.40906230686</v>
      </c>
      <c r="AB7" s="132">
        <f>'GHG &amp; CO2 EMISSIONS'!AA107</f>
        <v>347174.2106536011</v>
      </c>
      <c r="AC7" s="65">
        <v>0.15</v>
      </c>
      <c r="AD7" s="69">
        <f t="shared" si="2"/>
        <v>366900.41384168965</v>
      </c>
      <c r="AE7" s="36">
        <f t="shared" si="1"/>
        <v>0.26616404641912639</v>
      </c>
      <c r="AF7" s="3"/>
      <c r="AG7" s="3"/>
      <c r="AH7" s="3"/>
      <c r="AI7" s="3"/>
      <c r="AJ7" s="3"/>
      <c r="AK7" s="3"/>
      <c r="AL7" s="3"/>
      <c r="AM7" s="3"/>
      <c r="AN7" s="3"/>
      <c r="AO7" s="3"/>
      <c r="AP7" s="3"/>
    </row>
    <row r="8" spans="1:42" s="2" customFormat="1" ht="15" customHeight="1">
      <c r="A8" s="24" t="s">
        <v>154</v>
      </c>
      <c r="B8" s="18" t="s">
        <v>66</v>
      </c>
      <c r="C8" s="134">
        <v>213034.4980851064</v>
      </c>
      <c r="D8" s="134">
        <v>1001262.1409999999</v>
      </c>
      <c r="E8" s="35">
        <f t="shared" si="0"/>
        <v>200252.42819999999</v>
      </c>
      <c r="F8" s="23">
        <f>'GHG &amp; CO2 EMISSIONS'!E83</f>
        <v>221843.64346752106</v>
      </c>
      <c r="G8" s="23">
        <f>'GHG &amp; CO2 EMISSIONS'!F83</f>
        <v>229669.31928812256</v>
      </c>
      <c r="H8" s="23">
        <f>'GHG &amp; CO2 EMISSIONS'!G83</f>
        <v>230109.30007746143</v>
      </c>
      <c r="I8" s="23">
        <f>'GHG &amp; CO2 EMISSIONS'!H83</f>
        <v>230444.4027149395</v>
      </c>
      <c r="J8" s="23">
        <f>'GHG &amp; CO2 EMISSIONS'!I83</f>
        <v>231159.08123538212</v>
      </c>
      <c r="K8" s="23">
        <f>'GHG &amp; CO2 EMISSIONS'!J83</f>
        <v>231245.67181704263</v>
      </c>
      <c r="L8" s="23">
        <f>'GHG &amp; CO2 EMISSIONS'!K83</f>
        <v>241569.03494536958</v>
      </c>
      <c r="M8" s="23">
        <f>'GHG &amp; CO2 EMISSIONS'!L83</f>
        <v>233154.37201681873</v>
      </c>
      <c r="N8" s="23">
        <f>'GHG &amp; CO2 EMISSIONS'!M83</f>
        <v>233362.56259036294</v>
      </c>
      <c r="O8" s="23">
        <f>'GHG &amp; CO2 EMISSIONS'!N83</f>
        <v>220924.96389928542</v>
      </c>
      <c r="P8" s="23">
        <f>'GHG &amp; CO2 EMISSIONS'!O83</f>
        <v>219270.68309549268</v>
      </c>
      <c r="Q8" s="23">
        <f>'GHG &amp; CO2 EMISSIONS'!P83</f>
        <v>220594.526120881</v>
      </c>
      <c r="R8" s="23">
        <f>'GHG &amp; CO2 EMISSIONS'!Q83</f>
        <v>218241.27955625617</v>
      </c>
      <c r="S8" s="23">
        <f>'GHG &amp; CO2 EMISSIONS'!R83</f>
        <v>218958.84195553247</v>
      </c>
      <c r="T8" s="23">
        <f>'GHG &amp; CO2 EMISSIONS'!S83</f>
        <v>220497.8801708289</v>
      </c>
      <c r="U8" s="23">
        <f>'GHG &amp; CO2 EMISSIONS'!T83</f>
        <v>214648.24777033521</v>
      </c>
      <c r="V8" s="23">
        <f>'GHG &amp; CO2 EMISSIONS'!U83</f>
        <v>209512.05865104593</v>
      </c>
      <c r="W8" s="23">
        <f>'GHG &amp; CO2 EMISSIONS'!V83</f>
        <v>208046.03823695472</v>
      </c>
      <c r="X8" s="23">
        <f>'GHG &amp; CO2 EMISSIONS'!W83</f>
        <v>207821.93534342208</v>
      </c>
      <c r="Y8" s="23">
        <f>'GHG &amp; CO2 EMISSIONS'!X83</f>
        <v>202046.42395308285</v>
      </c>
      <c r="Z8" s="23">
        <f>'GHG &amp; CO2 EMISSIONS'!Y83</f>
        <v>213984.23153731416</v>
      </c>
      <c r="AA8" s="23">
        <f>'GHG &amp; CO2 EMISSIONS'!Z83</f>
        <v>199782.24639404684</v>
      </c>
      <c r="AB8" s="132">
        <f>'GHG &amp; CO2 EMISSIONS'!AA83</f>
        <v>195479.23420858229</v>
      </c>
      <c r="AC8" s="65">
        <v>-0.06</v>
      </c>
      <c r="AD8" s="69">
        <f t="shared" si="2"/>
        <v>203822.81428728966</v>
      </c>
      <c r="AE8" s="36">
        <f t="shared" si="1"/>
        <v>-4.3240338445732496E-2</v>
      </c>
      <c r="AF8" s="3"/>
      <c r="AG8" s="3"/>
      <c r="AH8" s="3"/>
      <c r="AI8" s="3"/>
      <c r="AJ8" s="3"/>
      <c r="AK8" s="3"/>
      <c r="AL8" s="3"/>
      <c r="AM8" s="3"/>
      <c r="AN8" s="3"/>
      <c r="AO8" s="3"/>
      <c r="AP8" s="3"/>
    </row>
    <row r="9" spans="1:42" s="2" customFormat="1" ht="15" customHeight="1">
      <c r="A9" s="24" t="s">
        <v>154</v>
      </c>
      <c r="B9" s="18" t="s">
        <v>49</v>
      </c>
      <c r="C9" s="134">
        <v>145728.76281081082</v>
      </c>
      <c r="D9" s="134">
        <v>673995.52800000005</v>
      </c>
      <c r="E9" s="35">
        <f t="shared" si="0"/>
        <v>134799.10560000001</v>
      </c>
      <c r="F9" s="23">
        <f>'GHG &amp; CO2 EMISSIONS'!E11</f>
        <v>145849.07290169189</v>
      </c>
      <c r="G9" s="23">
        <f>'GHG &amp; CO2 EMISSIONS'!F11</f>
        <v>148583.67036061708</v>
      </c>
      <c r="H9" s="23">
        <f>'GHG &amp; CO2 EMISSIONS'!G11</f>
        <v>148081.77894181554</v>
      </c>
      <c r="I9" s="23">
        <f>'GHG &amp; CO2 EMISSIONS'!H11</f>
        <v>146900.45644952572</v>
      </c>
      <c r="J9" s="23">
        <f>'GHG &amp; CO2 EMISSIONS'!I11</f>
        <v>151448.7412937232</v>
      </c>
      <c r="K9" s="23">
        <f>'GHG &amp; CO2 EMISSIONS'!J11</f>
        <v>153582.79337365387</v>
      </c>
      <c r="L9" s="23">
        <f>'GHG &amp; CO2 EMISSIONS'!K11</f>
        <v>157230.44558741208</v>
      </c>
      <c r="M9" s="23">
        <f>'GHG &amp; CO2 EMISSIONS'!L11</f>
        <v>148822.76398313261</v>
      </c>
      <c r="N9" s="23">
        <f>'GHG &amp; CO2 EMISSIONS'!M11</f>
        <v>154014.77838038706</v>
      </c>
      <c r="O9" s="23">
        <f>'GHG &amp; CO2 EMISSIONS'!N11</f>
        <v>147734.60914423584</v>
      </c>
      <c r="P9" s="23">
        <f>'GHG &amp; CO2 EMISSIONS'!O11</f>
        <v>148878.59954699792</v>
      </c>
      <c r="Q9" s="23">
        <f>'GHG &amp; CO2 EMISSIONS'!P11</f>
        <v>147319.83984812556</v>
      </c>
      <c r="R9" s="23">
        <f>'GHG &amp; CO2 EMISSIONS'!Q11</f>
        <v>147415.86306942676</v>
      </c>
      <c r="S9" s="23">
        <f>'GHG &amp; CO2 EMISSIONS'!R11</f>
        <v>147731.90870219201</v>
      </c>
      <c r="T9" s="23">
        <f>'GHG &amp; CO2 EMISSIONS'!S11</f>
        <v>148534.70428429349</v>
      </c>
      <c r="U9" s="23">
        <f>'GHG &amp; CO2 EMISSIONS'!T11</f>
        <v>145429.61337672995</v>
      </c>
      <c r="V9" s="23">
        <f>'GHG &amp; CO2 EMISSIONS'!U11</f>
        <v>142727.876329803</v>
      </c>
      <c r="W9" s="23">
        <f>'GHG &amp; CO2 EMISSIONS'!V11</f>
        <v>139108.25790120364</v>
      </c>
      <c r="X9" s="23">
        <f>'GHG &amp; CO2 EMISSIONS'!W11</f>
        <v>139040.34204844962</v>
      </c>
      <c r="Y9" s="23">
        <f>'GHG &amp; CO2 EMISSIONS'!X11</f>
        <v>126454.25481758521</v>
      </c>
      <c r="Z9" s="23">
        <f>'GHG &amp; CO2 EMISSIONS'!Y11</f>
        <v>133528.53227664868</v>
      </c>
      <c r="AA9" s="23">
        <f>'GHG &amp; CO2 EMISSIONS'!Z11</f>
        <v>123219.07824530477</v>
      </c>
      <c r="AB9" s="132">
        <f>'GHG &amp; CO2 EMISSIONS'!AA11</f>
        <v>120467.90814339944</v>
      </c>
      <c r="AC9" s="65">
        <v>-7.4999999999999997E-2</v>
      </c>
      <c r="AD9" s="69">
        <f t="shared" si="2"/>
        <v>128542.02310627754</v>
      </c>
      <c r="AE9" s="36">
        <f t="shared" si="1"/>
        <v>-0.11793649635827608</v>
      </c>
      <c r="AF9" s="3"/>
      <c r="AG9" s="3"/>
      <c r="AH9" s="3"/>
      <c r="AI9" s="3"/>
      <c r="AJ9" s="3"/>
      <c r="AK9" s="3"/>
      <c r="AL9" s="3"/>
      <c r="AM9" s="3"/>
      <c r="AN9" s="3"/>
      <c r="AO9" s="3"/>
      <c r="AP9" s="3"/>
    </row>
    <row r="10" spans="1:42" s="2" customFormat="1" ht="15" customHeight="1">
      <c r="A10" s="24" t="s">
        <v>154</v>
      </c>
      <c r="B10" s="18" t="s">
        <v>58</v>
      </c>
      <c r="C10" s="134">
        <v>106987.16896</v>
      </c>
      <c r="D10" s="134">
        <v>668669.80599999998</v>
      </c>
      <c r="E10" s="35">
        <f t="shared" si="0"/>
        <v>133733.96119999999</v>
      </c>
      <c r="F10" s="23">
        <f>'GHG &amp; CO2 EMISSIONS'!E51</f>
        <v>103985.68589356897</v>
      </c>
      <c r="G10" s="23">
        <f>'GHG &amp; CO2 EMISSIONS'!F51</f>
        <v>104006.31860413059</v>
      </c>
      <c r="H10" s="23">
        <f>'GHG &amp; CO2 EMISSIONS'!G51</f>
        <v>105287.68455319191</v>
      </c>
      <c r="I10" s="23">
        <f>'GHG &amp; CO2 EMISSIONS'!H51</f>
        <v>104828.03182469525</v>
      </c>
      <c r="J10" s="23">
        <f>'GHG &amp; CO2 EMISSIONS'!I51</f>
        <v>107457.61555848732</v>
      </c>
      <c r="K10" s="23">
        <f>'GHG &amp; CO2 EMISSIONS'!J51</f>
        <v>109581.14262948367</v>
      </c>
      <c r="L10" s="23">
        <f>'GHG &amp; CO2 EMISSIONS'!K51</f>
        <v>112615.88841949066</v>
      </c>
      <c r="M10" s="23">
        <f>'GHG &amp; CO2 EMISSIONS'!L51</f>
        <v>117470.44055433013</v>
      </c>
      <c r="N10" s="23">
        <f>'GHG &amp; CO2 EMISSIONS'!M51</f>
        <v>122993.70576169078</v>
      </c>
      <c r="O10" s="23">
        <f>'GHG &amp; CO2 EMISSIONS'!N51</f>
        <v>122985.88217352158</v>
      </c>
      <c r="P10" s="23">
        <f>'GHG &amp; CO2 EMISSIONS'!O51</f>
        <v>126659.4393382847</v>
      </c>
      <c r="Q10" s="23">
        <f>'GHG &amp; CO2 EMISSIONS'!P51</f>
        <v>127730.96206097519</v>
      </c>
      <c r="R10" s="23">
        <f>'GHG &amp; CO2 EMISSIONS'!Q51</f>
        <v>127719.22065323035</v>
      </c>
      <c r="S10" s="23">
        <f>'GHG &amp; CO2 EMISSIONS'!R51</f>
        <v>131569.07614207521</v>
      </c>
      <c r="T10" s="23">
        <f>'GHG &amp; CO2 EMISSIONS'!S51</f>
        <v>132214.90039242205</v>
      </c>
      <c r="U10" s="23">
        <f>'GHG &amp; CO2 EMISSIONS'!T51</f>
        <v>136747.55634803759</v>
      </c>
      <c r="V10" s="23">
        <f>'GHG &amp; CO2 EMISSIONS'!U51</f>
        <v>133269.72341167153</v>
      </c>
      <c r="W10" s="23">
        <f>'GHG &amp; CO2 EMISSIONS'!V51</f>
        <v>135883.30327504012</v>
      </c>
      <c r="X10" s="23">
        <f>'GHG &amp; CO2 EMISSIONS'!W51</f>
        <v>132518.61079381139</v>
      </c>
      <c r="Y10" s="23">
        <f>'GHG &amp; CO2 EMISSIONS'!X51</f>
        <v>125326.39580713917</v>
      </c>
      <c r="Z10" s="23">
        <f>'GHG &amp; CO2 EMISSIONS'!Y51</f>
        <v>119233.58167627289</v>
      </c>
      <c r="AA10" s="23">
        <f>'GHG &amp; CO2 EMISSIONS'!Z51</f>
        <v>116256.83697606478</v>
      </c>
      <c r="AB10" s="132">
        <f>'GHG &amp; CO2 EMISSIONS'!AA51</f>
        <v>113007.78397733421</v>
      </c>
      <c r="AC10" s="65">
        <v>0.25</v>
      </c>
      <c r="AD10" s="69">
        <f t="shared" si="2"/>
        <v>121268.6418461245</v>
      </c>
      <c r="AE10" s="36">
        <f t="shared" si="1"/>
        <v>0.13348771656406777</v>
      </c>
      <c r="AF10" s="3"/>
      <c r="AG10" s="3"/>
      <c r="AH10" s="3"/>
      <c r="AI10" s="3"/>
      <c r="AJ10" s="3"/>
      <c r="AK10" s="3"/>
      <c r="AL10" s="3"/>
      <c r="AM10" s="3"/>
      <c r="AN10" s="3"/>
      <c r="AO10" s="3"/>
      <c r="AP10" s="3"/>
    </row>
    <row r="11" spans="1:42" s="2" customFormat="1" ht="15" customHeight="1">
      <c r="A11" s="24" t="s">
        <v>154</v>
      </c>
      <c r="B11" s="18" t="s">
        <v>68</v>
      </c>
      <c r="C11" s="134">
        <v>60147.642047244088</v>
      </c>
      <c r="D11" s="134">
        <v>381937.527</v>
      </c>
      <c r="E11" s="35">
        <f t="shared" si="0"/>
        <v>76387.505399999995</v>
      </c>
      <c r="F11" s="23">
        <f>'GHG &amp; CO2 EMISSIONS'!E91</f>
        <v>58857.192970136726</v>
      </c>
      <c r="G11" s="23">
        <f>'GHG &amp; CO2 EMISSIONS'!F91</f>
        <v>60797.33404460398</v>
      </c>
      <c r="H11" s="23">
        <f>'GHG &amp; CO2 EMISSIONS'!G91</f>
        <v>64590.689150036837</v>
      </c>
      <c r="I11" s="23">
        <f>'GHG &amp; CO2 EMISSIONS'!H91</f>
        <v>63026.475860564031</v>
      </c>
      <c r="J11" s="23">
        <f>'GHG &amp; CO2 EMISSIONS'!I91</f>
        <v>63940.678164018667</v>
      </c>
      <c r="K11" s="23">
        <f>'GHG &amp; CO2 EMISSIONS'!J91</f>
        <v>68653.00913317909</v>
      </c>
      <c r="L11" s="23">
        <f>'GHG &amp; CO2 EMISSIONS'!K91</f>
        <v>66431.627892334625</v>
      </c>
      <c r="M11" s="23">
        <f>'GHG &amp; CO2 EMISSIONS'!L91</f>
        <v>69673.852037960358</v>
      </c>
      <c r="N11" s="23">
        <f>'GHG &amp; CO2 EMISSIONS'!M91</f>
        <v>74589.092325302583</v>
      </c>
      <c r="O11" s="23">
        <f>'GHG &amp; CO2 EMISSIONS'!N91</f>
        <v>82775.379543712872</v>
      </c>
      <c r="P11" s="23">
        <f>'GHG &amp; CO2 EMISSIONS'!O91</f>
        <v>82101.849270582679</v>
      </c>
      <c r="Q11" s="23">
        <f>'GHG &amp; CO2 EMISSIONS'!P91</f>
        <v>81616.454724833733</v>
      </c>
      <c r="R11" s="23">
        <f>'GHG &amp; CO2 EMISSIONS'!Q91</f>
        <v>85979.6997198639</v>
      </c>
      <c r="S11" s="23">
        <f>'GHG &amp; CO2 EMISSIONS'!R91</f>
        <v>80829.415913144971</v>
      </c>
      <c r="T11" s="23">
        <f>'GHG &amp; CO2 EMISSIONS'!S91</f>
        <v>84003.055307762843</v>
      </c>
      <c r="U11" s="23">
        <f>'GHG &amp; CO2 EMISSIONS'!T91</f>
        <v>85859.688156828357</v>
      </c>
      <c r="V11" s="23">
        <f>'GHG &amp; CO2 EMISSIONS'!U91</f>
        <v>80995.252775082423</v>
      </c>
      <c r="W11" s="23">
        <f>'GHG &amp; CO2 EMISSIONS'!V91</f>
        <v>78693.759239208142</v>
      </c>
      <c r="X11" s="23">
        <f>'GHG &amp; CO2 EMISSIONS'!W91</f>
        <v>76237.390614917967</v>
      </c>
      <c r="Y11" s="23">
        <f>'GHG &amp; CO2 EMISSIONS'!X91</f>
        <v>73179.244312888099</v>
      </c>
      <c r="Z11" s="23">
        <f>'GHG &amp; CO2 EMISSIONS'!Y91</f>
        <v>68775.554050542472</v>
      </c>
      <c r="AA11" s="23">
        <f>'GHG &amp; CO2 EMISSIONS'!Z91</f>
        <v>67378.224196984986</v>
      </c>
      <c r="AB11" s="132">
        <f>'GHG &amp; CO2 EMISSIONS'!AA91</f>
        <v>65337.812597051248</v>
      </c>
      <c r="AC11" s="65">
        <v>0.27</v>
      </c>
      <c r="AD11" s="69">
        <f t="shared" si="2"/>
        <v>70181.645154476952</v>
      </c>
      <c r="AE11" s="36">
        <f t="shared" si="1"/>
        <v>0.16682288391873223</v>
      </c>
      <c r="AF11" s="3"/>
      <c r="AG11" s="3"/>
      <c r="AH11" s="3"/>
      <c r="AI11" s="3"/>
      <c r="AJ11" s="3"/>
      <c r="AK11" s="3"/>
      <c r="AL11" s="3"/>
      <c r="AM11" s="3"/>
      <c r="AN11" s="3"/>
      <c r="AO11" s="3"/>
      <c r="AP11" s="3"/>
    </row>
    <row r="12" spans="1:42" s="2" customFormat="1" ht="15" customHeight="1">
      <c r="A12" s="24" t="s">
        <v>154</v>
      </c>
      <c r="B12" s="18" t="s">
        <v>73</v>
      </c>
      <c r="C12" s="134">
        <v>72151.646346153837</v>
      </c>
      <c r="D12" s="134">
        <v>375188.56099999999</v>
      </c>
      <c r="E12" s="35">
        <f t="shared" si="0"/>
        <v>75037.712199999994</v>
      </c>
      <c r="F12" s="23">
        <f>'GHG &amp; CO2 EMISSIONS'!E111</f>
        <v>71263.210016462923</v>
      </c>
      <c r="G12" s="23">
        <f>'GHG &amp; CO2 EMISSIONS'!F111</f>
        <v>71376.29825568074</v>
      </c>
      <c r="H12" s="23">
        <f>'GHG &amp; CO2 EMISSIONS'!G111</f>
        <v>71030.166795979065</v>
      </c>
      <c r="I12" s="23">
        <f>'GHG &amp; CO2 EMISSIONS'!H111</f>
        <v>71244.674741845811</v>
      </c>
      <c r="J12" s="23">
        <f>'GHG &amp; CO2 EMISSIONS'!I111</f>
        <v>73718.19111698799</v>
      </c>
      <c r="K12" s="23">
        <f>'GHG &amp; CO2 EMISSIONS'!J111</f>
        <v>73101.109469175601</v>
      </c>
      <c r="L12" s="23">
        <f>'GHG &amp; CO2 EMISSIONS'!K111</f>
        <v>77005.380164126953</v>
      </c>
      <c r="M12" s="23">
        <f>'GHG &amp; CO2 EMISSIONS'!L111</f>
        <v>72110.875970892725</v>
      </c>
      <c r="N12" s="23">
        <f>'GHG &amp; CO2 EMISSIONS'!M111</f>
        <v>72501.148815103006</v>
      </c>
      <c r="O12" s="23">
        <f>'GHG &amp; CO2 EMISSIONS'!N111</f>
        <v>69365.293749364151</v>
      </c>
      <c r="P12" s="23">
        <f>'GHG &amp; CO2 EMISSIONS'!O111</f>
        <v>68112.873008774855</v>
      </c>
      <c r="Q12" s="23">
        <f>'GHG &amp; CO2 EMISSIONS'!P111</f>
        <v>68890.983823667164</v>
      </c>
      <c r="R12" s="23">
        <f>'GHG &amp; CO2 EMISSIONS'!Q111</f>
        <v>69499.447175130874</v>
      </c>
      <c r="S12" s="23">
        <f>'GHG &amp; CO2 EMISSIONS'!R111</f>
        <v>69834.789517899539</v>
      </c>
      <c r="T12" s="23">
        <f>'GHG &amp; CO2 EMISSIONS'!S111</f>
        <v>69173.645073676424</v>
      </c>
      <c r="U12" s="23">
        <f>'GHG &amp; CO2 EMISSIONS'!T111</f>
        <v>66304.981650306378</v>
      </c>
      <c r="V12" s="23">
        <f>'GHG &amp; CO2 EMISSIONS'!U111</f>
        <v>65948.584368277734</v>
      </c>
      <c r="W12" s="23">
        <f>'GHG &amp; CO2 EMISSIONS'!V111</f>
        <v>64812.490733198094</v>
      </c>
      <c r="X12" s="23">
        <f>'GHG &amp; CO2 EMISSIONS'!W111</f>
        <v>62406.084509394102</v>
      </c>
      <c r="Y12" s="23">
        <f>'GHG &amp; CO2 EMISSIONS'!X111</f>
        <v>58174.194793495655</v>
      </c>
      <c r="Z12" s="23">
        <f>'GHG &amp; CO2 EMISSIONS'!Y111</f>
        <v>64156.927341746537</v>
      </c>
      <c r="AA12" s="23">
        <f>'GHG &amp; CO2 EMISSIONS'!Z111</f>
        <v>59800.408632036328</v>
      </c>
      <c r="AB12" s="132">
        <f>'GHG &amp; CO2 EMISSIONS'!AA111</f>
        <v>56899.500465221987</v>
      </c>
      <c r="AC12" s="65">
        <v>0.04</v>
      </c>
      <c r="AD12" s="69">
        <f t="shared" si="2"/>
        <v>60287.423148378919</v>
      </c>
      <c r="AE12" s="36">
        <f t="shared" si="1"/>
        <v>-0.16443454582942252</v>
      </c>
      <c r="AF12" s="3"/>
      <c r="AG12" s="3"/>
      <c r="AH12" s="3"/>
      <c r="AI12" s="3"/>
      <c r="AJ12" s="3"/>
      <c r="AK12" s="3"/>
      <c r="AL12" s="3"/>
      <c r="AM12" s="3"/>
      <c r="AN12" s="3"/>
      <c r="AO12" s="3"/>
      <c r="AP12" s="3"/>
    </row>
    <row r="13" spans="1:42" s="2" customFormat="1" ht="15" customHeight="1">
      <c r="A13" s="24" t="s">
        <v>154</v>
      </c>
      <c r="B13" s="18" t="s">
        <v>55</v>
      </c>
      <c r="C13" s="134">
        <v>71003.508999999991</v>
      </c>
      <c r="D13" s="134">
        <v>355017.54499999998</v>
      </c>
      <c r="E13" s="35">
        <f>D13/5</f>
        <v>71003.508999999991</v>
      </c>
      <c r="F13" s="23">
        <f>'GHG &amp; CO2 EMISSIONS'!E39</f>
        <v>71165.924752028688</v>
      </c>
      <c r="G13" s="23">
        <f>'GHG &amp; CO2 EMISSIONS'!F39</f>
        <v>69092.867996661371</v>
      </c>
      <c r="H13" s="23">
        <f>'GHG &amp; CO2 EMISSIONS'!G39</f>
        <v>67721.27054440073</v>
      </c>
      <c r="I13" s="23">
        <f>'GHG &amp; CO2 EMISSIONS'!H39</f>
        <v>69936.171650204429</v>
      </c>
      <c r="J13" s="23">
        <f>'GHG &amp; CO2 EMISSIONS'!I39</f>
        <v>75505.772841543847</v>
      </c>
      <c r="K13" s="23">
        <f>'GHG &amp; CO2 EMISSIONS'!J39</f>
        <v>71758.493030121928</v>
      </c>
      <c r="L13" s="23">
        <f>'GHG &amp; CO2 EMISSIONS'!K39</f>
        <v>77763.642558484862</v>
      </c>
      <c r="M13" s="23">
        <f>'GHG &amp; CO2 EMISSIONS'!L39</f>
        <v>76423.371521815716</v>
      </c>
      <c r="N13" s="23">
        <f>'GHG &amp; CO2 EMISSIONS'!M39</f>
        <v>72733.203562855939</v>
      </c>
      <c r="O13" s="23">
        <f>'GHG &amp; CO2 EMISSIONS'!N39</f>
        <v>72052.850677260285</v>
      </c>
      <c r="P13" s="23">
        <f>'GHG &amp; CO2 EMISSIONS'!O39</f>
        <v>70112.915583053546</v>
      </c>
      <c r="Q13" s="23">
        <f>'GHG &amp; CO2 EMISSIONS'!P39</f>
        <v>75430.122688202187</v>
      </c>
      <c r="R13" s="23">
        <f>'GHG &amp; CO2 EMISSIONS'!Q39</f>
        <v>77838.05002934084</v>
      </c>
      <c r="S13" s="23">
        <f>'GHG &amp; CO2 EMISSIONS'!R39</f>
        <v>85424.042449657572</v>
      </c>
      <c r="T13" s="23">
        <f>'GHG &amp; CO2 EMISSIONS'!S39</f>
        <v>81663.008364099151</v>
      </c>
      <c r="U13" s="23">
        <f>'GHG &amp; CO2 EMISSIONS'!T39</f>
        <v>69625.546326148702</v>
      </c>
      <c r="V13" s="23">
        <f>'GHG &amp; CO2 EMISSIONS'!U39</f>
        <v>80996.713241460733</v>
      </c>
      <c r="W13" s="23">
        <f>'GHG &amp; CO2 EMISSIONS'!V39</f>
        <v>79324.557809788996</v>
      </c>
      <c r="X13" s="23">
        <f>'GHG &amp; CO2 EMISSIONS'!W39</f>
        <v>71180.61291500488</v>
      </c>
      <c r="Y13" s="23">
        <f>'GHG &amp; CO2 EMISSIONS'!X39</f>
        <v>67558.98971138976</v>
      </c>
      <c r="Z13" s="23">
        <f>'GHG &amp; CO2 EMISSIONS'!Y39</f>
        <v>75399.643073949075</v>
      </c>
      <c r="AA13" s="23">
        <f>'GHG &amp; CO2 EMISSIONS'!Z39</f>
        <v>67653.30004330739</v>
      </c>
      <c r="AB13" s="132">
        <f>'GHG &amp; CO2 EMISSIONS'!AA39</f>
        <v>62114.798336481617</v>
      </c>
      <c r="AC13" s="65">
        <v>0</v>
      </c>
      <c r="AD13" s="69">
        <f t="shared" si="2"/>
        <v>68781.46881602655</v>
      </c>
      <c r="AE13" s="36">
        <f t="shared" si="1"/>
        <v>-3.1294793951288202E-2</v>
      </c>
      <c r="AF13" s="3"/>
      <c r="AG13" s="3"/>
      <c r="AH13" s="3"/>
      <c r="AI13" s="3"/>
      <c r="AJ13" s="3"/>
      <c r="AK13" s="3"/>
      <c r="AL13" s="3"/>
      <c r="AM13" s="3"/>
      <c r="AN13" s="3"/>
      <c r="AO13" s="3"/>
      <c r="AP13" s="3"/>
    </row>
    <row r="14" spans="1:42" s="2" customFormat="1" ht="15" customHeight="1">
      <c r="A14" s="24" t="s">
        <v>154</v>
      </c>
      <c r="B14" s="18" t="s">
        <v>100</v>
      </c>
      <c r="C14" s="134">
        <v>79049.657241379318</v>
      </c>
      <c r="D14" s="134">
        <v>343866.00900000002</v>
      </c>
      <c r="E14" s="35">
        <f t="shared" si="0"/>
        <v>68773.20180000001</v>
      </c>
      <c r="F14" s="23">
        <f>'GHG &amp; CO2 EMISSIONS'!E7</f>
        <v>79082.673168011388</v>
      </c>
      <c r="G14" s="23">
        <f>'GHG &amp; CO2 EMISSIONS'!F7</f>
        <v>82746.098750786477</v>
      </c>
      <c r="H14" s="23">
        <f>'GHG &amp; CO2 EMISSIONS'!G7</f>
        <v>76176.876305532409</v>
      </c>
      <c r="I14" s="23">
        <f>'GHG &amp; CO2 EMISSIONS'!H7</f>
        <v>76550.864205191843</v>
      </c>
      <c r="J14" s="23">
        <f>'GHG &amp; CO2 EMISSIONS'!I7</f>
        <v>76758.521428493099</v>
      </c>
      <c r="K14" s="23">
        <f>'GHG &amp; CO2 EMISSIONS'!J7</f>
        <v>79985.739579565328</v>
      </c>
      <c r="L14" s="23">
        <f>'GHG &amp; CO2 EMISSIONS'!K7</f>
        <v>83145.348937090195</v>
      </c>
      <c r="M14" s="23">
        <f>'GHG &amp; CO2 EMISSIONS'!L7</f>
        <v>82752.333263402426</v>
      </c>
      <c r="N14" s="23">
        <f>'GHG &amp; CO2 EMISSIONS'!M7</f>
        <v>82045.92515990368</v>
      </c>
      <c r="O14" s="23">
        <f>'GHG &amp; CO2 EMISSIONS'!N7</f>
        <v>80467.642981102457</v>
      </c>
      <c r="P14" s="23">
        <f>'GHG &amp; CO2 EMISSIONS'!O7</f>
        <v>80640.416344136305</v>
      </c>
      <c r="Q14" s="23">
        <f>'GHG &amp; CO2 EMISSIONS'!P7</f>
        <v>84524.169606875104</v>
      </c>
      <c r="R14" s="23">
        <f>'GHG &amp; CO2 EMISSIONS'!Q7</f>
        <v>86278.914959678121</v>
      </c>
      <c r="S14" s="23">
        <f>'GHG &amp; CO2 EMISSIONS'!R7</f>
        <v>91647.288314678619</v>
      </c>
      <c r="T14" s="23">
        <f>'GHG &amp; CO2 EMISSIONS'!S7</f>
        <v>91442.941612934344</v>
      </c>
      <c r="U14" s="23">
        <f>'GHG &amp; CO2 EMISSIONS'!T7</f>
        <v>92605.068286056456</v>
      </c>
      <c r="V14" s="23">
        <f>'GHG &amp; CO2 EMISSIONS'!U7</f>
        <v>90193.095478713731</v>
      </c>
      <c r="W14" s="23">
        <f>'GHG &amp; CO2 EMISSIONS'!V7</f>
        <v>87429.937240713014</v>
      </c>
      <c r="X14" s="23">
        <f>'GHG &amp; CO2 EMISSIONS'!W7</f>
        <v>86841.176588884351</v>
      </c>
      <c r="Y14" s="23">
        <f>'GHG &amp; CO2 EMISSIONS'!X7</f>
        <v>80222.766706893322</v>
      </c>
      <c r="Z14" s="23">
        <f>'GHG &amp; CO2 EMISSIONS'!Y7</f>
        <v>84793.168349117186</v>
      </c>
      <c r="AA14" s="23">
        <f>'GHG &amp; CO2 EMISSIONS'!Z7</f>
        <v>82606.720998164223</v>
      </c>
      <c r="AB14" s="132">
        <f>'GHG &amp; CO2 EMISSIONS'!AA7</f>
        <v>79889.008800865951</v>
      </c>
      <c r="AC14" s="65">
        <v>-0.13</v>
      </c>
      <c r="AD14" s="69">
        <f t="shared" si="2"/>
        <v>82870.568288785013</v>
      </c>
      <c r="AE14" s="36">
        <f t="shared" si="1"/>
        <v>4.8335580200411066E-2</v>
      </c>
      <c r="AF14" s="3"/>
      <c r="AG14" s="3"/>
      <c r="AH14" s="3"/>
      <c r="AI14" s="3"/>
      <c r="AJ14" s="3"/>
      <c r="AK14" s="3"/>
      <c r="AL14" s="3"/>
      <c r="AM14" s="3"/>
      <c r="AN14" s="3"/>
      <c r="AO14" s="3"/>
      <c r="AP14" s="3"/>
    </row>
    <row r="15" spans="1:42" s="2" customFormat="1" ht="15" customHeight="1">
      <c r="A15" s="24" t="s">
        <v>154</v>
      </c>
      <c r="B15" s="18" t="s">
        <v>60</v>
      </c>
      <c r="C15" s="134">
        <v>55607.835752212392</v>
      </c>
      <c r="D15" s="134">
        <v>314184.272</v>
      </c>
      <c r="E15" s="35">
        <f t="shared" si="0"/>
        <v>62836.854399999997</v>
      </c>
      <c r="F15" s="23">
        <f>'GHG &amp; CO2 EMISSIONS'!E59</f>
        <v>55231.479981973956</v>
      </c>
      <c r="G15" s="23">
        <f>'GHG &amp; CO2 EMISSIONS'!F59</f>
        <v>56154.194497858181</v>
      </c>
      <c r="H15" s="23">
        <f>'GHG &amp; CO2 EMISSIONS'!G59</f>
        <v>56199.407700426214</v>
      </c>
      <c r="I15" s="23">
        <f>'GHG &amp; CO2 EMISSIONS'!H59</f>
        <v>56807.499105756397</v>
      </c>
      <c r="J15" s="23">
        <f>'GHG &amp; CO2 EMISSIONS'!I59</f>
        <v>58216.826944477922</v>
      </c>
      <c r="K15" s="23">
        <f>'GHG &amp; CO2 EMISSIONS'!J59</f>
        <v>59705.97708815294</v>
      </c>
      <c r="L15" s="23">
        <f>'GHG &amp; CO2 EMISSIONS'!K59</f>
        <v>61869.753696650587</v>
      </c>
      <c r="M15" s="23">
        <f>'GHG &amp; CO2 EMISSIONS'!L59</f>
        <v>63306.263009476606</v>
      </c>
      <c r="N15" s="23">
        <f>'GHG &amp; CO2 EMISSIONS'!M59</f>
        <v>65923.563540716015</v>
      </c>
      <c r="O15" s="23">
        <f>'GHG &amp; CO2 EMISSIONS'!N59</f>
        <v>67182.151350114756</v>
      </c>
      <c r="P15" s="23">
        <f>'GHG &amp; CO2 EMISSIONS'!O59</f>
        <v>69375.153140218477</v>
      </c>
      <c r="Q15" s="23">
        <f>'GHG &amp; CO2 EMISSIONS'!P59</f>
        <v>71476.888426578415</v>
      </c>
      <c r="R15" s="23">
        <f>'GHG &amp; CO2 EMISSIONS'!Q59</f>
        <v>69638.232468800925</v>
      </c>
      <c r="S15" s="23">
        <f>'GHG &amp; CO2 EMISSIONS'!R59</f>
        <v>70136.629677727382</v>
      </c>
      <c r="T15" s="23">
        <f>'GHG &amp; CO2 EMISSIONS'!S59</f>
        <v>69400.748347078377</v>
      </c>
      <c r="U15" s="23">
        <f>'GHG &amp; CO2 EMISSIONS'!T59</f>
        <v>71213.79003849467</v>
      </c>
      <c r="V15" s="23">
        <f>'GHG &amp; CO2 EMISSIONS'!U59</f>
        <v>70703.821205569358</v>
      </c>
      <c r="W15" s="23">
        <f>'GHG &amp; CO2 EMISSIONS'!V59</f>
        <v>69566.108685509505</v>
      </c>
      <c r="X15" s="23">
        <f>'GHG &amp; CO2 EMISSIONS'!W59</f>
        <v>69032.538292547368</v>
      </c>
      <c r="Y15" s="23">
        <f>'GHG &amp; CO2 EMISSIONS'!X59</f>
        <v>63256.161924107844</v>
      </c>
      <c r="Z15" s="23">
        <f>'GHG &amp; CO2 EMISSIONS'!Y59</f>
        <v>62759.679924429227</v>
      </c>
      <c r="AA15" s="23">
        <f>'GHG &amp; CO2 EMISSIONS'!Z59</f>
        <v>58582.429045825556</v>
      </c>
      <c r="AB15" s="132">
        <f>'GHG &amp; CO2 EMISSIONS'!AA59</f>
        <v>59668.461020421018</v>
      </c>
      <c r="AC15" s="65">
        <v>0.13</v>
      </c>
      <c r="AD15" s="69">
        <f t="shared" si="2"/>
        <v>62659.854041466198</v>
      </c>
      <c r="AE15" s="36">
        <f t="shared" si="1"/>
        <v>0.12681698889842585</v>
      </c>
      <c r="AF15" s="3"/>
      <c r="AG15" s="3"/>
      <c r="AH15" s="3"/>
      <c r="AI15" s="3"/>
      <c r="AJ15" s="3"/>
      <c r="AK15" s="3"/>
      <c r="AL15" s="3"/>
      <c r="AM15" s="3"/>
      <c r="AN15" s="3"/>
      <c r="AO15" s="3"/>
      <c r="AP15" s="3"/>
    </row>
    <row r="16" spans="1:42" s="2" customFormat="1" ht="15" customHeight="1">
      <c r="A16" s="24" t="s">
        <v>154</v>
      </c>
      <c r="B16" s="18" t="s">
        <v>53</v>
      </c>
      <c r="C16" s="134">
        <v>69978</v>
      </c>
      <c r="D16" s="134">
        <v>276838.95500000002</v>
      </c>
      <c r="E16" s="35">
        <f t="shared" si="0"/>
        <v>55367.791000000005</v>
      </c>
      <c r="F16" s="23">
        <f>'GHG &amp; CO2 EMISSIONS'!E31</f>
        <v>70388.100237269231</v>
      </c>
      <c r="G16" s="23">
        <f>'GHG &amp; CO2 EMISSIONS'!F31</f>
        <v>81068.883934977799</v>
      </c>
      <c r="H16" s="23">
        <f>'GHG &amp; CO2 EMISSIONS'!G31</f>
        <v>75197.425864898702</v>
      </c>
      <c r="I16" s="23">
        <f>'GHG &amp; CO2 EMISSIONS'!H31</f>
        <v>77548.913440217191</v>
      </c>
      <c r="J16" s="23">
        <f>'GHG &amp; CO2 EMISSIONS'!I31</f>
        <v>81509.518373024825</v>
      </c>
      <c r="K16" s="23">
        <f>'GHG &amp; CO2 EMISSIONS'!J31</f>
        <v>78647.253714024177</v>
      </c>
      <c r="L16" s="23">
        <f>'GHG &amp; CO2 EMISSIONS'!K31</f>
        <v>91731.139410863107</v>
      </c>
      <c r="M16" s="23">
        <f>'GHG &amp; CO2 EMISSIONS'!L31</f>
        <v>82216.861214577948</v>
      </c>
      <c r="N16" s="23">
        <f>'GHG &amp; CO2 EMISSIONS'!M31</f>
        <v>78273.362327762137</v>
      </c>
      <c r="O16" s="23">
        <f>'GHG &amp; CO2 EMISSIONS'!N31</f>
        <v>75607.301150634841</v>
      </c>
      <c r="P16" s="23">
        <f>'GHG &amp; CO2 EMISSIONS'!O31</f>
        <v>71308.324140089651</v>
      </c>
      <c r="Q16" s="23">
        <f>'GHG &amp; CO2 EMISSIONS'!P31</f>
        <v>72889.598276639896</v>
      </c>
      <c r="R16" s="23">
        <f>'GHG &amp; CO2 EMISSIONS'!Q31</f>
        <v>72436.564221934052</v>
      </c>
      <c r="S16" s="23">
        <f>'GHG &amp; CO2 EMISSIONS'!R31</f>
        <v>77428.792129597539</v>
      </c>
      <c r="T16" s="23">
        <f>'GHG &amp; CO2 EMISSIONS'!S31</f>
        <v>71492.905917049982</v>
      </c>
      <c r="U16" s="23">
        <f>'GHG &amp; CO2 EMISSIONS'!T31</f>
        <v>67172.284608661314</v>
      </c>
      <c r="V16" s="23">
        <f>'GHG &amp; CO2 EMISSIONS'!U31</f>
        <v>74878.997762092346</v>
      </c>
      <c r="W16" s="23">
        <f>'GHG &amp; CO2 EMISSIONS'!V31</f>
        <v>70223.861460618689</v>
      </c>
      <c r="X16" s="23">
        <f>'GHG &amp; CO2 EMISSIONS'!W31</f>
        <v>66662.861242697429</v>
      </c>
      <c r="Y16" s="23">
        <f>'GHG &amp; CO2 EMISSIONS'!X31</f>
        <v>63933.021523754338</v>
      </c>
      <c r="Z16" s="23">
        <f>'GHG &amp; CO2 EMISSIONS'!Y31</f>
        <v>64127.006957078949</v>
      </c>
      <c r="AA16" s="23">
        <f>'GHG &amp; CO2 EMISSIONS'!Z31</f>
        <v>58950.642070605005</v>
      </c>
      <c r="AB16" s="132">
        <f>'GHG &amp; CO2 EMISSIONS'!AA31</f>
        <v>54416.174516359031</v>
      </c>
      <c r="AC16" s="65">
        <v>-0.21</v>
      </c>
      <c r="AD16" s="69">
        <f t="shared" si="2"/>
        <v>61617.941262098961</v>
      </c>
      <c r="AE16" s="36">
        <f t="shared" si="1"/>
        <v>-0.11946695729945178</v>
      </c>
      <c r="AF16" s="3"/>
      <c r="AG16" s="3"/>
      <c r="AH16" s="3"/>
      <c r="AI16" s="3"/>
      <c r="AJ16" s="3"/>
      <c r="AK16" s="3"/>
      <c r="AL16" s="3"/>
      <c r="AM16" s="3"/>
      <c r="AN16" s="3"/>
      <c r="AO16" s="3"/>
      <c r="AP16" s="3"/>
    </row>
    <row r="17" spans="1:42" s="2" customFormat="1" ht="15" customHeight="1">
      <c r="A17" s="24" t="s">
        <v>154</v>
      </c>
      <c r="B17" s="18" t="s">
        <v>64</v>
      </c>
      <c r="C17" s="134">
        <v>13167.498888888889</v>
      </c>
      <c r="D17" s="134">
        <v>47402.995999999999</v>
      </c>
      <c r="E17" s="35">
        <f t="shared" si="0"/>
        <v>9480.5992000000006</v>
      </c>
      <c r="F17" s="23">
        <f>'GHG &amp; CO2 EMISSIONS'!E75</f>
        <v>12726.71376807695</v>
      </c>
      <c r="G17" s="23">
        <f>'GHG &amp; CO2 EMISSIONS'!F75</f>
        <v>13349.373456042458</v>
      </c>
      <c r="H17" s="23">
        <f>'GHG &amp; CO2 EMISSIONS'!G75</f>
        <v>13114.479828612915</v>
      </c>
      <c r="I17" s="23">
        <f>'GHG &amp; CO2 EMISSIONS'!H75</f>
        <v>13278.362285544817</v>
      </c>
      <c r="J17" s="23">
        <f>'GHG &amp; CO2 EMISSIONS'!I75</f>
        <v>12433.462702968498</v>
      </c>
      <c r="K17" s="23">
        <f>'GHG &amp; CO2 EMISSIONS'!J75</f>
        <v>10062.474468820337</v>
      </c>
      <c r="L17" s="23">
        <f>'GHG &amp; CO2 EMISSIONS'!K75</f>
        <v>10123.89677929662</v>
      </c>
      <c r="M17" s="23">
        <f>'GHG &amp; CO2 EMISSIONS'!L75</f>
        <v>9483.2282553456062</v>
      </c>
      <c r="N17" s="23">
        <f>'GHG &amp; CO2 EMISSIONS'!M75</f>
        <v>8588.8896363322056</v>
      </c>
      <c r="O17" s="23">
        <f>'GHG &amp; CO2 EMISSIONS'!N75</f>
        <v>9056.3617171227506</v>
      </c>
      <c r="P17" s="23">
        <f>'GHG &amp; CO2 EMISSIONS'!O75</f>
        <v>9638.1159183063301</v>
      </c>
      <c r="Q17" s="23">
        <f>'GHG &amp; CO2 EMISSIONS'!P75</f>
        <v>10142.887320769698</v>
      </c>
      <c r="R17" s="23">
        <f>'GHG &amp; CO2 EMISSIONS'!Q75</f>
        <v>10919.054363817411</v>
      </c>
      <c r="S17" s="23">
        <f>'GHG &amp; CO2 EMISSIONS'!R75</f>
        <v>11375.194612206958</v>
      </c>
      <c r="T17" s="23">
        <f>'GHG &amp; CO2 EMISSIONS'!S75</f>
        <v>12745.739723580076</v>
      </c>
      <c r="U17" s="23">
        <f>'GHG &amp; CO2 EMISSIONS'!T75</f>
        <v>13000.496914965539</v>
      </c>
      <c r="V17" s="23">
        <f>'GHG &amp; CO2 EMISSIONS'!U75</f>
        <v>12829.808546237009</v>
      </c>
      <c r="W17" s="23">
        <f>'GHG &amp; CO2 EMISSIONS'!V75</f>
        <v>12242.317640664949</v>
      </c>
      <c r="X17" s="23">
        <f>'GHG &amp; CO2 EMISSIONS'!W75</f>
        <v>12131.478373296681</v>
      </c>
      <c r="Y17" s="23">
        <f>'GHG &amp; CO2 EMISSIONS'!X75</f>
        <v>11584.832402142916</v>
      </c>
      <c r="Z17" s="23">
        <f>'GHG &amp; CO2 EMISSIONS'!Y75</f>
        <v>12158.063440724673</v>
      </c>
      <c r="AA17" s="23">
        <f>'GHG &amp; CO2 EMISSIONS'!Z75</f>
        <v>12037.825698391687</v>
      </c>
      <c r="AB17" s="132">
        <f>'GHG &amp; CO2 EMISSIONS'!AA75</f>
        <v>11803.371800799643</v>
      </c>
      <c r="AC17" s="65">
        <v>-0.28000000000000003</v>
      </c>
      <c r="AD17" s="69">
        <f t="shared" si="2"/>
        <v>11943.11434307112</v>
      </c>
      <c r="AE17" s="36">
        <f t="shared" si="1"/>
        <v>-9.2985354025808209E-2</v>
      </c>
      <c r="AF17" s="3"/>
      <c r="AG17" s="3"/>
      <c r="AH17" s="3"/>
      <c r="AI17" s="3"/>
      <c r="AJ17" s="3"/>
      <c r="AK17" s="3"/>
      <c r="AL17" s="3"/>
      <c r="AM17" s="3"/>
      <c r="AN17" s="3"/>
      <c r="AO17" s="3"/>
      <c r="AP17" s="3"/>
    </row>
    <row r="18" spans="1:42" s="2" customFormat="1" ht="15" customHeight="1">
      <c r="A18" s="55" t="s">
        <v>101</v>
      </c>
      <c r="B18" s="56" t="s">
        <v>52</v>
      </c>
      <c r="C18" s="146" t="s">
        <v>28</v>
      </c>
      <c r="D18" s="146" t="s">
        <v>28</v>
      </c>
      <c r="E18" s="47" t="s">
        <v>28</v>
      </c>
      <c r="F18" s="23">
        <f>'GHG &amp; CO2 EMISSIONS'!E23</f>
        <v>5570.3489276682267</v>
      </c>
      <c r="G18" s="23">
        <f>'GHG &amp; CO2 EMISSIONS'!F23</f>
        <v>6074.899410528973</v>
      </c>
      <c r="H18" s="23">
        <f>'GHG &amp; CO2 EMISSIONS'!G23</f>
        <v>6511.3842846298976</v>
      </c>
      <c r="I18" s="23">
        <f>'GHG &amp; CO2 EMISSIONS'!H23</f>
        <v>6798.5806701673191</v>
      </c>
      <c r="J18" s="23">
        <f>'GHG &amp; CO2 EMISSIONS'!I23</f>
        <v>7055.108601068282</v>
      </c>
      <c r="K18" s="23">
        <f>'GHG &amp; CO2 EMISSIONS'!J23</f>
        <v>6970.5206936493623</v>
      </c>
      <c r="L18" s="23">
        <f>'GHG &amp; CO2 EMISSIONS'!K23</f>
        <v>7343.5239864201912</v>
      </c>
      <c r="M18" s="23">
        <f>'GHG &amp; CO2 EMISSIONS'!L23</f>
        <v>7437.6234858298703</v>
      </c>
      <c r="N18" s="23">
        <f>'GHG &amp; CO2 EMISSIONS'!M23</f>
        <v>7753.5127522179882</v>
      </c>
      <c r="O18" s="23">
        <f>'GHG &amp; CO2 EMISSIONS'!N23</f>
        <v>8031.569639636301</v>
      </c>
      <c r="P18" s="23">
        <f>'GHG &amp; CO2 EMISSIONS'!O23</f>
        <v>8303.519329809902</v>
      </c>
      <c r="Q18" s="23">
        <f>'GHG &amp; CO2 EMISSIONS'!P23</f>
        <v>8244.7577469162406</v>
      </c>
      <c r="R18" s="23">
        <f>'GHG &amp; CO2 EMISSIONS'!Q23</f>
        <v>8480.4362007662403</v>
      </c>
      <c r="S18" s="23">
        <f>'GHG &amp; CO2 EMISSIONS'!R23</f>
        <v>8871.5459181120823</v>
      </c>
      <c r="T18" s="23">
        <f>'GHG &amp; CO2 EMISSIONS'!S23</f>
        <v>9077.7557642409993</v>
      </c>
      <c r="U18" s="23">
        <f>'GHG &amp; CO2 EMISSIONS'!T23</f>
        <v>9226.0110509069727</v>
      </c>
      <c r="V18" s="23">
        <f>'GHG &amp; CO2 EMISSIONS'!U23</f>
        <v>9473.0051799583835</v>
      </c>
      <c r="W18" s="23">
        <f>'GHG &amp; CO2 EMISSIONS'!V23</f>
        <v>9807.767812972721</v>
      </c>
      <c r="X18" s="23">
        <f>'GHG &amp; CO2 EMISSIONS'!W23</f>
        <v>10031.229267173569</v>
      </c>
      <c r="Y18" s="23">
        <f>'GHG &amp; CO2 EMISSIONS'!X23</f>
        <v>9795.9267913867207</v>
      </c>
      <c r="Z18" s="23">
        <f>'GHG &amp; CO2 EMISSIONS'!Y23</f>
        <v>9460.2332719780716</v>
      </c>
      <c r="AA18" s="23">
        <f>'GHG &amp; CO2 EMISSIONS'!Z23</f>
        <v>9162.6109106152526</v>
      </c>
      <c r="AB18" s="132">
        <f>'GHG &amp; CO2 EMISSIONS'!AA23</f>
        <v>8628.514462488758</v>
      </c>
      <c r="AC18" s="65" t="s">
        <v>28</v>
      </c>
      <c r="AD18" s="69">
        <f t="shared" si="2"/>
        <v>9415.7029407284754</v>
      </c>
      <c r="AE18" s="70" t="s">
        <v>28</v>
      </c>
      <c r="AF18" s="3"/>
      <c r="AG18" s="3"/>
      <c r="AH18" s="3"/>
      <c r="AI18" s="3"/>
      <c r="AJ18" s="3"/>
      <c r="AK18" s="3"/>
      <c r="AL18" s="3"/>
      <c r="AM18" s="3"/>
      <c r="AN18" s="3"/>
      <c r="AO18" s="3"/>
      <c r="AP18" s="3"/>
    </row>
    <row r="19" spans="1:42" s="2" customFormat="1" ht="15" customHeight="1">
      <c r="A19" s="55" t="s">
        <v>101</v>
      </c>
      <c r="B19" s="56" t="s">
        <v>65</v>
      </c>
      <c r="C19" s="146" t="s">
        <v>28</v>
      </c>
      <c r="D19" s="146" t="s">
        <v>28</v>
      </c>
      <c r="E19" s="47" t="s">
        <v>28</v>
      </c>
      <c r="F19" s="23">
        <f>'GHG &amp; CO2 EMISSIONS'!E79</f>
        <v>2626.1392260285484</v>
      </c>
      <c r="G19" s="23">
        <f>'GHG &amp; CO2 EMISSIONS'!F79</f>
        <v>2479.8520552291893</v>
      </c>
      <c r="H19" s="23">
        <f>'GHG &amp; CO2 EMISSIONS'!G79</f>
        <v>2512.8271921525929</v>
      </c>
      <c r="I19" s="23">
        <f>'GHG &amp; CO2 EMISSIONS'!H79</f>
        <v>3115.5735831478355</v>
      </c>
      <c r="J19" s="23">
        <f>'GHG &amp; CO2 EMISSIONS'!I79</f>
        <v>2893.6713621273962</v>
      </c>
      <c r="K19" s="23">
        <f>'GHG &amp; CO2 EMISSIONS'!J79</f>
        <v>2690.9395400814556</v>
      </c>
      <c r="L19" s="23">
        <f>'GHG &amp; CO2 EMISSIONS'!K79</f>
        <v>2781.5347615030687</v>
      </c>
      <c r="M19" s="23">
        <f>'GHG &amp; CO2 EMISSIONS'!L79</f>
        <v>2813.1700667266891</v>
      </c>
      <c r="N19" s="23">
        <f>'GHG &amp; CO2 EMISSIONS'!M79</f>
        <v>2787.3733577597504</v>
      </c>
      <c r="O19" s="23">
        <f>'GHG &amp; CO2 EMISSIONS'!N79</f>
        <v>2844.8581972793563</v>
      </c>
      <c r="P19" s="23">
        <f>'GHG &amp; CO2 EMISSIONS'!O79</f>
        <v>2749.4498792697909</v>
      </c>
      <c r="Q19" s="23">
        <f>'GHG &amp; CO2 EMISSIONS'!P79</f>
        <v>3025.637251507801</v>
      </c>
      <c r="R19" s="23">
        <f>'GHG &amp; CO2 EMISSIONS'!Q79</f>
        <v>3046.4744538958939</v>
      </c>
      <c r="S19" s="23">
        <f>'GHG &amp; CO2 EMISSIONS'!R79</f>
        <v>3268.7262272899015</v>
      </c>
      <c r="T19" s="23">
        <f>'GHG &amp; CO2 EMISSIONS'!S79</f>
        <v>3175.6627048783957</v>
      </c>
      <c r="U19" s="23">
        <f>'GHG &amp; CO2 EMISSIONS'!T79</f>
        <v>2989.4765432081117</v>
      </c>
      <c r="V19" s="23">
        <f>'GHG &amp; CO2 EMISSIONS'!U79</f>
        <v>3035.6553785652768</v>
      </c>
      <c r="W19" s="23">
        <f>'GHG &amp; CO2 EMISSIONS'!V79</f>
        <v>3127.0785640000904</v>
      </c>
      <c r="X19" s="23">
        <f>'GHG &amp; CO2 EMISSIONS'!W79</f>
        <v>3040.6280764125313</v>
      </c>
      <c r="Y19" s="23">
        <f>'GHG &amp; CO2 EMISSIONS'!X79</f>
        <v>2908.0135942336815</v>
      </c>
      <c r="Z19" s="23">
        <f>'GHG &amp; CO2 EMISSIONS'!Y79</f>
        <v>2965.5367061461898</v>
      </c>
      <c r="AA19" s="23">
        <f>'GHG &amp; CO2 EMISSIONS'!Z79</f>
        <v>2971.3333662178534</v>
      </c>
      <c r="AB19" s="132">
        <f>'GHG &amp; CO2 EMISSIONS'!AA79</f>
        <v>3142.7237142150998</v>
      </c>
      <c r="AC19" s="65" t="s">
        <v>28</v>
      </c>
      <c r="AD19" s="69">
        <f t="shared" si="2"/>
        <v>3005.6470914450715</v>
      </c>
      <c r="AE19" s="70" t="s">
        <v>28</v>
      </c>
      <c r="AF19" s="3"/>
      <c r="AG19" s="3"/>
      <c r="AH19" s="3"/>
      <c r="AI19" s="3"/>
      <c r="AJ19" s="3"/>
      <c r="AK19" s="3"/>
      <c r="AL19" s="3"/>
      <c r="AM19" s="3"/>
      <c r="AN19" s="3"/>
      <c r="AO19" s="3"/>
      <c r="AP19" s="3"/>
    </row>
    <row r="20" spans="1:42" s="2" customFormat="1" ht="15" customHeight="1">
      <c r="A20" s="55" t="s">
        <v>102</v>
      </c>
      <c r="B20" s="56" t="s">
        <v>67</v>
      </c>
      <c r="C20" s="134">
        <v>563442.77404255327</v>
      </c>
      <c r="D20" s="134">
        <v>2648181.0380000002</v>
      </c>
      <c r="E20" s="35">
        <f t="shared" ref="E20:E43" si="3">D20/5</f>
        <v>529636.20760000008</v>
      </c>
      <c r="F20" s="23">
        <f>'GHG &amp; CO2 EMISSIONS'!E87</f>
        <v>475466.59145769564</v>
      </c>
      <c r="G20" s="23">
        <f>'GHG &amp; CO2 EMISSIONS'!F87</f>
        <v>463378.49127107469</v>
      </c>
      <c r="H20" s="23">
        <f>'GHG &amp; CO2 EMISSIONS'!G87</f>
        <v>450631.49637365848</v>
      </c>
      <c r="I20" s="23">
        <f>'GHG &amp; CO2 EMISSIONS'!H87</f>
        <v>450220.13135722745</v>
      </c>
      <c r="J20" s="23">
        <f>'GHG &amp; CO2 EMISSIONS'!I87</f>
        <v>444563.47682974429</v>
      </c>
      <c r="K20" s="23">
        <f>'GHG &amp; CO2 EMISSIONS'!J87</f>
        <v>446357.37308133463</v>
      </c>
      <c r="L20" s="23">
        <f>'GHG &amp; CO2 EMISSIONS'!K87</f>
        <v>460100.68322565616</v>
      </c>
      <c r="M20" s="23">
        <f>'GHG &amp; CO2 EMISSIONS'!L87</f>
        <v>449935.59937411</v>
      </c>
      <c r="N20" s="23">
        <f>'GHG &amp; CO2 EMISSIONS'!M87</f>
        <v>419246.38735536911</v>
      </c>
      <c r="O20" s="23">
        <f>'GHG &amp; CO2 EMISSIONS'!N87</f>
        <v>407666.17936128454</v>
      </c>
      <c r="P20" s="23">
        <f>'GHG &amp; CO2 EMISSIONS'!O87</f>
        <v>394337.17593977286</v>
      </c>
      <c r="Q20" s="23">
        <f>'GHG &amp; CO2 EMISSIONS'!P87</f>
        <v>393066.37570666237</v>
      </c>
      <c r="R20" s="23">
        <f>'GHG &amp; CO2 EMISSIONS'!Q87</f>
        <v>382983.16125272086</v>
      </c>
      <c r="S20" s="23">
        <f>'GHG &amp; CO2 EMISSIONS'!R87</f>
        <v>396138.1125299508</v>
      </c>
      <c r="T20" s="23">
        <f>'GHG &amp; CO2 EMISSIONS'!S87</f>
        <v>401540.21016174433</v>
      </c>
      <c r="U20" s="23">
        <f>'GHG &amp; CO2 EMISSIONS'!T87</f>
        <v>401392.90050087601</v>
      </c>
      <c r="V20" s="23">
        <f>'GHG &amp; CO2 EMISSIONS'!U87</f>
        <v>416038.53970111045</v>
      </c>
      <c r="W20" s="23">
        <f>'GHG &amp; CO2 EMISSIONS'!V87</f>
        <v>415108.19260385929</v>
      </c>
      <c r="X20" s="23">
        <f>'GHG &amp; CO2 EMISSIONS'!W87</f>
        <v>407800.94678244868</v>
      </c>
      <c r="Y20" s="23">
        <f>'GHG &amp; CO2 EMISSIONS'!X87</f>
        <v>389539.63863072504</v>
      </c>
      <c r="Z20" s="23">
        <f>'GHG &amp; CO2 EMISSIONS'!Y87</f>
        <v>406676.7366794144</v>
      </c>
      <c r="AA20" s="23">
        <f>'GHG &amp; CO2 EMISSIONS'!Z87</f>
        <v>405262.20316335402</v>
      </c>
      <c r="AB20" s="132">
        <f>'GHG &amp; CO2 EMISSIONS'!AA87</f>
        <v>397501.7687027994</v>
      </c>
      <c r="AC20" s="65">
        <v>-0.06</v>
      </c>
      <c r="AD20" s="69">
        <f t="shared" si="2"/>
        <v>401356.25879174832</v>
      </c>
      <c r="AE20" s="36">
        <f t="shared" si="1"/>
        <v>-0.28767165490095292</v>
      </c>
      <c r="AF20" s="3"/>
      <c r="AG20" s="3"/>
      <c r="AH20" s="3"/>
      <c r="AI20" s="3"/>
      <c r="AJ20" s="3"/>
      <c r="AK20" s="3"/>
      <c r="AL20" s="3"/>
      <c r="AM20" s="3"/>
      <c r="AN20" s="3"/>
      <c r="AO20" s="3"/>
      <c r="AP20" s="3"/>
    </row>
    <row r="21" spans="1:42" s="2" customFormat="1" ht="15" customHeight="1">
      <c r="A21" s="55" t="s">
        <v>102</v>
      </c>
      <c r="B21" s="56" t="s">
        <v>69</v>
      </c>
      <c r="C21" s="134">
        <v>278225.02152173908</v>
      </c>
      <c r="D21" s="134">
        <v>1279835.0989999999</v>
      </c>
      <c r="E21" s="35">
        <f t="shared" si="3"/>
        <v>255967.01979999998</v>
      </c>
      <c r="F21" s="23">
        <f>'GHG &amp; CO2 EMISSIONS'!E95</f>
        <v>256659.64809945232</v>
      </c>
      <c r="G21" s="23">
        <f>'GHG &amp; CO2 EMISSIONS'!F95</f>
        <v>210173.14020829214</v>
      </c>
      <c r="H21" s="23">
        <f>'GHG &amp; CO2 EMISSIONS'!G95</f>
        <v>194637.07948644707</v>
      </c>
      <c r="I21" s="23">
        <f>'GHG &amp; CO2 EMISSIONS'!H95</f>
        <v>184045.93341337118</v>
      </c>
      <c r="J21" s="23">
        <f>'GHG &amp; CO2 EMISSIONS'!I95</f>
        <v>181511.11957041812</v>
      </c>
      <c r="K21" s="23">
        <f>'GHG &amp; CO2 EMISSIONS'!J95</f>
        <v>188442.64433458811</v>
      </c>
      <c r="L21" s="23">
        <f>'GHG &amp; CO2 EMISSIONS'!K95</f>
        <v>191446.89650036371</v>
      </c>
      <c r="M21" s="23">
        <f>'GHG &amp; CO2 EMISSIONS'!L95</f>
        <v>184875.62155268912</v>
      </c>
      <c r="N21" s="23">
        <f>'GHG &amp; CO2 EMISSIONS'!M95</f>
        <v>167954.01094645818</v>
      </c>
      <c r="O21" s="23">
        <f>'GHG &amp; CO2 EMISSIONS'!N95</f>
        <v>150088.0906523334</v>
      </c>
      <c r="P21" s="23">
        <f>'GHG &amp; CO2 EMISSIONS'!O95</f>
        <v>142084.51032463735</v>
      </c>
      <c r="Q21" s="23">
        <f>'GHG &amp; CO2 EMISSIONS'!P95</f>
        <v>145799.26990448509</v>
      </c>
      <c r="R21" s="23">
        <f>'GHG &amp; CO2 EMISSIONS'!Q95</f>
        <v>147795.78597966774</v>
      </c>
      <c r="S21" s="23">
        <f>'GHG &amp; CO2 EMISSIONS'!R95</f>
        <v>153544.06603131018</v>
      </c>
      <c r="T21" s="23">
        <f>'GHG &amp; CO2 EMISSIONS'!S95</f>
        <v>151570.40935772227</v>
      </c>
      <c r="U21" s="23">
        <f>'GHG &amp; CO2 EMISSIONS'!T95</f>
        <v>150130.02741297797</v>
      </c>
      <c r="V21" s="23">
        <f>'GHG &amp; CO2 EMISSIONS'!U95</f>
        <v>151560.30177837971</v>
      </c>
      <c r="W21" s="23">
        <f>'GHG &amp; CO2 EMISSIONS'!V95</f>
        <v>155027.38988783589</v>
      </c>
      <c r="X21" s="23">
        <f>'GHG &amp; CO2 EMISSIONS'!W95</f>
        <v>151702.05098028397</v>
      </c>
      <c r="Y21" s="23">
        <f>'GHG &amp; CO2 EMISSIONS'!X95</f>
        <v>130345.48789366038</v>
      </c>
      <c r="Z21" s="23">
        <f>'GHG &amp; CO2 EMISSIONS'!Y95</f>
        <v>124814.04117896281</v>
      </c>
      <c r="AA21" s="23">
        <f>'GHG &amp; CO2 EMISSIONS'!Z95</f>
        <v>132255.16829167801</v>
      </c>
      <c r="AB21" s="132">
        <f>'GHG &amp; CO2 EMISSIONS'!AA95</f>
        <v>129285.0472488465</v>
      </c>
      <c r="AC21" s="65">
        <v>-0.08</v>
      </c>
      <c r="AD21" s="69">
        <f t="shared" si="2"/>
        <v>133680.35911868632</v>
      </c>
      <c r="AE21" s="36">
        <f t="shared" si="1"/>
        <v>-0.51952431025963197</v>
      </c>
      <c r="AF21" s="3"/>
      <c r="AG21" s="3"/>
      <c r="AH21" s="3"/>
      <c r="AI21" s="3"/>
      <c r="AJ21" s="3"/>
      <c r="AK21" s="3"/>
      <c r="AL21" s="3"/>
      <c r="AM21" s="3"/>
      <c r="AN21" s="3"/>
      <c r="AO21" s="3"/>
      <c r="AP21" s="3"/>
    </row>
    <row r="22" spans="1:42" s="2" customFormat="1" ht="15" customHeight="1">
      <c r="A22" s="55" t="s">
        <v>102</v>
      </c>
      <c r="B22" s="56" t="s">
        <v>6</v>
      </c>
      <c r="C22" s="134">
        <v>194248.21760869565</v>
      </c>
      <c r="D22" s="134">
        <v>893541.80099999998</v>
      </c>
      <c r="E22" s="35">
        <f t="shared" si="3"/>
        <v>178708.3602</v>
      </c>
      <c r="F22" s="23">
        <f>'GHG &amp; CO2 EMISSIONS'!E27</f>
        <v>199386.70888278668</v>
      </c>
      <c r="G22" s="23">
        <f>'GHG &amp; CO2 EMISSIONS'!F27</f>
        <v>180862.32549937657</v>
      </c>
      <c r="H22" s="23">
        <f>'GHG &amp; CO2 EMISSIONS'!G27</f>
        <v>174988.44423259835</v>
      </c>
      <c r="I22" s="23">
        <f>'GHG &amp; CO2 EMISSIONS'!H27</f>
        <v>168156.54945787622</v>
      </c>
      <c r="J22" s="23">
        <f>'GHG &amp; CO2 EMISSIONS'!I27</f>
        <v>159400.88065022434</v>
      </c>
      <c r="K22" s="23">
        <f>'GHG &amp; CO2 EMISSIONS'!J27</f>
        <v>158415.84497818255</v>
      </c>
      <c r="L22" s="23">
        <f>'GHG &amp; CO2 EMISSIONS'!K27</f>
        <v>161630.91572615399</v>
      </c>
      <c r="M22" s="23">
        <f>'GHG &amp; CO2 EMISSIONS'!L27</f>
        <v>157199.20944900136</v>
      </c>
      <c r="N22" s="23">
        <f>'GHG &amp; CO2 EMISSIONS'!M27</f>
        <v>151181.5919403584</v>
      </c>
      <c r="O22" s="23">
        <f>'GHG &amp; CO2 EMISSIONS'!N27</f>
        <v>141096.08338048551</v>
      </c>
      <c r="P22" s="23">
        <f>'GHG &amp; CO2 EMISSIONS'!O27</f>
        <v>151386.03853330718</v>
      </c>
      <c r="Q22" s="23">
        <f>'GHG &amp; CO2 EMISSIONS'!P27</f>
        <v>151141.41100938193</v>
      </c>
      <c r="R22" s="23">
        <f>'GHG &amp; CO2 EMISSIONS'!Q27</f>
        <v>147318.94457726183</v>
      </c>
      <c r="S22" s="23">
        <f>'GHG &amp; CO2 EMISSIONS'!R27</f>
        <v>150424.99991904537</v>
      </c>
      <c r="T22" s="23">
        <f>'GHG &amp; CO2 EMISSIONS'!S27</f>
        <v>151420.98037779497</v>
      </c>
      <c r="U22" s="23">
        <f>'GHG &amp; CO2 EMISSIONS'!T27</f>
        <v>149308.22457478094</v>
      </c>
      <c r="V22" s="23">
        <f>'GHG &amp; CO2 EMISSIONS'!U27</f>
        <v>150630.09482418277</v>
      </c>
      <c r="W22" s="23">
        <f>'GHG &amp; CO2 EMISSIONS'!V27</f>
        <v>152380.68458456383</v>
      </c>
      <c r="X22" s="23">
        <f>'GHG &amp; CO2 EMISSIONS'!W27</f>
        <v>147309.57635776087</v>
      </c>
      <c r="Y22" s="23">
        <f>'GHG &amp; CO2 EMISSIONS'!X27</f>
        <v>137590.0541103241</v>
      </c>
      <c r="Z22" s="23">
        <f>'GHG &amp; CO2 EMISSIONS'!Y27</f>
        <v>140529.12411929501</v>
      </c>
      <c r="AA22" s="23">
        <f>'GHG &amp; CO2 EMISSIONS'!Z27</f>
        <v>139120.12535982873</v>
      </c>
      <c r="AB22" s="132">
        <f>'GHG &amp; CO2 EMISSIONS'!AA27</f>
        <v>135193.431410869</v>
      </c>
      <c r="AC22" s="65">
        <v>-0.08</v>
      </c>
      <c r="AD22" s="69">
        <f t="shared" si="2"/>
        <v>139948.46227161554</v>
      </c>
      <c r="AE22" s="36">
        <f t="shared" si="1"/>
        <v>-0.27953798498406057</v>
      </c>
      <c r="AF22" s="3"/>
      <c r="AG22" s="3"/>
      <c r="AH22" s="3"/>
      <c r="AI22" s="3"/>
      <c r="AJ22" s="3"/>
      <c r="AK22" s="3"/>
      <c r="AL22" s="3"/>
      <c r="AM22" s="3"/>
      <c r="AN22" s="3"/>
      <c r="AO22" s="3"/>
      <c r="AP22" s="3"/>
    </row>
    <row r="23" spans="1:42" s="2" customFormat="1" ht="15" customHeight="1">
      <c r="A23" s="55" t="s">
        <v>102</v>
      </c>
      <c r="B23" s="56" t="s">
        <v>50</v>
      </c>
      <c r="C23" s="134">
        <v>132618.65804347827</v>
      </c>
      <c r="D23" s="134">
        <v>610045.82700000005</v>
      </c>
      <c r="E23" s="35">
        <f t="shared" si="3"/>
        <v>122009.16540000001</v>
      </c>
      <c r="F23" s="23">
        <f>'GHG &amp; CO2 EMISSIONS'!E15</f>
        <v>98800.787632139691</v>
      </c>
      <c r="G23" s="23">
        <f>'GHG &amp; CO2 EMISSIONS'!F15</f>
        <v>80943.321768442853</v>
      </c>
      <c r="H23" s="23">
        <f>'GHG &amp; CO2 EMISSIONS'!G15</f>
        <v>75410.630862424878</v>
      </c>
      <c r="I23" s="23">
        <f>'GHG &amp; CO2 EMISSIONS'!H15</f>
        <v>74721.422508672724</v>
      </c>
      <c r="J23" s="23">
        <f>'GHG &amp; CO2 EMISSIONS'!I15</f>
        <v>70653.013641766243</v>
      </c>
      <c r="K23" s="23">
        <f>'GHG &amp; CO2 EMISSIONS'!J15</f>
        <v>72207.970604246133</v>
      </c>
      <c r="L23" s="23">
        <f>'GHG &amp; CO2 EMISSIONS'!K15</f>
        <v>72647.46052336815</v>
      </c>
      <c r="M23" s="23">
        <f>'GHG &amp; CO2 EMISSIONS'!L15</f>
        <v>69433.501437418381</v>
      </c>
      <c r="N23" s="23">
        <f>'GHG &amp; CO2 EMISSIONS'!M15</f>
        <v>65390.218077585261</v>
      </c>
      <c r="O23" s="23">
        <f>'GHG &amp; CO2 EMISSIONS'!N15</f>
        <v>58356.482889484148</v>
      </c>
      <c r="P23" s="23">
        <f>'GHG &amp; CO2 EMISSIONS'!O15</f>
        <v>57511.920480679481</v>
      </c>
      <c r="Q23" s="23">
        <f>'GHG &amp; CO2 EMISSIONS'!P15</f>
        <v>60401.552497939076</v>
      </c>
      <c r="R23" s="23">
        <f>'GHG &amp; CO2 EMISSIONS'!Q15</f>
        <v>57797.613143748516</v>
      </c>
      <c r="S23" s="23">
        <f>'GHG &amp; CO2 EMISSIONS'!R15</f>
        <v>62694.771208799873</v>
      </c>
      <c r="T23" s="23">
        <f>'GHG &amp; CO2 EMISSIONS'!S15</f>
        <v>61817.254036706348</v>
      </c>
      <c r="U23" s="23">
        <f>'GHG &amp; CO2 EMISSIONS'!T15</f>
        <v>62347.443195671447</v>
      </c>
      <c r="V23" s="23">
        <f>'GHG &amp; CO2 EMISSIONS'!U15</f>
        <v>63104.636352995105</v>
      </c>
      <c r="W23" s="23">
        <f>'GHG &amp; CO2 EMISSIONS'!V15</f>
        <v>66950.196566893879</v>
      </c>
      <c r="X23" s="23">
        <f>'GHG &amp; CO2 EMISSIONS'!W15</f>
        <v>65611.708943128237</v>
      </c>
      <c r="Y23" s="23">
        <f>'GHG &amp; CO2 EMISSIONS'!X15</f>
        <v>56719.076101881787</v>
      </c>
      <c r="Z23" s="23">
        <f>'GHG &amp; CO2 EMISSIONS'!Y15</f>
        <v>59363.945732735578</v>
      </c>
      <c r="AA23" s="23">
        <f>'GHG &amp; CO2 EMISSIONS'!Z15</f>
        <v>64746.44201755512</v>
      </c>
      <c r="AB23" s="132">
        <f>'GHG &amp; CO2 EMISSIONS'!AA15</f>
        <v>59673.445485797929</v>
      </c>
      <c r="AC23" s="65">
        <v>-0.08</v>
      </c>
      <c r="AD23" s="69">
        <f t="shared" si="2"/>
        <v>61222.923656219733</v>
      </c>
      <c r="AE23" s="36">
        <f t="shared" si="1"/>
        <v>-0.53835361811497029</v>
      </c>
      <c r="AF23" s="3"/>
      <c r="AG23" s="3"/>
      <c r="AH23" s="3"/>
      <c r="AI23" s="3"/>
      <c r="AJ23" s="3"/>
      <c r="AK23" s="3"/>
      <c r="AL23" s="3"/>
      <c r="AM23" s="3"/>
      <c r="AN23" s="3"/>
      <c r="AO23" s="3"/>
      <c r="AP23" s="3"/>
    </row>
    <row r="24" spans="1:42" s="2" customFormat="1" ht="15" customHeight="1">
      <c r="A24" s="55" t="s">
        <v>102</v>
      </c>
      <c r="B24" s="56" t="s">
        <v>59</v>
      </c>
      <c r="C24" s="134">
        <v>115397.14893617021</v>
      </c>
      <c r="D24" s="134">
        <v>542366.6</v>
      </c>
      <c r="E24" s="35">
        <f t="shared" si="3"/>
        <v>108473.31999999999</v>
      </c>
      <c r="F24" s="23">
        <f>'GHG &amp; CO2 EMISSIONS'!E55</f>
        <v>95061.82265691596</v>
      </c>
      <c r="G24" s="23">
        <f>'GHG &amp; CO2 EMISSIONS'!F55</f>
        <v>88848.046058909007</v>
      </c>
      <c r="H24" s="23">
        <f>'GHG &amp; CO2 EMISSIONS'!G55</f>
        <v>78861.161282415269</v>
      </c>
      <c r="I24" s="23">
        <f>'GHG &amp; CO2 EMISSIONS'!H55</f>
        <v>79352.053418371012</v>
      </c>
      <c r="J24" s="23">
        <f>'GHG &amp; CO2 EMISSIONS'!I55</f>
        <v>78871.161652687064</v>
      </c>
      <c r="K24" s="23">
        <f>'GHG &amp; CO2 EMISSIONS'!J55</f>
        <v>77669.516524382925</v>
      </c>
      <c r="L24" s="23">
        <f>'GHG &amp; CO2 EMISSIONS'!K55</f>
        <v>79916.273994546049</v>
      </c>
      <c r="M24" s="23">
        <f>'GHG &amp; CO2 EMISSIONS'!L55</f>
        <v>78499.438132211086</v>
      </c>
      <c r="N24" s="23">
        <f>'GHG &amp; CO2 EMISSIONS'!M55</f>
        <v>77984.731266026836</v>
      </c>
      <c r="O24" s="23">
        <f>'GHG &amp; CO2 EMISSIONS'!N55</f>
        <v>78310.491145127162</v>
      </c>
      <c r="P24" s="23">
        <f>'GHG &amp; CO2 EMISSIONS'!O55</f>
        <v>75452.941413451495</v>
      </c>
      <c r="Q24" s="23">
        <f>'GHG &amp; CO2 EMISSIONS'!P55</f>
        <v>77276.823241097445</v>
      </c>
      <c r="R24" s="23">
        <f>'GHG &amp; CO2 EMISSIONS'!Q55</f>
        <v>75651.350722442337</v>
      </c>
      <c r="S24" s="23">
        <f>'GHG &amp; CO2 EMISSIONS'!R55</f>
        <v>78576.094552699462</v>
      </c>
      <c r="T24" s="23">
        <f>'GHG &amp; CO2 EMISSIONS'!S55</f>
        <v>77438.903467104203</v>
      </c>
      <c r="U24" s="23">
        <f>'GHG &amp; CO2 EMISSIONS'!T55</f>
        <v>77255.144248321376</v>
      </c>
      <c r="V24" s="23">
        <f>'GHG &amp; CO2 EMISSIONS'!U55</f>
        <v>75729.608284000569</v>
      </c>
      <c r="W24" s="23">
        <f>'GHG &amp; CO2 EMISSIONS'!V55</f>
        <v>74014.381172983703</v>
      </c>
      <c r="X24" s="23">
        <f>'GHG &amp; CO2 EMISSIONS'!W55</f>
        <v>71944.42791405943</v>
      </c>
      <c r="Y24" s="23">
        <f>'GHG &amp; CO2 EMISSIONS'!X55</f>
        <v>65920.943131293025</v>
      </c>
      <c r="Z24" s="23">
        <f>'GHG &amp; CO2 EMISSIONS'!Y55</f>
        <v>66508.628871802779</v>
      </c>
      <c r="AA24" s="23">
        <f>'GHG &amp; CO2 EMISSIONS'!Z55</f>
        <v>64829.761778499131</v>
      </c>
      <c r="AB24" s="132">
        <f>'GHG &amp; CO2 EMISSIONS'!AA55</f>
        <v>61510.853526356746</v>
      </c>
      <c r="AC24" s="65">
        <v>-0.06</v>
      </c>
      <c r="AD24" s="69">
        <f t="shared" si="2"/>
        <v>66142.923044402225</v>
      </c>
      <c r="AE24" s="36">
        <f t="shared" si="1"/>
        <v>-0.42682359439410456</v>
      </c>
      <c r="AF24" s="3"/>
      <c r="AG24" s="3"/>
      <c r="AH24" s="3"/>
      <c r="AI24" s="3"/>
      <c r="AJ24" s="3"/>
      <c r="AK24" s="3"/>
      <c r="AL24" s="3"/>
      <c r="AM24" s="3"/>
      <c r="AN24" s="3"/>
      <c r="AO24" s="3"/>
      <c r="AP24" s="3"/>
    </row>
    <row r="25" spans="1:42" s="2" customFormat="1" ht="15" customHeight="1">
      <c r="A25" s="55" t="s">
        <v>102</v>
      </c>
      <c r="B25" s="56" t="s">
        <v>70</v>
      </c>
      <c r="C25" s="134">
        <v>72050.764347826087</v>
      </c>
      <c r="D25" s="134">
        <v>331433.516</v>
      </c>
      <c r="E25" s="35">
        <f t="shared" si="3"/>
        <v>66286.703200000004</v>
      </c>
      <c r="F25" s="23">
        <f>'GHG &amp; CO2 EMISSIONS'!E99</f>
        <v>73367.554419059685</v>
      </c>
      <c r="G25" s="23">
        <f>'GHG &amp; CO2 EMISSIONS'!F99</f>
        <v>64113.275026127041</v>
      </c>
      <c r="H25" s="23">
        <f>'GHG &amp; CO2 EMISSIONS'!G99</f>
        <v>58682.585876668149</v>
      </c>
      <c r="I25" s="23">
        <f>'GHG &amp; CO2 EMISSIONS'!H99</f>
        <v>55098.132536904406</v>
      </c>
      <c r="J25" s="23">
        <f>'GHG &amp; CO2 EMISSIONS'!I99</f>
        <v>52582.405611387148</v>
      </c>
      <c r="K25" s="23">
        <f>'GHG &amp; CO2 EMISSIONS'!J99</f>
        <v>53097.986028216867</v>
      </c>
      <c r="L25" s="23">
        <f>'GHG &amp; CO2 EMISSIONS'!K99</f>
        <v>52952.359220231083</v>
      </c>
      <c r="M25" s="23">
        <f>'GHG &amp; CO2 EMISSIONS'!L99</f>
        <v>52747.072715794588</v>
      </c>
      <c r="N25" s="23">
        <f>'GHG &amp; CO2 EMISSIONS'!M99</f>
        <v>52014.270218203448</v>
      </c>
      <c r="O25" s="23">
        <f>'GHG &amp; CO2 EMISSIONS'!N99</f>
        <v>50761.759779213047</v>
      </c>
      <c r="P25" s="23">
        <f>'GHG &amp; CO2 EMISSIONS'!O99</f>
        <v>48838.636976195587</v>
      </c>
      <c r="Q25" s="23">
        <f>'GHG &amp; CO2 EMISSIONS'!P99</f>
        <v>51068.494430180013</v>
      </c>
      <c r="R25" s="23">
        <f>'GHG &amp; CO2 EMISSIONS'!Q99</f>
        <v>49794.41940569492</v>
      </c>
      <c r="S25" s="23">
        <f>'GHG &amp; CO2 EMISSIONS'!R99</f>
        <v>50028.554635762557</v>
      </c>
      <c r="T25" s="23">
        <f>'GHG &amp; CO2 EMISSIONS'!S99</f>
        <v>50647.910219017831</v>
      </c>
      <c r="U25" s="23">
        <f>'GHG &amp; CO2 EMISSIONS'!T99</f>
        <v>50615.548329895864</v>
      </c>
      <c r="V25" s="23">
        <f>'GHG &amp; CO2 EMISSIONS'!U99</f>
        <v>50635.227432836939</v>
      </c>
      <c r="W25" s="23">
        <f>'GHG &amp; CO2 EMISSIONS'!V99</f>
        <v>48831.190028373632</v>
      </c>
      <c r="X25" s="23">
        <f>'GHG &amp; CO2 EMISSIONS'!W99</f>
        <v>49306.759947043567</v>
      </c>
      <c r="Y25" s="23">
        <f>'GHG &amp; CO2 EMISSIONS'!X99</f>
        <v>45087.153723785239</v>
      </c>
      <c r="Z25" s="23">
        <f>'GHG &amp; CO2 EMISSIONS'!Y99</f>
        <v>45839.555396250391</v>
      </c>
      <c r="AA25" s="23">
        <f>'GHG &amp; CO2 EMISSIONS'!Z99</f>
        <v>44754.808543622625</v>
      </c>
      <c r="AB25" s="132">
        <f>'GHG &amp; CO2 EMISSIONS'!AA99</f>
        <v>42396.044454867093</v>
      </c>
      <c r="AC25" s="65">
        <v>-0.08</v>
      </c>
      <c r="AD25" s="69">
        <f t="shared" si="2"/>
        <v>45476.864413113777</v>
      </c>
      <c r="AE25" s="36">
        <f t="shared" si="1"/>
        <v>-0.36882190182503038</v>
      </c>
      <c r="AF25" s="3"/>
      <c r="AG25" s="3"/>
      <c r="AH25" s="3"/>
      <c r="AI25" s="3"/>
      <c r="AJ25" s="3"/>
      <c r="AK25" s="3"/>
      <c r="AL25" s="3"/>
      <c r="AM25" s="3"/>
      <c r="AN25" s="3"/>
      <c r="AO25" s="3"/>
      <c r="AP25" s="3"/>
    </row>
    <row r="26" spans="1:42" s="2" customFormat="1" ht="15" customHeight="1">
      <c r="A26" s="55" t="s">
        <v>102</v>
      </c>
      <c r="B26" s="56" t="s">
        <v>63</v>
      </c>
      <c r="C26" s="134">
        <v>49414.38630434782</v>
      </c>
      <c r="D26" s="134">
        <v>227306.177</v>
      </c>
      <c r="E26" s="35">
        <f t="shared" si="3"/>
        <v>45461.235399999998</v>
      </c>
      <c r="F26" s="23">
        <f>'GHG &amp; CO2 EMISSIONS'!E71</f>
        <v>48020.049662313329</v>
      </c>
      <c r="G26" s="23">
        <f>'GHG &amp; CO2 EMISSIONS'!F71</f>
        <v>49979.147144831339</v>
      </c>
      <c r="H26" s="23">
        <f>'GHG &amp; CO2 EMISSIONS'!G71</f>
        <v>30947.151163045037</v>
      </c>
      <c r="I26" s="23">
        <f>'GHG &amp; CO2 EMISSIONS'!H71</f>
        <v>24825.12948426896</v>
      </c>
      <c r="J26" s="23">
        <f>'GHG &amp; CO2 EMISSIONS'!I71</f>
        <v>23435.230942393435</v>
      </c>
      <c r="K26" s="23">
        <f>'GHG &amp; CO2 EMISSIONS'!J71</f>
        <v>22401.484977664761</v>
      </c>
      <c r="L26" s="23">
        <f>'GHG &amp; CO2 EMISSIONS'!K71</f>
        <v>23371.656478383589</v>
      </c>
      <c r="M26" s="23">
        <f>'GHG &amp; CO2 EMISSIONS'!L71</f>
        <v>22918.837929334783</v>
      </c>
      <c r="N26" s="23">
        <f>'GHG &amp; CO2 EMISSIONS'!M71</f>
        <v>23809.769972785049</v>
      </c>
      <c r="O26" s="23">
        <f>'GHG &amp; CO2 EMISSIONS'!N71</f>
        <v>21001.821984186099</v>
      </c>
      <c r="P26" s="23">
        <f>'GHG &amp; CO2 EMISSIONS'!O71</f>
        <v>19394.234220592611</v>
      </c>
      <c r="Q26" s="23">
        <f>'GHG &amp; CO2 EMISSIONS'!P71</f>
        <v>20166.666987267825</v>
      </c>
      <c r="R26" s="23">
        <f>'GHG &amp; CO2 EMISSIONS'!Q71</f>
        <v>20523.616261203002</v>
      </c>
      <c r="S26" s="23">
        <f>'GHG &amp; CO2 EMISSIONS'!R71</f>
        <v>20689.902794629765</v>
      </c>
      <c r="T26" s="23">
        <f>'GHG &amp; CO2 EMISSIONS'!S71</f>
        <v>21488.797789666511</v>
      </c>
      <c r="U26" s="23">
        <f>'GHG &amp; CO2 EMISSIONS'!T71</f>
        <v>22335.376872330969</v>
      </c>
      <c r="V26" s="23">
        <f>'GHG &amp; CO2 EMISSIONS'!U71</f>
        <v>22658.49884255719</v>
      </c>
      <c r="W26" s="23">
        <f>'GHG &amp; CO2 EMISSIONS'!V71</f>
        <v>24590.434823569616</v>
      </c>
      <c r="X26" s="23">
        <f>'GHG &amp; CO2 EMISSIONS'!W71</f>
        <v>23722.79376557318</v>
      </c>
      <c r="Y26" s="23">
        <f>'GHG &amp; CO2 EMISSIONS'!X71</f>
        <v>19713.669153391525</v>
      </c>
      <c r="Z26" s="23">
        <f>'GHG &amp; CO2 EMISSIONS'!Y71</f>
        <v>20632.756603445512</v>
      </c>
      <c r="AA26" s="23">
        <f>'GHG &amp; CO2 EMISSIONS'!Z71</f>
        <v>20995.270273141963</v>
      </c>
      <c r="AB26" s="132">
        <f>'GHG &amp; CO2 EMISSIONS'!AA71</f>
        <v>20971.421836539244</v>
      </c>
      <c r="AC26" s="65">
        <v>-0.08</v>
      </c>
      <c r="AD26" s="69">
        <f t="shared" si="2"/>
        <v>21207.182326418286</v>
      </c>
      <c r="AE26" s="36">
        <f t="shared" si="1"/>
        <v>-0.57082979446913962</v>
      </c>
      <c r="AF26" s="3"/>
      <c r="AG26" s="3"/>
      <c r="AH26" s="3"/>
      <c r="AI26" s="3"/>
      <c r="AJ26" s="3"/>
      <c r="AK26" s="3"/>
      <c r="AL26" s="3"/>
      <c r="AM26" s="3"/>
      <c r="AN26" s="3"/>
      <c r="AO26" s="3"/>
      <c r="AP26" s="3"/>
    </row>
    <row r="27" spans="1:42" s="2" customFormat="1" ht="15" customHeight="1">
      <c r="A27" s="55" t="s">
        <v>102</v>
      </c>
      <c r="B27" s="56" t="s">
        <v>54</v>
      </c>
      <c r="C27" s="134">
        <v>42622.312391304346</v>
      </c>
      <c r="D27" s="134">
        <v>196062.63699999999</v>
      </c>
      <c r="E27" s="35">
        <f t="shared" si="3"/>
        <v>39212.527399999999</v>
      </c>
      <c r="F27" s="23">
        <f>'GHG &amp; CO2 EMISSIONS'!E35</f>
        <v>40273.576230402396</v>
      </c>
      <c r="G27" s="23">
        <f>'GHG &amp; CO2 EMISSIONS'!F35</f>
        <v>37398.493564635035</v>
      </c>
      <c r="H27" s="23">
        <f>'GHG &amp; CO2 EMISSIONS'!G35</f>
        <v>27212.185702939467</v>
      </c>
      <c r="I27" s="23">
        <f>'GHG &amp; CO2 EMISSIONS'!H35</f>
        <v>21747.878290732231</v>
      </c>
      <c r="J27" s="23">
        <f>'GHG &amp; CO2 EMISSIONS'!I35</f>
        <v>22220.199455612998</v>
      </c>
      <c r="K27" s="23">
        <f>'GHG &amp; CO2 EMISSIONS'!J35</f>
        <v>20057.119897997287</v>
      </c>
      <c r="L27" s="23">
        <f>'GHG &amp; CO2 EMISSIONS'!K35</f>
        <v>20998.017763359465</v>
      </c>
      <c r="M27" s="23">
        <f>'GHG &amp; CO2 EMISSIONS'!L35</f>
        <v>20708.904168614918</v>
      </c>
      <c r="N27" s="23">
        <f>'GHG &amp; CO2 EMISSIONS'!M35</f>
        <v>18983.757570614875</v>
      </c>
      <c r="O27" s="23">
        <f>'GHG &amp; CO2 EMISSIONS'!N35</f>
        <v>17820.070386220035</v>
      </c>
      <c r="P27" s="23">
        <f>'GHG &amp; CO2 EMISSIONS'!O35</f>
        <v>17441.798323755243</v>
      </c>
      <c r="Q27" s="23">
        <f>'GHG &amp; CO2 EMISSIONS'!P35</f>
        <v>17875.07828953414</v>
      </c>
      <c r="R27" s="23">
        <f>'GHG &amp; CO2 EMISSIONS'!Q35</f>
        <v>17287.029014405485</v>
      </c>
      <c r="S27" s="23">
        <f>'GHG &amp; CO2 EMISSIONS'!R35</f>
        <v>19219.738938378396</v>
      </c>
      <c r="T27" s="23">
        <f>'GHG &amp; CO2 EMISSIONS'!S35</f>
        <v>19356.250078174256</v>
      </c>
      <c r="U27" s="23">
        <f>'GHG &amp; CO2 EMISSIONS'!T35</f>
        <v>19132.888732804902</v>
      </c>
      <c r="V27" s="23">
        <f>'GHG &amp; CO2 EMISSIONS'!U35</f>
        <v>18478.014763211129</v>
      </c>
      <c r="W27" s="23">
        <f>'GHG &amp; CO2 EMISSIONS'!V35</f>
        <v>22029.26382578542</v>
      </c>
      <c r="X27" s="23">
        <f>'GHG &amp; CO2 EMISSIONS'!W35</f>
        <v>19930.143286510491</v>
      </c>
      <c r="Y27" s="23">
        <f>'GHG &amp; CO2 EMISSIONS'!X35</f>
        <v>16494.962105811479</v>
      </c>
      <c r="Z27" s="23">
        <f>'GHG &amp; CO2 EMISSIONS'!Y35</f>
        <v>21096.261592860537</v>
      </c>
      <c r="AA27" s="23">
        <f>'GHG &amp; CO2 EMISSIONS'!Z35</f>
        <v>21053.638211557161</v>
      </c>
      <c r="AB27" s="132">
        <f>'GHG &amp; CO2 EMISSIONS'!AA35</f>
        <v>19941.947339750324</v>
      </c>
      <c r="AC27" s="65">
        <v>-0.08</v>
      </c>
      <c r="AD27" s="69">
        <f t="shared" si="2"/>
        <v>19703.390507297998</v>
      </c>
      <c r="AE27" s="36">
        <f t="shared" si="1"/>
        <v>-0.53772122154222179</v>
      </c>
      <c r="AF27" s="3"/>
      <c r="AG27" s="3"/>
      <c r="AH27" s="3"/>
      <c r="AI27" s="3"/>
      <c r="AJ27" s="3"/>
      <c r="AK27" s="3"/>
      <c r="AL27" s="3"/>
      <c r="AM27" s="3"/>
      <c r="AN27" s="3"/>
      <c r="AO27" s="3"/>
      <c r="AP27" s="3"/>
    </row>
    <row r="28" spans="1:42" s="2" customFormat="1" ht="15" customHeight="1">
      <c r="A28" s="55" t="s">
        <v>102</v>
      </c>
      <c r="B28" s="56" t="s">
        <v>62</v>
      </c>
      <c r="C28" s="134">
        <v>25909.158695652171</v>
      </c>
      <c r="D28" s="134">
        <v>119182.13</v>
      </c>
      <c r="E28" s="35">
        <f t="shared" si="3"/>
        <v>23836.425999999999</v>
      </c>
      <c r="F28" s="23">
        <f>'GHG &amp; CO2 EMISSIONS'!E67</f>
        <v>26020.479370044981</v>
      </c>
      <c r="G28" s="23">
        <f>'GHG &amp; CO2 EMISSIONS'!F67</f>
        <v>24130.488458216263</v>
      </c>
      <c r="H28" s="23">
        <f>'GHG &amp; CO2 EMISSIONS'!G67</f>
        <v>19359.738627598548</v>
      </c>
      <c r="I28" s="23">
        <f>'GHG &amp; CO2 EMISSIONS'!H67</f>
        <v>15903.167082631675</v>
      </c>
      <c r="J28" s="23">
        <f>'GHG &amp; CO2 EMISSIONS'!I67</f>
        <v>13956.168692997828</v>
      </c>
      <c r="K28" s="23">
        <f>'GHG &amp; CO2 EMISSIONS'!J67</f>
        <v>12587.643552977126</v>
      </c>
      <c r="L28" s="23">
        <f>'GHG &amp; CO2 EMISSIONS'!K67</f>
        <v>12637.112864852788</v>
      </c>
      <c r="M28" s="23">
        <f>'GHG &amp; CO2 EMISSIONS'!L67</f>
        <v>12078.165586715204</v>
      </c>
      <c r="N28" s="23">
        <f>'GHG &amp; CO2 EMISSIONS'!M67</f>
        <v>11574.115870303654</v>
      </c>
      <c r="O28" s="23">
        <f>'GHG &amp; CO2 EMISSIONS'!N67</f>
        <v>10787.863311660856</v>
      </c>
      <c r="P28" s="23">
        <f>'GHG &amp; CO2 EMISSIONS'!O67</f>
        <v>10166.473965914365</v>
      </c>
      <c r="Q28" s="23">
        <f>'GHG &amp; CO2 EMISSIONS'!P67</f>
        <v>10758.816086645795</v>
      </c>
      <c r="R28" s="23">
        <f>'GHG &amp; CO2 EMISSIONS'!Q67</f>
        <v>10726.707390095991</v>
      </c>
      <c r="S28" s="23">
        <f>'GHG &amp; CO2 EMISSIONS'!R67</f>
        <v>10921.104399115855</v>
      </c>
      <c r="T28" s="23">
        <f>'GHG &amp; CO2 EMISSIONS'!S67</f>
        <v>10862.535296151789</v>
      </c>
      <c r="U28" s="23">
        <f>'GHG &amp; CO2 EMISSIONS'!T67</f>
        <v>11020.074293871654</v>
      </c>
      <c r="V28" s="23">
        <f>'GHG &amp; CO2 EMISSIONS'!U67</f>
        <v>11489.424316160123</v>
      </c>
      <c r="W28" s="23">
        <f>'GHG &amp; CO2 EMISSIONS'!V67</f>
        <v>11935.204897422544</v>
      </c>
      <c r="X28" s="23">
        <f>'GHG &amp; CO2 EMISSIONS'!W67</f>
        <v>11474.903238343326</v>
      </c>
      <c r="Y28" s="23">
        <f>'GHG &amp; CO2 EMISSIONS'!X67</f>
        <v>10790.249820103823</v>
      </c>
      <c r="Z28" s="23">
        <f>'GHG &amp; CO2 EMISSIONS'!Y67</f>
        <v>11871.067346909666</v>
      </c>
      <c r="AA28" s="23">
        <f>'GHG &amp; CO2 EMISSIONS'!Z67</f>
        <v>11077.410234415815</v>
      </c>
      <c r="AB28" s="132">
        <f>'GHG &amp; CO2 EMISSIONS'!AA67</f>
        <v>10894.224206957851</v>
      </c>
      <c r="AC28" s="65">
        <v>-0.08</v>
      </c>
      <c r="AD28" s="69">
        <f t="shared" si="2"/>
        <v>11221.570969346096</v>
      </c>
      <c r="AE28" s="36">
        <f t="shared" si="1"/>
        <v>-0.56688786767788057</v>
      </c>
      <c r="AF28" s="3"/>
      <c r="AG28" s="3"/>
      <c r="AH28" s="3"/>
      <c r="AI28" s="3"/>
      <c r="AJ28" s="3"/>
      <c r="AK28" s="3"/>
      <c r="AL28" s="3"/>
      <c r="AM28" s="3"/>
      <c r="AN28" s="3"/>
      <c r="AO28" s="3"/>
      <c r="AP28" s="3"/>
    </row>
    <row r="29" spans="1:42" s="2" customFormat="1" ht="15" customHeight="1">
      <c r="A29" s="55" t="s">
        <v>102</v>
      </c>
      <c r="B29" s="56" t="s">
        <v>71</v>
      </c>
      <c r="C29" s="134">
        <v>20354.041956521738</v>
      </c>
      <c r="D29" s="134">
        <v>93628.592999999993</v>
      </c>
      <c r="E29" s="35">
        <f t="shared" si="3"/>
        <v>18725.7186</v>
      </c>
      <c r="F29" s="23">
        <f>'GHG &amp; CO2 EMISSIONS'!E103</f>
        <v>18802.399452784121</v>
      </c>
      <c r="G29" s="23">
        <f>'GHG &amp; CO2 EMISSIONS'!F103</f>
        <v>17446.781684874746</v>
      </c>
      <c r="H29" s="23">
        <f>'GHG &amp; CO2 EMISSIONS'!G103</f>
        <v>17434.778451420363</v>
      </c>
      <c r="I29" s="23">
        <f>'GHG &amp; CO2 EMISSIONS'!H103</f>
        <v>17675.708785211886</v>
      </c>
      <c r="J29" s="23">
        <f>'GHG &amp; CO2 EMISSIONS'!I103</f>
        <v>18080.754443395574</v>
      </c>
      <c r="K29" s="23">
        <f>'GHG &amp; CO2 EMISSIONS'!J103</f>
        <v>18857.184289125136</v>
      </c>
      <c r="L29" s="23">
        <f>'GHG &amp; CO2 EMISSIONS'!K103</f>
        <v>19445.629609584917</v>
      </c>
      <c r="M29" s="23">
        <f>'GHG &amp; CO2 EMISSIONS'!L103</f>
        <v>19986.370859358474</v>
      </c>
      <c r="N29" s="23">
        <f>'GHG &amp; CO2 EMISSIONS'!M103</f>
        <v>19575.048989705083</v>
      </c>
      <c r="O29" s="23">
        <f>'GHG &amp; CO2 EMISSIONS'!N103</f>
        <v>18956.067221448131</v>
      </c>
      <c r="P29" s="23">
        <f>'GHG &amp; CO2 EMISSIONS'!O103</f>
        <v>18736.445003653054</v>
      </c>
      <c r="Q29" s="23">
        <f>'GHG &amp; CO2 EMISSIONS'!P103</f>
        <v>20005.413188707615</v>
      </c>
      <c r="R29" s="23">
        <f>'GHG &amp; CO2 EMISSIONS'!Q103</f>
        <v>20277.58814101258</v>
      </c>
      <c r="S29" s="23">
        <f>'GHG &amp; CO2 EMISSIONS'!R103</f>
        <v>19947.853220120749</v>
      </c>
      <c r="T29" s="23">
        <f>'GHG &amp; CO2 EMISSIONS'!S103</f>
        <v>20344.781957991283</v>
      </c>
      <c r="U29" s="23">
        <f>'GHG &amp; CO2 EMISSIONS'!T103</f>
        <v>20595.823651929808</v>
      </c>
      <c r="V29" s="23">
        <f>'GHG &amp; CO2 EMISSIONS'!U103</f>
        <v>20769.408795361149</v>
      </c>
      <c r="W29" s="23">
        <f>'GHG &amp; CO2 EMISSIONS'!V103</f>
        <v>20954.508610595785</v>
      </c>
      <c r="X29" s="23">
        <f>'GHG &amp; CO2 EMISSIONS'!W103</f>
        <v>21679.530388690873</v>
      </c>
      <c r="Y29" s="23">
        <f>'GHG &amp; CO2 EMISSIONS'!X103</f>
        <v>19510.652799819032</v>
      </c>
      <c r="Z29" s="23">
        <f>'GHG &amp; CO2 EMISSIONS'!Y103</f>
        <v>19741.37622970888</v>
      </c>
      <c r="AA29" s="23">
        <f>'GHG &amp; CO2 EMISSIONS'!Z103</f>
        <v>19667.905509234126</v>
      </c>
      <c r="AB29" s="132">
        <f>'GHG &amp; CO2 EMISSIONS'!AA103</f>
        <v>19038.515203163675</v>
      </c>
      <c r="AC29" s="65">
        <v>-0.08</v>
      </c>
      <c r="AD29" s="69">
        <f t="shared" si="2"/>
        <v>19927.596026123319</v>
      </c>
      <c r="AE29" s="36">
        <f t="shared" si="1"/>
        <v>-2.0951412565098804E-2</v>
      </c>
      <c r="AF29" s="3"/>
      <c r="AG29" s="3"/>
      <c r="AH29" s="3"/>
      <c r="AI29" s="3"/>
      <c r="AJ29" s="3"/>
      <c r="AK29" s="3"/>
      <c r="AL29" s="3"/>
      <c r="AM29" s="3"/>
      <c r="AN29" s="3"/>
      <c r="AO29" s="3"/>
      <c r="AP29" s="3"/>
    </row>
    <row r="30" spans="1:42" s="2" customFormat="1" ht="15" customHeight="1">
      <c r="A30" s="57" t="s">
        <v>103</v>
      </c>
      <c r="B30" s="58" t="s">
        <v>84</v>
      </c>
      <c r="C30" s="134">
        <v>3323419.0638000001</v>
      </c>
      <c r="D30" s="134">
        <v>16617095.319</v>
      </c>
      <c r="E30" s="35">
        <f t="shared" si="3"/>
        <v>3323419.0638000001</v>
      </c>
      <c r="F30" s="23">
        <f>'GHG &amp; CO2 EMISSIONS'!E167</f>
        <v>3142797.4668935938</v>
      </c>
      <c r="G30" s="23">
        <f>'GHG &amp; CO2 EMISSIONS'!F167</f>
        <v>2987852.7589312261</v>
      </c>
      <c r="H30" s="23">
        <f>'GHG &amp; CO2 EMISSIONS'!G167</f>
        <v>2512071.4568659402</v>
      </c>
      <c r="I30" s="23">
        <f>'GHG &amp; CO2 EMISSIONS'!H167</f>
        <v>2378462.680180856</v>
      </c>
      <c r="J30" s="23">
        <f>'GHG &amp; CO2 EMISSIONS'!I167</f>
        <v>2117939.3946075412</v>
      </c>
      <c r="K30" s="23">
        <f>'GHG &amp; CO2 EMISSIONS'!J167</f>
        <v>2065422.633895864</v>
      </c>
      <c r="L30" s="23">
        <f>'GHG &amp; CO2 EMISSIONS'!K167</f>
        <v>2014841.1694391072</v>
      </c>
      <c r="M30" s="23">
        <f>'GHG &amp; CO2 EMISSIONS'!L167</f>
        <v>1895331.9403199404</v>
      </c>
      <c r="N30" s="23">
        <f>'GHG &amp; CO2 EMISSIONS'!M167</f>
        <v>1863352.3297372933</v>
      </c>
      <c r="O30" s="23">
        <f>'GHG &amp; CO2 EMISSIONS'!N167</f>
        <v>1893792.4963747538</v>
      </c>
      <c r="P30" s="23">
        <f>'GHG &amp; CO2 EMISSIONS'!O167</f>
        <v>1880426.7124194461</v>
      </c>
      <c r="Q30" s="23">
        <f>'GHG &amp; CO2 EMISSIONS'!P167</f>
        <v>1916832.391446946</v>
      </c>
      <c r="R30" s="23">
        <f>'GHG &amp; CO2 EMISSIONS'!Q167</f>
        <v>1896399.301260476</v>
      </c>
      <c r="S30" s="23">
        <f>'GHG &amp; CO2 EMISSIONS'!R167</f>
        <v>1927579.8442089872</v>
      </c>
      <c r="T30" s="23">
        <f>'GHG &amp; CO2 EMISSIONS'!S167</f>
        <v>1936302.3435028975</v>
      </c>
      <c r="U30" s="23">
        <f>'GHG &amp; CO2 EMISSIONS'!T167</f>
        <v>1953629.4875827809</v>
      </c>
      <c r="V30" s="23">
        <f>'GHG &amp; CO2 EMISSIONS'!U167</f>
        <v>2012876.1729748596</v>
      </c>
      <c r="W30" s="23">
        <f>'GHG &amp; CO2 EMISSIONS'!V167</f>
        <v>2010018.1807905533</v>
      </c>
      <c r="X30" s="23">
        <f>'GHG &amp; CO2 EMISSIONS'!W167</f>
        <v>2037071.7586961421</v>
      </c>
      <c r="Y30" s="23">
        <f>'GHG &amp; CO2 EMISSIONS'!X167</f>
        <v>1902898.0884484232</v>
      </c>
      <c r="Z30" s="23">
        <f>'GHG &amp; CO2 EMISSIONS'!Y167</f>
        <v>1997139.5675057301</v>
      </c>
      <c r="AA30" s="23">
        <f>'GHG &amp; CO2 EMISSIONS'!Z167</f>
        <v>2049760.3757819906</v>
      </c>
      <c r="AB30" s="132">
        <f>'GHG &amp; CO2 EMISSIONS'!AA167</f>
        <v>2071103.3392923996</v>
      </c>
      <c r="AC30" s="65">
        <v>0</v>
      </c>
      <c r="AD30" s="69">
        <f t="shared" si="2"/>
        <v>2011594.6259449371</v>
      </c>
      <c r="AE30" s="36">
        <f t="shared" si="1"/>
        <v>-0.39472134349350507</v>
      </c>
      <c r="AF30" s="3"/>
      <c r="AG30" s="3"/>
      <c r="AH30" s="3"/>
      <c r="AI30" s="3"/>
      <c r="AJ30" s="3"/>
      <c r="AK30" s="3"/>
      <c r="AL30" s="3"/>
      <c r="AM30" s="3"/>
      <c r="AN30" s="3"/>
      <c r="AO30" s="3"/>
      <c r="AP30" s="3"/>
    </row>
    <row r="31" spans="1:42" s="2" customFormat="1" ht="15.75" customHeight="1">
      <c r="A31" s="59" t="s">
        <v>103</v>
      </c>
      <c r="B31" s="60" t="s">
        <v>82</v>
      </c>
      <c r="C31" s="134">
        <v>920836.93259999994</v>
      </c>
      <c r="D31" s="134">
        <v>4604184.6629999997</v>
      </c>
      <c r="E31" s="35">
        <f t="shared" si="3"/>
        <v>920836.93259999994</v>
      </c>
      <c r="F31" s="23">
        <f>'GHG &amp; CO2 EMISSIONS'!E151</f>
        <v>962527.74592499365</v>
      </c>
      <c r="G31" s="23">
        <f>'GHG &amp; CO2 EMISSIONS'!F151</f>
        <v>875728.9217880168</v>
      </c>
      <c r="H31" s="23">
        <f>'GHG &amp; CO2 EMISSIONS'!G151</f>
        <v>819946.96668049169</v>
      </c>
      <c r="I31" s="23">
        <f>'GHG &amp; CO2 EMISSIONS'!H151</f>
        <v>728907.09019378724</v>
      </c>
      <c r="J31" s="23">
        <f>'GHG &amp; CO2 EMISSIONS'!I151</f>
        <v>622241.87909136305</v>
      </c>
      <c r="K31" s="23">
        <f>'GHG &amp; CO2 EMISSIONS'!J151</f>
        <v>578197.70361357927</v>
      </c>
      <c r="L31" s="23">
        <f>'GHG &amp; CO2 EMISSIONS'!K151</f>
        <v>531404.52958574193</v>
      </c>
      <c r="M31" s="23">
        <f>'GHG &amp; CO2 EMISSIONS'!L151</f>
        <v>513839.96897152287</v>
      </c>
      <c r="N31" s="23">
        <f>'GHG &amp; CO2 EMISSIONS'!M151</f>
        <v>495605.2756830423</v>
      </c>
      <c r="O31" s="23">
        <f>'GHG &amp; CO2 EMISSIONS'!N151</f>
        <v>464710.18919496605</v>
      </c>
      <c r="P31" s="23">
        <f>'GHG &amp; CO2 EMISSIONS'!O151</f>
        <v>441129.19266873924</v>
      </c>
      <c r="Q31" s="23">
        <f>'GHG &amp; CO2 EMISSIONS'!P151</f>
        <v>459229.08572165552</v>
      </c>
      <c r="R31" s="23">
        <f>'GHG &amp; CO2 EMISSIONS'!Q151</f>
        <v>443289.705219016</v>
      </c>
      <c r="S31" s="23">
        <f>'GHG &amp; CO2 EMISSIONS'!R151</f>
        <v>452604.49247362436</v>
      </c>
      <c r="T31" s="23">
        <f>'GHG &amp; CO2 EMISSIONS'!S151</f>
        <v>454850.50673553493</v>
      </c>
      <c r="U31" s="23">
        <f>'GHG &amp; CO2 EMISSIONS'!T151</f>
        <v>453541.15848061128</v>
      </c>
      <c r="V31" s="23">
        <f>'GHG &amp; CO2 EMISSIONS'!U151</f>
        <v>470659.43087687419</v>
      </c>
      <c r="W31" s="23">
        <f>'GHG &amp; CO2 EMISSIONS'!V151</f>
        <v>474135.56100864062</v>
      </c>
      <c r="X31" s="23">
        <f>'GHG &amp; CO2 EMISSIONS'!W151</f>
        <v>460158.18711400859</v>
      </c>
      <c r="Y31" s="23">
        <f>'GHG &amp; CO2 EMISSIONS'!X151</f>
        <v>399806.13999057154</v>
      </c>
      <c r="Z31" s="23">
        <f>'GHG &amp; CO2 EMISSIONS'!Y151</f>
        <v>416608.40769814164</v>
      </c>
      <c r="AA31" s="23">
        <f>'GHG &amp; CO2 EMISSIONS'!Z151</f>
        <v>437108.71610924171</v>
      </c>
      <c r="AB31" s="132">
        <f>'GHG &amp; CO2 EMISSIONS'!AA151</f>
        <v>425553.61198622611</v>
      </c>
      <c r="AC31" s="65">
        <v>0</v>
      </c>
      <c r="AD31" s="69">
        <f t="shared" si="2"/>
        <v>427847.01257963787</v>
      </c>
      <c r="AE31" s="36">
        <f t="shared" si="1"/>
        <v>-0.53537157619036413</v>
      </c>
      <c r="AF31" s="3"/>
      <c r="AG31" s="3"/>
      <c r="AH31" s="3"/>
      <c r="AI31" s="3"/>
      <c r="AJ31" s="3"/>
      <c r="AK31" s="3"/>
      <c r="AL31" s="3"/>
      <c r="AM31" s="3"/>
      <c r="AN31" s="3"/>
      <c r="AO31" s="3"/>
      <c r="AP31" s="3"/>
    </row>
    <row r="32" spans="1:42" s="2" customFormat="1" ht="15" customHeight="1">
      <c r="A32" s="59" t="s">
        <v>103</v>
      </c>
      <c r="B32" s="60" t="s">
        <v>51</v>
      </c>
      <c r="C32" s="134">
        <v>31321.790105263161</v>
      </c>
      <c r="D32" s="134">
        <v>148778.503</v>
      </c>
      <c r="E32" s="35">
        <f t="shared" si="3"/>
        <v>29755.7006</v>
      </c>
      <c r="F32" s="23">
        <f>'GHG &amp; CO2 EMISSIONS'!E19</f>
        <v>31546.320251384255</v>
      </c>
      <c r="G32" s="23">
        <f>'GHG &amp; CO2 EMISSIONS'!F19</f>
        <v>25021.258127998208</v>
      </c>
      <c r="H32" s="23">
        <f>'GHG &amp; CO2 EMISSIONS'!G19</f>
        <v>23134.505143703722</v>
      </c>
      <c r="I32" s="23">
        <f>'GHG &amp; CO2 EMISSIONS'!H19</f>
        <v>23122.502386360589</v>
      </c>
      <c r="J32" s="23">
        <f>'GHG &amp; CO2 EMISSIONS'!I19</f>
        <v>22206.747974025922</v>
      </c>
      <c r="K32" s="23">
        <f>'GHG &amp; CO2 EMISSIONS'!J19</f>
        <v>22875.231681564677</v>
      </c>
      <c r="L32" s="23">
        <f>'GHG &amp; CO2 EMISSIONS'!K19</f>
        <v>23366.340229528316</v>
      </c>
      <c r="M32" s="23">
        <f>'GHG &amp; CO2 EMISSIONS'!L19</f>
        <v>24748.202871789545</v>
      </c>
      <c r="N32" s="23">
        <f>'GHG &amp; CO2 EMISSIONS'!M19</f>
        <v>24885.896966683009</v>
      </c>
      <c r="O32" s="23">
        <f>'GHG &amp; CO2 EMISSIONS'!N19</f>
        <v>26204.31508060799</v>
      </c>
      <c r="P32" s="23">
        <f>'GHG &amp; CO2 EMISSIONS'!O19</f>
        <v>25826.808215609308</v>
      </c>
      <c r="Q32" s="23">
        <f>'GHG &amp; CO2 EMISSIONS'!P19</f>
        <v>27007.330496314258</v>
      </c>
      <c r="R32" s="23">
        <f>'GHG &amp; CO2 EMISSIONS'!Q19</f>
        <v>28100.998848519652</v>
      </c>
      <c r="S32" s="23">
        <f>'GHG &amp; CO2 EMISSIONS'!R19</f>
        <v>29537.889458490114</v>
      </c>
      <c r="T32" s="23">
        <f>'GHG &amp; CO2 EMISSIONS'!S19</f>
        <v>29497.650461318994</v>
      </c>
      <c r="U32" s="23">
        <f>'GHG &amp; CO2 EMISSIONS'!T19</f>
        <v>29962.838535401308</v>
      </c>
      <c r="V32" s="23">
        <f>'GHG &amp; CO2 EMISSIONS'!U19</f>
        <v>30356.467842292685</v>
      </c>
      <c r="W32" s="23">
        <f>'GHG &amp; CO2 EMISSIONS'!V19</f>
        <v>31781.251520210895</v>
      </c>
      <c r="X32" s="23">
        <f>'GHG &amp; CO2 EMISSIONS'!W19</f>
        <v>30828.118474723411</v>
      </c>
      <c r="Y32" s="23">
        <f>'GHG &amp; CO2 EMISSIONS'!X19</f>
        <v>28677.704241305044</v>
      </c>
      <c r="Z32" s="23">
        <f>'GHG &amp; CO2 EMISSIONS'!Y19</f>
        <v>28289.566154906315</v>
      </c>
      <c r="AA32" s="23">
        <f>'GHG &amp; CO2 EMISSIONS'!Z19</f>
        <v>28002.009903162594</v>
      </c>
      <c r="AB32" s="132">
        <f>'GHG &amp; CO2 EMISSIONS'!AA19</f>
        <v>26265.917163249076</v>
      </c>
      <c r="AC32" s="65">
        <v>-0.05</v>
      </c>
      <c r="AD32" s="69">
        <f t="shared" si="2"/>
        <v>28412.66318746929</v>
      </c>
      <c r="AE32" s="36">
        <f t="shared" si="1"/>
        <v>-9.2878692693398657E-2</v>
      </c>
      <c r="AF32" s="3"/>
      <c r="AG32" s="3"/>
      <c r="AH32" s="3"/>
      <c r="AI32" s="3"/>
      <c r="AJ32" s="3"/>
      <c r="AK32" s="3"/>
      <c r="AL32" s="3"/>
      <c r="AM32" s="3"/>
      <c r="AN32" s="3"/>
      <c r="AO32" s="3"/>
      <c r="AP32" s="3"/>
    </row>
    <row r="33" spans="1:42" s="2" customFormat="1" ht="14.25" customHeight="1">
      <c r="A33" s="51" t="s">
        <v>104</v>
      </c>
      <c r="B33" s="52" t="s">
        <v>105</v>
      </c>
      <c r="C33" s="134">
        <v>1261331.4182978724</v>
      </c>
      <c r="D33" s="134">
        <v>5928257.6660000002</v>
      </c>
      <c r="E33" s="35">
        <f t="shared" si="3"/>
        <v>1185651.5331999999</v>
      </c>
      <c r="F33" s="23">
        <f>'GHG &amp; CO2 EMISSIONS'!E159</f>
        <v>1269430.6322014432</v>
      </c>
      <c r="G33" s="23">
        <f>'GHG &amp; CO2 EMISSIONS'!F159</f>
        <v>1283622.8771759272</v>
      </c>
      <c r="H33" s="23">
        <f>'GHG &amp; CO2 EMISSIONS'!G159</f>
        <v>1295413.0293839129</v>
      </c>
      <c r="I33" s="23">
        <f>'GHG &amp; CO2 EMISSIONS'!H159</f>
        <v>1290874.0472512813</v>
      </c>
      <c r="J33" s="23">
        <f>'GHG &amp; CO2 EMISSIONS'!I159</f>
        <v>1351092.0232529247</v>
      </c>
      <c r="K33" s="23">
        <f>'GHG &amp; CO2 EMISSIONS'!J159</f>
        <v>1371412.5317875964</v>
      </c>
      <c r="L33" s="23">
        <f>'GHG &amp; CO2 EMISSIONS'!K159</f>
        <v>1384052.3634711681</v>
      </c>
      <c r="M33" s="23">
        <f>'GHG &amp; CO2 EMISSIONS'!L159</f>
        <v>1375902.7329194997</v>
      </c>
      <c r="N33" s="23">
        <f>'GHG &amp; CO2 EMISSIONS'!M159</f>
        <v>1327823.7307702771</v>
      </c>
      <c r="O33" s="23">
        <f>'GHG &amp; CO2 EMISSIONS'!N159</f>
        <v>1351773.8860427472</v>
      </c>
      <c r="P33" s="23">
        <f>'GHG &amp; CO2 EMISSIONS'!O159</f>
        <v>1371338.7018497712</v>
      </c>
      <c r="Q33" s="23">
        <f>'GHG &amp; CO2 EMISSIONS'!P159</f>
        <v>1346361.7133259026</v>
      </c>
      <c r="R33" s="23">
        <f>'GHG &amp; CO2 EMISSIONS'!Q159</f>
        <v>1371006.4355929806</v>
      </c>
      <c r="S33" s="23">
        <f>'GHG &amp; CO2 EMISSIONS'!R159</f>
        <v>1378193.3336292186</v>
      </c>
      <c r="T33" s="23">
        <f>'GHG &amp; CO2 EMISSIONS'!S159</f>
        <v>1370385.2425706722</v>
      </c>
      <c r="U33" s="23">
        <f>'GHG &amp; CO2 EMISSIONS'!T159</f>
        <v>1378031.5256946911</v>
      </c>
      <c r="V33" s="23">
        <f>'GHG &amp; CO2 EMISSIONS'!U159</f>
        <v>1356458.656503486</v>
      </c>
      <c r="W33" s="23">
        <f>'GHG &amp; CO2 EMISSIONS'!V159</f>
        <v>1391809.2198724723</v>
      </c>
      <c r="X33" s="23">
        <f>'GHG &amp; CO2 EMISSIONS'!W159</f>
        <v>1318894.5480210325</v>
      </c>
      <c r="Y33" s="23">
        <f>'GHG &amp; CO2 EMISSIONS'!X159</f>
        <v>1246948.029526829</v>
      </c>
      <c r="Z33" s="23">
        <f>'GHG &amp; CO2 EMISSIONS'!Y159</f>
        <v>1300198.14770784</v>
      </c>
      <c r="AA33" s="23">
        <f>'GHG &amp; CO2 EMISSIONS'!Z159</f>
        <v>1350700.4279910435</v>
      </c>
      <c r="AB33" s="132">
        <f>'GHG &amp; CO2 EMISSIONS'!AA159</f>
        <v>1393327.1980531099</v>
      </c>
      <c r="AC33" s="65">
        <v>-0.06</v>
      </c>
      <c r="AD33" s="69">
        <f t="shared" si="2"/>
        <v>1322013.6702599707</v>
      </c>
      <c r="AE33" s="36">
        <f>(AD33/C33)-1</f>
        <v>4.8109680835499269E-2</v>
      </c>
      <c r="AF33" s="3"/>
      <c r="AG33" s="3"/>
      <c r="AH33" s="3"/>
      <c r="AI33" s="3"/>
      <c r="AJ33" s="3"/>
      <c r="AK33" s="3"/>
      <c r="AL33" s="3"/>
      <c r="AM33" s="3"/>
      <c r="AN33" s="3"/>
      <c r="AO33" s="3"/>
      <c r="AP33" s="3"/>
    </row>
    <row r="34" spans="1:42" s="2" customFormat="1" ht="14.25" customHeight="1">
      <c r="A34" s="26" t="s">
        <v>104</v>
      </c>
      <c r="B34" s="19" t="s">
        <v>155</v>
      </c>
      <c r="C34" s="134">
        <v>779904.14399999997</v>
      </c>
      <c r="D34" s="147">
        <v>3412080.63</v>
      </c>
      <c r="E34" s="133">
        <f>D34/5</f>
        <v>682416.12599999993</v>
      </c>
      <c r="F34" s="23">
        <f>'GHG &amp; CO2 EMISSIONS'!E155</f>
        <v>805610.85043472145</v>
      </c>
      <c r="G34" s="23">
        <f>'GHG &amp; CO2 EMISSIONS'!F155</f>
        <v>814428.74390115147</v>
      </c>
      <c r="H34" s="23">
        <f>'GHG &amp; CO2 EMISSIONS'!G155</f>
        <v>794096.75139463844</v>
      </c>
      <c r="I34" s="23">
        <f>'GHG &amp; CO2 EMISSIONS'!H155</f>
        <v>775060.91145130724</v>
      </c>
      <c r="J34" s="23">
        <f>'GHG &amp; CO2 EMISSIONS'!I155</f>
        <v>762886.95123865909</v>
      </c>
      <c r="K34" s="23">
        <f>'GHG &amp; CO2 EMISSIONS'!J155</f>
        <v>756780.0480092651</v>
      </c>
      <c r="L34" s="23">
        <f>'GHG &amp; CO2 EMISSIONS'!K155</f>
        <v>777414.37154482247</v>
      </c>
      <c r="M34" s="23">
        <f>'GHG &amp; CO2 EMISSIONS'!L155</f>
        <v>753198.84760564333</v>
      </c>
      <c r="N34" s="23">
        <f>'GHG &amp; CO2 EMISSIONS'!M155</f>
        <v>751677.95483105327</v>
      </c>
      <c r="O34" s="23">
        <f>'GHG &amp; CO2 EMISSIONS'!N155</f>
        <v>722572.24009482434</v>
      </c>
      <c r="P34" s="23">
        <f>'GHG &amp; CO2 EMISSIONS'!O155</f>
        <v>722644.1781178586</v>
      </c>
      <c r="Q34" s="23">
        <f>'GHG &amp; CO2 EMISSIONS'!P155</f>
        <v>725811.66395253653</v>
      </c>
      <c r="R34" s="23">
        <f>'GHG &amp; CO2 EMISSIONS'!Q155</f>
        <v>704706.81096560881</v>
      </c>
      <c r="S34" s="23">
        <f>'GHG &amp; CO2 EMISSIONS'!R155</f>
        <v>710267.08739829704</v>
      </c>
      <c r="T34" s="23">
        <f>'GHG &amp; CO2 EMISSIONS'!S155</f>
        <v>706847.80640710099</v>
      </c>
      <c r="U34" s="23">
        <f>'GHG &amp; CO2 EMISSIONS'!T155</f>
        <v>698481.29824488051</v>
      </c>
      <c r="V34" s="23">
        <f>'GHG &amp; CO2 EMISSIONS'!U155</f>
        <v>691100.88167338574</v>
      </c>
      <c r="W34" s="23">
        <f>'GHG &amp; CO2 EMISSIONS'!V155</f>
        <v>678936.80846278428</v>
      </c>
      <c r="X34" s="23">
        <f>'GHG &amp; CO2 EMISSIONS'!W155</f>
        <v>657755.09696652868</v>
      </c>
      <c r="Y34" s="23">
        <f>'GHG &amp; CO2 EMISSIONS'!X155</f>
        <v>600794.79156791547</v>
      </c>
      <c r="Z34" s="23">
        <f>'GHG &amp; CO2 EMISSIONS'!Y155</f>
        <v>614637.87812504999</v>
      </c>
      <c r="AA34" s="23">
        <f>'GHG &amp; CO2 EMISSIONS'!Z155</f>
        <v>569042.69538846146</v>
      </c>
      <c r="AB34" s="132">
        <f>'GHG &amp; CO2 EMISSIONS'!AA155</f>
        <v>585241.17895513203</v>
      </c>
      <c r="AC34" s="65">
        <v>-0.125</v>
      </c>
      <c r="AD34" s="69">
        <f>AVERAGE(X34:AB34)</f>
        <v>605494.32820061757</v>
      </c>
      <c r="AE34" s="36">
        <f>(AD34/C34)-1</f>
        <v>-0.22362981033138662</v>
      </c>
      <c r="AF34" s="3"/>
      <c r="AG34" s="3"/>
      <c r="AH34" s="3"/>
      <c r="AI34" s="3"/>
      <c r="AJ34" s="3"/>
      <c r="AK34" s="3"/>
      <c r="AL34" s="3"/>
      <c r="AM34" s="3"/>
      <c r="AN34" s="3"/>
      <c r="AO34" s="3"/>
      <c r="AP34" s="3"/>
    </row>
    <row r="35" spans="1:42" s="2" customFormat="1" ht="15.75" customHeight="1">
      <c r="A35" s="51" t="s">
        <v>104</v>
      </c>
      <c r="B35" s="52" t="s">
        <v>108</v>
      </c>
      <c r="C35" s="134">
        <v>593998.46191489371</v>
      </c>
      <c r="D35" s="134">
        <v>2791792.7710000002</v>
      </c>
      <c r="E35" s="35">
        <f t="shared" si="3"/>
        <v>558358.55420000001</v>
      </c>
      <c r="F35" s="23">
        <f>'GHG &amp; CO2 EMISSIONS'!E171</f>
        <v>607748.75544612901</v>
      </c>
      <c r="G35" s="23">
        <f>'GHG &amp; CO2 EMISSIONS'!F171</f>
        <v>603138.22528745886</v>
      </c>
      <c r="H35" s="23">
        <f>'GHG &amp; CO2 EMISSIONS'!G171</f>
        <v>621534.92821716284</v>
      </c>
      <c r="I35" s="23">
        <f>'GHG &amp; CO2 EMISSIONS'!H171</f>
        <v>626611.05327568296</v>
      </c>
      <c r="J35" s="23">
        <f>'GHG &amp; CO2 EMISSIONS'!I171</f>
        <v>649033.63759113185</v>
      </c>
      <c r="K35" s="23">
        <f>'GHG &amp; CO2 EMISSIONS'!J171</f>
        <v>667914.70678717794</v>
      </c>
      <c r="L35" s="23">
        <f>'GHG &amp; CO2 EMISSIONS'!K171</f>
        <v>689261.8862737118</v>
      </c>
      <c r="M35" s="23">
        <f>'GHG &amp; CO2 EMISSIONS'!L171</f>
        <v>705539.08656566974</v>
      </c>
      <c r="N35" s="23">
        <f>'GHG &amp; CO2 EMISSIONS'!M171</f>
        <v>712157.94597128138</v>
      </c>
      <c r="O35" s="23">
        <f>'GHG &amp; CO2 EMISSIONS'!N171</f>
        <v>722853.4518593743</v>
      </c>
      <c r="P35" s="23">
        <f>'GHG &amp; CO2 EMISSIONS'!O171</f>
        <v>747738.55802425323</v>
      </c>
      <c r="Q35" s="23">
        <f>'GHG &amp; CO2 EMISSIONS'!P171</f>
        <v>738885.29375832726</v>
      </c>
      <c r="R35" s="23">
        <f>'GHG &amp; CO2 EMISSIONS'!Q171</f>
        <v>744657.3924466694</v>
      </c>
      <c r="S35" s="23">
        <f>'GHG &amp; CO2 EMISSIONS'!R171</f>
        <v>763142.98248201737</v>
      </c>
      <c r="T35" s="23">
        <f>'GHG &amp; CO2 EMISSIONS'!S171</f>
        <v>766724.22051172797</v>
      </c>
      <c r="U35" s="23">
        <f>'GHG &amp; CO2 EMISSIONS'!T171</f>
        <v>761492.70593701443</v>
      </c>
      <c r="V35" s="23">
        <f>'GHG &amp; CO2 EMISSIONS'!U171</f>
        <v>756771.99628981901</v>
      </c>
      <c r="W35" s="23">
        <f>'GHG &amp; CO2 EMISSIONS'!V171</f>
        <v>776521.15388411214</v>
      </c>
      <c r="X35" s="23">
        <f>'GHG &amp; CO2 EMISSIONS'!W171</f>
        <v>759573.39699560369</v>
      </c>
      <c r="Y35" s="23">
        <f>'GHG &amp; CO2 EMISSIONS'!X171</f>
        <v>716134.72748034785</v>
      </c>
      <c r="Z35" s="23">
        <f>'GHG &amp; CO2 EMISSIONS'!Y171</f>
        <v>728504.46324892098</v>
      </c>
      <c r="AA35" s="23">
        <f>'GHG &amp; CO2 EMISSIONS'!Z171</f>
        <v>738322.90169395809</v>
      </c>
      <c r="AB35" s="132">
        <f>'GHG &amp; CO2 EMISSIONS'!AA171</f>
        <v>743856.56428306072</v>
      </c>
      <c r="AC35" s="65">
        <v>-0.06</v>
      </c>
      <c r="AD35" s="69">
        <f t="shared" si="2"/>
        <v>737278.41074037831</v>
      </c>
      <c r="AE35" s="36">
        <f t="shared" si="1"/>
        <v>0.24121265964828931</v>
      </c>
      <c r="AF35" s="3"/>
      <c r="AG35" s="3"/>
      <c r="AH35" s="3"/>
      <c r="AI35" s="3"/>
      <c r="AJ35" s="3"/>
      <c r="AK35" s="3"/>
      <c r="AL35" s="3"/>
      <c r="AM35" s="3"/>
      <c r="AN35" s="3"/>
      <c r="AO35" s="3"/>
      <c r="AP35" s="3"/>
    </row>
    <row r="36" spans="1:42" s="2" customFormat="1" ht="15" customHeight="1">
      <c r="A36" s="51" t="s">
        <v>104</v>
      </c>
      <c r="B36" s="52" t="s">
        <v>106</v>
      </c>
      <c r="C36" s="134">
        <v>547699.84129629622</v>
      </c>
      <c r="D36" s="134">
        <v>2957579.1430000002</v>
      </c>
      <c r="E36" s="35">
        <f t="shared" si="3"/>
        <v>591515.82860000001</v>
      </c>
      <c r="F36" s="23">
        <f>'GHG &amp; CO2 EMISSIONS'!E115</f>
        <v>437120</v>
      </c>
      <c r="G36" s="23">
        <f>'GHG &amp; CO2 EMISSIONS'!F115</f>
        <v>437222</v>
      </c>
      <c r="H36" s="23">
        <f>'GHG &amp; CO2 EMISSIONS'!G115</f>
        <v>441027</v>
      </c>
      <c r="I36" s="23">
        <f>'GHG &amp; CO2 EMISSIONS'!H115</f>
        <v>441346</v>
      </c>
      <c r="J36" s="23">
        <f>'GHG &amp; CO2 EMISSIONS'!I115</f>
        <v>441583</v>
      </c>
      <c r="K36" s="23">
        <f>'GHG &amp; CO2 EMISSIONS'!J115</f>
        <v>450276</v>
      </c>
      <c r="L36" s="23">
        <f>'GHG &amp; CO2 EMISSIONS'!K115</f>
        <v>456436</v>
      </c>
      <c r="M36" s="23">
        <f>'GHG &amp; CO2 EMISSIONS'!L115</f>
        <v>468506</v>
      </c>
      <c r="N36" s="23">
        <f>'GHG &amp; CO2 EMISSIONS'!M115</f>
        <v>482954</v>
      </c>
      <c r="O36" s="23">
        <f>'GHG &amp; CO2 EMISSIONS'!N115</f>
        <v>488857</v>
      </c>
      <c r="P36" s="23">
        <f>'GHG &amp; CO2 EMISSIONS'!O115</f>
        <v>500453</v>
      </c>
      <c r="Q36" s="23">
        <f>'GHG &amp; CO2 EMISSIONS'!P115</f>
        <v>508411</v>
      </c>
      <c r="R36" s="23">
        <f>'GHG &amp; CO2 EMISSIONS'!Q115</f>
        <v>512028</v>
      </c>
      <c r="S36" s="23">
        <f>'GHG &amp; CO2 EMISSIONS'!R115</f>
        <v>511249</v>
      </c>
      <c r="T36" s="23">
        <f>'GHG &amp; CO2 EMISSIONS'!S115</f>
        <v>527977</v>
      </c>
      <c r="U36" s="23">
        <f>'GHG &amp; CO2 EMISSIONS'!T115</f>
        <v>534477</v>
      </c>
      <c r="V36" s="23">
        <f>'GHG &amp; CO2 EMISSIONS'!U115</f>
        <v>538698</v>
      </c>
      <c r="W36" s="23">
        <f>'GHG &amp; CO2 EMISSIONS'!V115</f>
        <v>545915</v>
      </c>
      <c r="X36" s="23">
        <f>'GHG &amp; CO2 EMISSIONS'!W115</f>
        <v>548837</v>
      </c>
      <c r="Y36" s="23">
        <f>'GHG &amp; CO2 EMISSIONS'!X115</f>
        <v>550629</v>
      </c>
      <c r="Z36" s="23">
        <f>'GHG &amp; CO2 EMISSIONS'!Y115</f>
        <v>545875</v>
      </c>
      <c r="AA36" s="23">
        <f>'GHG &amp; CO2 EMISSIONS'!Z115</f>
        <v>547539</v>
      </c>
      <c r="AB36" s="132">
        <f>'GHG &amp; CO2 EMISSIONS'!AA115</f>
        <v>550596</v>
      </c>
      <c r="AC36" s="65">
        <v>0.08</v>
      </c>
      <c r="AD36" s="69">
        <f t="shared" si="2"/>
        <v>548695.19999999995</v>
      </c>
      <c r="AE36" s="36">
        <f t="shared" si="1"/>
        <v>1.8173434218053952E-3</v>
      </c>
      <c r="AF36" s="3"/>
      <c r="AG36" s="3"/>
      <c r="AH36" s="3"/>
      <c r="AI36" s="3"/>
      <c r="AJ36" s="3"/>
      <c r="AK36" s="3"/>
      <c r="AL36" s="3"/>
      <c r="AM36" s="3"/>
      <c r="AN36" s="3"/>
      <c r="AO36" s="3"/>
      <c r="AP36" s="3"/>
    </row>
    <row r="37" spans="1:42" s="2" customFormat="1" ht="15" customHeight="1">
      <c r="A37" s="51" t="s">
        <v>104</v>
      </c>
      <c r="B37" s="52" t="s">
        <v>7</v>
      </c>
      <c r="C37" s="134">
        <v>61912.946600000003</v>
      </c>
      <c r="D37" s="134">
        <v>309564.73300000001</v>
      </c>
      <c r="E37" s="35">
        <f t="shared" si="3"/>
        <v>61912.946600000003</v>
      </c>
      <c r="F37" s="23">
        <f>'GHG &amp; CO2 EMISSIONS'!E163</f>
        <v>68958.181726592331</v>
      </c>
      <c r="G37" s="23">
        <f>'GHG &amp; CO2 EMISSIONS'!F163</f>
        <v>69918.613478798536</v>
      </c>
      <c r="H37" s="23">
        <f>'GHG &amp; CO2 EMISSIONS'!G163</f>
        <v>71163.043192240526</v>
      </c>
      <c r="I37" s="23">
        <f>'GHG &amp; CO2 EMISSIONS'!H163</f>
        <v>71017.984624481804</v>
      </c>
      <c r="J37" s="23">
        <f>'GHG &amp; CO2 EMISSIONS'!I163</f>
        <v>72398.448948708668</v>
      </c>
      <c r="K37" s="23">
        <f>'GHG &amp; CO2 EMISSIONS'!J163</f>
        <v>72988.346674344051</v>
      </c>
      <c r="L37" s="23">
        <f>'GHG &amp; CO2 EMISSIONS'!K163</f>
        <v>75526.572778376896</v>
      </c>
      <c r="M37" s="23">
        <f>'GHG &amp; CO2 EMISSIONS'!L163</f>
        <v>78163.571116549516</v>
      </c>
      <c r="N37" s="23">
        <f>'GHG &amp; CO2 EMISSIONS'!M163</f>
        <v>75967.86965370593</v>
      </c>
      <c r="O37" s="23">
        <f>'GHG &amp; CO2 EMISSIONS'!N163</f>
        <v>77508.084798788157</v>
      </c>
      <c r="P37" s="23">
        <f>'GHG &amp; CO2 EMISSIONS'!O163</f>
        <v>79531.378394201616</v>
      </c>
      <c r="Q37" s="23">
        <f>'GHG &amp; CO2 EMISSIONS'!P163</f>
        <v>82441.795710136736</v>
      </c>
      <c r="R37" s="23">
        <f>'GHG &amp; CO2 EMISSIONS'!Q163</f>
        <v>82361.963073147446</v>
      </c>
      <c r="S37" s="23">
        <f>'GHG &amp; CO2 EMISSIONS'!R163</f>
        <v>84660.384645025071</v>
      </c>
      <c r="T37" s="23">
        <f>'GHG &amp; CO2 EMISSIONS'!S163</f>
        <v>84691.058963192962</v>
      </c>
      <c r="U37" s="23">
        <f>'GHG &amp; CO2 EMISSIONS'!T163</f>
        <v>86615.377459050011</v>
      </c>
      <c r="V37" s="23">
        <f>'GHG &amp; CO2 EMISSIONS'!U163</f>
        <v>86726.863364364559</v>
      </c>
      <c r="W37" s="23">
        <f>'GHG &amp; CO2 EMISSIONS'!V163</f>
        <v>84260.940688153496</v>
      </c>
      <c r="X37" s="23">
        <f>'GHG &amp; CO2 EMISSIONS'!W163</f>
        <v>84268.353237288189</v>
      </c>
      <c r="Y37" s="23">
        <f>'GHG &amp; CO2 EMISSIONS'!X163</f>
        <v>81413.892035055993</v>
      </c>
      <c r="Z37" s="23">
        <f>'GHG &amp; CO2 EMISSIONS'!Y163</f>
        <v>82097.531433064098</v>
      </c>
      <c r="AA37" s="23">
        <f>'GHG &amp; CO2 EMISSIONS'!Z163</f>
        <v>81723.811853400213</v>
      </c>
      <c r="AB37" s="132">
        <f>'GHG &amp; CO2 EMISSIONS'!AA163</f>
        <v>84065.666675183558</v>
      </c>
      <c r="AC37" s="65">
        <v>0</v>
      </c>
      <c r="AD37" s="69">
        <f t="shared" si="2"/>
        <v>82713.851046798416</v>
      </c>
      <c r="AE37" s="36">
        <f t="shared" si="1"/>
        <v>0.33597019022832963</v>
      </c>
      <c r="AF37" s="3"/>
      <c r="AG37" s="3"/>
      <c r="AH37" s="3"/>
      <c r="AI37" s="3"/>
      <c r="AJ37" s="3"/>
      <c r="AK37" s="3"/>
      <c r="AL37" s="3"/>
      <c r="AM37" s="3"/>
      <c r="AN37" s="3"/>
      <c r="AO37" s="3"/>
      <c r="AP37" s="3"/>
    </row>
    <row r="38" spans="1:42" s="2" customFormat="1" ht="15" customHeight="1">
      <c r="A38" s="51" t="s">
        <v>104</v>
      </c>
      <c r="B38" s="52" t="s">
        <v>80</v>
      </c>
      <c r="C38" s="17">
        <v>52790.956956521732</v>
      </c>
      <c r="D38" s="17">
        <v>242838.402</v>
      </c>
      <c r="E38" s="35">
        <f t="shared" si="3"/>
        <v>48567.680399999997</v>
      </c>
      <c r="F38" s="23">
        <f>'GHG &amp; CO2 EMISSIONS'!E143</f>
        <v>54665.542967645808</v>
      </c>
      <c r="G38" s="23">
        <f>'GHG &amp; CO2 EMISSIONS'!F143</f>
        <v>56538.209108330033</v>
      </c>
      <c r="H38" s="23">
        <f>'GHG &amp; CO2 EMISSIONS'!G143</f>
        <v>56272.971649207619</v>
      </c>
      <c r="I38" s="23">
        <f>'GHG &amp; CO2 EMISSIONS'!H143</f>
        <v>53679.344906005652</v>
      </c>
      <c r="J38" s="23">
        <f>'GHG &amp; CO2 EMISSIONS'!I143</f>
        <v>52622.104027187241</v>
      </c>
      <c r="K38" s="23">
        <f>'GHG &amp; CO2 EMISSIONS'!J143</f>
        <v>53511.063992829913</v>
      </c>
      <c r="L38" s="23">
        <f>'GHG &amp; CO2 EMISSIONS'!K143</f>
        <v>54173.137658462365</v>
      </c>
      <c r="M38" s="23">
        <f>'GHG &amp; CO2 EMISSIONS'!L143</f>
        <v>52971.460223477094</v>
      </c>
      <c r="N38" s="23">
        <f>'GHG &amp; CO2 EMISSIONS'!M143</f>
        <v>54520.903365068822</v>
      </c>
      <c r="O38" s="23">
        <f>'GHG &amp; CO2 EMISSIONS'!N143</f>
        <v>54334.563596598608</v>
      </c>
      <c r="P38" s="23">
        <f>'GHG &amp; CO2 EMISSIONS'!O143</f>
        <v>53604.880991821745</v>
      </c>
      <c r="Q38" s="23">
        <f>'GHG &amp; CO2 EMISSIONS'!P143</f>
        <v>55147.044445818472</v>
      </c>
      <c r="R38" s="23">
        <f>'GHG &amp; CO2 EMISSIONS'!Q143</f>
        <v>53601.822432588604</v>
      </c>
      <c r="S38" s="23">
        <f>'GHG &amp; CO2 EMISSIONS'!R143</f>
        <v>54673.999241473575</v>
      </c>
      <c r="T38" s="23">
        <f>'GHG &amp; CO2 EMISSIONS'!S143</f>
        <v>55281.76856649726</v>
      </c>
      <c r="U38" s="23">
        <f>'GHG &amp; CO2 EMISSIONS'!T143</f>
        <v>55916.389751231683</v>
      </c>
      <c r="V38" s="23">
        <f>'GHG &amp; CO2 EMISSIONS'!U143</f>
        <v>55591.864309766497</v>
      </c>
      <c r="W38" s="23">
        <f>'GHG &amp; CO2 EMISSIONS'!V143</f>
        <v>53656.316881508305</v>
      </c>
      <c r="X38" s="23">
        <f>'GHG &amp; CO2 EMISSIONS'!W143</f>
        <v>55054.195767596349</v>
      </c>
      <c r="Y38" s="23">
        <f>'GHG &amp; CO2 EMISSIONS'!X143</f>
        <v>53576.785556569703</v>
      </c>
      <c r="Z38" s="23">
        <f>'GHG &amp; CO2 EMISSIONS'!Y143</f>
        <v>55160.413723303936</v>
      </c>
      <c r="AA38" s="23">
        <f>'GHG &amp; CO2 EMISSIONS'!Z143</f>
        <v>51042.395434096819</v>
      </c>
      <c r="AB38" s="132">
        <f>'GHG &amp; CO2 EMISSIONS'!AA143</f>
        <v>52375.112735610121</v>
      </c>
      <c r="AC38" s="65">
        <v>-0.08</v>
      </c>
      <c r="AD38" s="69">
        <f t="shared" si="2"/>
        <v>53441.780643435384</v>
      </c>
      <c r="AE38" s="36">
        <f t="shared" si="1"/>
        <v>1.2328317659588306E-2</v>
      </c>
      <c r="AF38" s="3"/>
      <c r="AG38" s="3"/>
      <c r="AH38" s="3"/>
      <c r="AI38" s="3"/>
      <c r="AJ38" s="3"/>
      <c r="AK38" s="3"/>
      <c r="AL38" s="3"/>
      <c r="AM38" s="3"/>
      <c r="AN38" s="3"/>
      <c r="AO38" s="3"/>
      <c r="AP38" s="3"/>
    </row>
    <row r="39" spans="1:42" s="2" customFormat="1" ht="15" customHeight="1">
      <c r="A39" s="51" t="s">
        <v>104</v>
      </c>
      <c r="B39" s="52" t="s">
        <v>79</v>
      </c>
      <c r="C39" s="17">
        <v>49619.167722772276</v>
      </c>
      <c r="D39" s="17">
        <v>250576.79699999999</v>
      </c>
      <c r="E39" s="35">
        <f t="shared" si="3"/>
        <v>50115.359400000001</v>
      </c>
      <c r="F39" s="23">
        <f>'GHG &amp; CO2 EMISSIONS'!E139</f>
        <v>50796.769249585668</v>
      </c>
      <c r="G39" s="23">
        <f>'GHG &amp; CO2 EMISSIONS'!F139</f>
        <v>48400.868079214422</v>
      </c>
      <c r="H39" s="23">
        <f>'GHG &amp; CO2 EMISSIONS'!G139</f>
        <v>46770.378949129619</v>
      </c>
      <c r="I39" s="23">
        <f>'GHG &amp; CO2 EMISSIONS'!H139</f>
        <v>48639.019526145421</v>
      </c>
      <c r="J39" s="23">
        <f>'GHG &amp; CO2 EMISSIONS'!I139</f>
        <v>50545.044552851861</v>
      </c>
      <c r="K39" s="23">
        <f>'GHG &amp; CO2 EMISSIONS'!J139</f>
        <v>50904.26843756868</v>
      </c>
      <c r="L39" s="23">
        <f>'GHG &amp; CO2 EMISSIONS'!K139</f>
        <v>53786.903044414685</v>
      </c>
      <c r="M39" s="23">
        <f>'GHG &amp; CO2 EMISSIONS'!L139</f>
        <v>53750.971830855597</v>
      </c>
      <c r="N39" s="23">
        <f>'GHG &amp; CO2 EMISSIONS'!M139</f>
        <v>53822.511424745549</v>
      </c>
      <c r="O39" s="23">
        <f>'GHG &amp; CO2 EMISSIONS'!N139</f>
        <v>54783.755305181752</v>
      </c>
      <c r="P39" s="23">
        <f>'GHG &amp; CO2 EMISSIONS'!O139</f>
        <v>54117.224863793439</v>
      </c>
      <c r="Q39" s="23">
        <f>'GHG &amp; CO2 EMISSIONS'!P139</f>
        <v>55318.288359223443</v>
      </c>
      <c r="R39" s="23">
        <f>'GHG &amp; CO2 EMISSIONS'!Q139</f>
        <v>54149.652444826599</v>
      </c>
      <c r="S39" s="23">
        <f>'GHG &amp; CO2 EMISSIONS'!R139</f>
        <v>54898.128139605935</v>
      </c>
      <c r="T39" s="23">
        <f>'GHG &amp; CO2 EMISSIONS'!S139</f>
        <v>55362.103859597686</v>
      </c>
      <c r="U39" s="23">
        <f>'GHG &amp; CO2 EMISSIONS'!T139</f>
        <v>54375.270500381841</v>
      </c>
      <c r="V39" s="23">
        <f>'GHG &amp; CO2 EMISSIONS'!U139</f>
        <v>54429.200784131761</v>
      </c>
      <c r="W39" s="23">
        <f>'GHG &amp; CO2 EMISSIONS'!V139</f>
        <v>56134.042022664871</v>
      </c>
      <c r="X39" s="23">
        <f>'GHG &amp; CO2 EMISSIONS'!W139</f>
        <v>54700.232611239262</v>
      </c>
      <c r="Y39" s="23">
        <f>'GHG &amp; CO2 EMISSIONS'!X139</f>
        <v>52233.299511456069</v>
      </c>
      <c r="Z39" s="23">
        <f>'GHG &amp; CO2 EMISSIONS'!Y139</f>
        <v>54555.85326526688</v>
      </c>
      <c r="AA39" s="23">
        <f>'GHG &amp; CO2 EMISSIONS'!Z139</f>
        <v>53589.90588294818</v>
      </c>
      <c r="AB39" s="132">
        <f>'GHG &amp; CO2 EMISSIONS'!AA139</f>
        <v>53020.557054560311</v>
      </c>
      <c r="AC39" s="65">
        <v>0.01</v>
      </c>
      <c r="AD39" s="69">
        <f t="shared" si="2"/>
        <v>53619.969665094141</v>
      </c>
      <c r="AE39" s="36">
        <f t="shared" si="1"/>
        <v>8.0630170273608526E-2</v>
      </c>
      <c r="AF39" s="3"/>
      <c r="AG39" s="3"/>
      <c r="AH39" s="3"/>
      <c r="AI39" s="3"/>
      <c r="AJ39" s="3"/>
      <c r="AK39" s="3"/>
      <c r="AL39" s="3"/>
      <c r="AM39" s="3"/>
      <c r="AN39" s="3"/>
      <c r="AO39" s="3"/>
      <c r="AP39" s="3"/>
    </row>
    <row r="40" spans="1:42" s="2" customFormat="1" ht="15" customHeight="1">
      <c r="A40" s="51" t="s">
        <v>104</v>
      </c>
      <c r="B40" s="52" t="s">
        <v>75</v>
      </c>
      <c r="C40" s="17">
        <v>3367.9721818181815</v>
      </c>
      <c r="D40" s="17">
        <v>18523.847000000002</v>
      </c>
      <c r="E40" s="35">
        <f t="shared" si="3"/>
        <v>3704.7694000000001</v>
      </c>
      <c r="F40" s="23">
        <f>'GHG &amp; CO2 EMISSIONS'!E123</f>
        <v>3644.8859368986186</v>
      </c>
      <c r="G40" s="23">
        <f>'GHG &amp; CO2 EMISSIONS'!F123</f>
        <v>3433.537147015456</v>
      </c>
      <c r="H40" s="23">
        <f>'GHG &amp; CO2 EMISSIONS'!G123</f>
        <v>3363.3465484766302</v>
      </c>
      <c r="I40" s="23">
        <f>'GHG &amp; CO2 EMISSIONS'!H123</f>
        <v>3446.5113226484073</v>
      </c>
      <c r="J40" s="23">
        <f>'GHG &amp; CO2 EMISSIONS'!I123</f>
        <v>3376.389328513982</v>
      </c>
      <c r="K40" s="23">
        <f>'GHG &amp; CO2 EMISSIONS'!J123</f>
        <v>3503.9526441781163</v>
      </c>
      <c r="L40" s="23">
        <f>'GHG &amp; CO2 EMISSIONS'!K123</f>
        <v>3558.7029569515598</v>
      </c>
      <c r="M40" s="23">
        <f>'GHG &amp; CO2 EMISSIONS'!L123</f>
        <v>3715.6563526963928</v>
      </c>
      <c r="N40" s="23">
        <f>'GHG &amp; CO2 EMISSIONS'!M123</f>
        <v>3861.7593722990114</v>
      </c>
      <c r="O40" s="23">
        <f>'GHG &amp; CO2 EMISSIONS'!N123</f>
        <v>4077.1190712623566</v>
      </c>
      <c r="P40" s="23">
        <f>'GHG &amp; CO2 EMISSIONS'!O123</f>
        <v>4106.7194307234522</v>
      </c>
      <c r="Q40" s="23">
        <f>'GHG &amp; CO2 EMISSIONS'!P123</f>
        <v>4000.7048483548824</v>
      </c>
      <c r="R40" s="23">
        <f>'GHG &amp; CO2 EMISSIONS'!Q123</f>
        <v>4086.5725712519124</v>
      </c>
      <c r="S40" s="23">
        <f>'GHG &amp; CO2 EMISSIONS'!R123</f>
        <v>4056.6351976149235</v>
      </c>
      <c r="T40" s="23">
        <f>'GHG &amp; CO2 EMISSIONS'!S123</f>
        <v>4164.5623416583558</v>
      </c>
      <c r="U40" s="23">
        <f>'GHG &amp; CO2 EMISSIONS'!T123</f>
        <v>4022.3502260717096</v>
      </c>
      <c r="V40" s="23">
        <f>'GHG &amp; CO2 EMISSIONS'!U123</f>
        <v>4579.1183709031884</v>
      </c>
      <c r="W40" s="23">
        <f>'GHG &amp; CO2 EMISSIONS'!V123</f>
        <v>4884.7558090557659</v>
      </c>
      <c r="X40" s="23">
        <f>'GHG &amp; CO2 EMISSIONS'!W123</f>
        <v>5267.0252351884264</v>
      </c>
      <c r="Y40" s="23">
        <f>'GHG &amp; CO2 EMISSIONS'!X123</f>
        <v>4966.7365494421174</v>
      </c>
      <c r="Z40" s="23">
        <f>'GHG &amp; CO2 EMISSIONS'!Y123</f>
        <v>4867.6069385407518</v>
      </c>
      <c r="AA40" s="23">
        <f>'GHG &amp; CO2 EMISSIONS'!Z123</f>
        <v>4655.2221958521677</v>
      </c>
      <c r="AB40" s="132">
        <f>'GHG &amp; CO2 EMISSIONS'!AA123</f>
        <v>4648.786958022094</v>
      </c>
      <c r="AC40" s="65">
        <v>0.1</v>
      </c>
      <c r="AD40" s="69">
        <f t="shared" si="2"/>
        <v>4881.0755754091115</v>
      </c>
      <c r="AE40" s="36">
        <f t="shared" si="1"/>
        <v>0.44926243802111498</v>
      </c>
      <c r="AF40" s="3"/>
      <c r="AG40" s="3"/>
      <c r="AH40" s="3"/>
      <c r="AI40" s="3"/>
      <c r="AJ40" s="3"/>
      <c r="AK40" s="3"/>
      <c r="AL40" s="3"/>
      <c r="AM40" s="3"/>
      <c r="AN40" s="3"/>
      <c r="AO40" s="3"/>
      <c r="AP40" s="3"/>
    </row>
    <row r="41" spans="1:42" s="2" customFormat="1" ht="17.25" customHeight="1">
      <c r="A41" s="53" t="s">
        <v>104</v>
      </c>
      <c r="B41" s="54" t="s">
        <v>77</v>
      </c>
      <c r="C41" s="17">
        <v>229.48326086956521</v>
      </c>
      <c r="D41" s="17">
        <v>1055.623</v>
      </c>
      <c r="E41" s="35">
        <f t="shared" si="3"/>
        <v>211.12460000000002</v>
      </c>
      <c r="F41" s="23">
        <f>'GHG &amp; CO2 EMISSIONS'!E131</f>
        <v>229.01310861507832</v>
      </c>
      <c r="G41" s="23">
        <f>'GHG &amp; CO2 EMISSIONS'!F131</f>
        <v>236.54326401242912</v>
      </c>
      <c r="H41" s="23">
        <f>'GHG &amp; CO2 EMISSIONS'!G131</f>
        <v>236.68937685928972</v>
      </c>
      <c r="I41" s="23">
        <f>'GHG &amp; CO2 EMISSIONS'!H131</f>
        <v>243.72602658882732</v>
      </c>
      <c r="J41" s="23">
        <f>'GHG &amp; CO2 EMISSIONS'!I131</f>
        <v>230.05526601557904</v>
      </c>
      <c r="K41" s="23">
        <f>'GHG &amp; CO2 EMISSIONS'!J131</f>
        <v>233.78978437501513</v>
      </c>
      <c r="L41" s="23">
        <f>'GHG &amp; CO2 EMISSIONS'!K131</f>
        <v>236.11182801871152</v>
      </c>
      <c r="M41" s="23">
        <f>'GHG &amp; CO2 EMISSIONS'!L131</f>
        <v>248.61112798812525</v>
      </c>
      <c r="N41" s="23">
        <f>'GHG &amp; CO2 EMISSIONS'!M131</f>
        <v>259.55943950938985</v>
      </c>
      <c r="O41" s="23">
        <f>'GHG &amp; CO2 EMISSIONS'!N131</f>
        <v>256.47310131941271</v>
      </c>
      <c r="P41" s="23">
        <f>'GHG &amp; CO2 EMISSIONS'!O131</f>
        <v>247.0108091881774</v>
      </c>
      <c r="Q41" s="23">
        <f>'GHG &amp; CO2 EMISSIONS'!P131</f>
        <v>246.65883743532245</v>
      </c>
      <c r="R41" s="23">
        <f>'GHG &amp; CO2 EMISSIONS'!Q131</f>
        <v>252.99876151840189</v>
      </c>
      <c r="S41" s="23">
        <f>'GHG &amp; CO2 EMISSIONS'!R131</f>
        <v>263.12471037398399</v>
      </c>
      <c r="T41" s="23">
        <f>'GHG &amp; CO2 EMISSIONS'!S131</f>
        <v>263.37407238848215</v>
      </c>
      <c r="U41" s="23">
        <f>'GHG &amp; CO2 EMISSIONS'!T131</f>
        <v>263.9490979482398</v>
      </c>
      <c r="V41" s="23">
        <f>'GHG &amp; CO2 EMISSIONS'!U131</f>
        <v>267.60444869744919</v>
      </c>
      <c r="W41" s="23">
        <f>'GHG &amp; CO2 EMISSIONS'!V131</f>
        <v>238.38966475039624</v>
      </c>
      <c r="X41" s="23">
        <f>'GHG &amp; CO2 EMISSIONS'!W131</f>
        <v>258.05229364750812</v>
      </c>
      <c r="Y41" s="23">
        <f>'GHG &amp; CO2 EMISSIONS'!X131</f>
        <v>243.27107832936119</v>
      </c>
      <c r="Z41" s="23">
        <f>'GHG &amp; CO2 EMISSIONS'!Y131</f>
        <v>228.30831484992297</v>
      </c>
      <c r="AA41" s="23">
        <f>'GHG &amp; CO2 EMISSIONS'!Z131</f>
        <v>215.42848635036012</v>
      </c>
      <c r="AB41" s="132">
        <f>'GHG &amp; CO2 EMISSIONS'!AA131</f>
        <v>224.65397858192722</v>
      </c>
      <c r="AC41" s="65">
        <v>-0.08</v>
      </c>
      <c r="AD41" s="69">
        <f t="shared" si="2"/>
        <v>233.94283035181593</v>
      </c>
      <c r="AE41" s="36">
        <f t="shared" si="1"/>
        <v>1.9433092702937804E-2</v>
      </c>
      <c r="AF41" s="3"/>
      <c r="AG41" s="3"/>
      <c r="AH41" s="3"/>
      <c r="AI41" s="3"/>
      <c r="AJ41" s="3"/>
      <c r="AK41" s="3"/>
      <c r="AL41" s="3"/>
      <c r="AM41" s="3"/>
      <c r="AN41" s="3"/>
      <c r="AO41" s="3"/>
      <c r="AP41" s="3"/>
    </row>
    <row r="42" spans="1:42" s="2" customFormat="1" ht="16.5" customHeight="1">
      <c r="A42" s="26" t="s">
        <v>104</v>
      </c>
      <c r="B42" s="19" t="s">
        <v>78</v>
      </c>
      <c r="C42" s="17">
        <v>107.65673913043479</v>
      </c>
      <c r="D42" s="17">
        <v>495.221</v>
      </c>
      <c r="E42" s="35">
        <f t="shared" si="3"/>
        <v>99.044200000000004</v>
      </c>
      <c r="F42" s="23">
        <f>'GHG &amp; CO2 EMISSIONS'!E135</f>
        <v>101.51214625353728</v>
      </c>
      <c r="G42" s="23">
        <f>'GHG &amp; CO2 EMISSIONS'!F135</f>
        <v>102.41395651644193</v>
      </c>
      <c r="H42" s="23">
        <f>'GHG &amp; CO2 EMISSIONS'!G135</f>
        <v>107.98422620511808</v>
      </c>
      <c r="I42" s="23">
        <f>'GHG &amp; CO2 EMISSIONS'!H135</f>
        <v>106.92218236322212</v>
      </c>
      <c r="J42" s="23">
        <f>'GHG &amp; CO2 EMISSIONS'!I135</f>
        <v>107.53615723102082</v>
      </c>
      <c r="K42" s="23">
        <f>'GHG &amp; CO2 EMISSIONS'!J135</f>
        <v>104.18724534412787</v>
      </c>
      <c r="L42" s="23">
        <f>'GHG &amp; CO2 EMISSIONS'!K135</f>
        <v>107.86782091561142</v>
      </c>
      <c r="M42" s="23">
        <f>'GHG &amp; CO2 EMISSIONS'!L135</f>
        <v>106.25856574128767</v>
      </c>
      <c r="N42" s="23">
        <f>'GHG &amp; CO2 EMISSIONS'!M135</f>
        <v>105.36412598375615</v>
      </c>
      <c r="O42" s="23">
        <f>'GHG &amp; CO2 EMISSIONS'!N135</f>
        <v>106.45151327470126</v>
      </c>
      <c r="P42" s="23">
        <f>'GHG &amp; CO2 EMISSIONS'!O135</f>
        <v>104.67246385342521</v>
      </c>
      <c r="Q42" s="23">
        <f>'GHG &amp; CO2 EMISSIONS'!P135</f>
        <v>104.93332517662755</v>
      </c>
      <c r="R42" s="23">
        <f>'GHG &amp; CO2 EMISSIONS'!Q135</f>
        <v>105.2527472746284</v>
      </c>
      <c r="S42" s="23">
        <f>'GHG &amp; CO2 EMISSIONS'!R135</f>
        <v>102.3049780093851</v>
      </c>
      <c r="T42" s="23">
        <f>'GHG &amp; CO2 EMISSIONS'!S135</f>
        <v>97.207629120082487</v>
      </c>
      <c r="U42" s="23">
        <f>'GHG &amp; CO2 EMISSIONS'!T135</f>
        <v>95.997140373605333</v>
      </c>
      <c r="V42" s="23">
        <f>'GHG &amp; CO2 EMISSIONS'!U135</f>
        <v>91.624451763597705</v>
      </c>
      <c r="W42" s="23">
        <f>'GHG &amp; CO2 EMISSIONS'!V135</f>
        <v>91.237661997251777</v>
      </c>
      <c r="X42" s="23">
        <f>'GHG &amp; CO2 EMISSIONS'!W135</f>
        <v>91.864857246447912</v>
      </c>
      <c r="Y42" s="23">
        <f>'GHG &amp; CO2 EMISSIONS'!X135</f>
        <v>88.001740636896585</v>
      </c>
      <c r="Z42" s="23">
        <f>'GHG &amp; CO2 EMISSIONS'!Y135</f>
        <v>85.693661082046731</v>
      </c>
      <c r="AA42" s="23">
        <f>'GHG &amp; CO2 EMISSIONS'!Z135</f>
        <v>84.461506839006944</v>
      </c>
      <c r="AB42" s="132">
        <f>'GHG &amp; CO2 EMISSIONS'!AA135</f>
        <v>87.806925471515484</v>
      </c>
      <c r="AC42" s="65">
        <v>-0.08</v>
      </c>
      <c r="AD42" s="69">
        <f t="shared" si="2"/>
        <v>87.565738255182708</v>
      </c>
      <c r="AE42" s="36">
        <f t="shared" si="1"/>
        <v>-0.18662093090995646</v>
      </c>
      <c r="AF42" s="3"/>
      <c r="AG42" s="3"/>
      <c r="AH42" s="3"/>
      <c r="AI42" s="3"/>
      <c r="AJ42" s="3"/>
      <c r="AK42" s="3"/>
      <c r="AL42" s="3"/>
      <c r="AM42" s="3"/>
      <c r="AN42" s="3"/>
      <c r="AO42" s="3"/>
      <c r="AP42" s="3"/>
    </row>
    <row r="43" spans="1:42" s="2" customFormat="1" ht="18" customHeight="1">
      <c r="A43" s="27" t="s">
        <v>107</v>
      </c>
      <c r="B43" s="49" t="s">
        <v>74</v>
      </c>
      <c r="C43" s="17">
        <v>127363.84999999999</v>
      </c>
      <c r="D43" s="17">
        <v>585873.71</v>
      </c>
      <c r="E43" s="35">
        <f t="shared" si="3"/>
        <v>117174.742</v>
      </c>
      <c r="F43" s="23">
        <f>'GHG &amp; CO2 EMISSIONS'!E119</f>
        <v>146017.39674747791</v>
      </c>
      <c r="G43" s="23">
        <f>'GHG &amp; CO2 EMISSIONS'!F119</f>
        <v>140280.31255995255</v>
      </c>
      <c r="H43" s="23">
        <f>'GHG &amp; CO2 EMISSIONS'!G119</f>
        <v>126622.57387992073</v>
      </c>
      <c r="I43" s="23">
        <f>'GHG &amp; CO2 EMISSIONS'!H119</f>
        <v>112913.07224138058</v>
      </c>
      <c r="J43" s="23">
        <f>'GHG &amp; CO2 EMISSIONS'!I119</f>
        <v>97041.080022557609</v>
      </c>
      <c r="K43" s="23">
        <f>'GHG &amp; CO2 EMISSIONS'!J119</f>
        <v>88585.630343110592</v>
      </c>
      <c r="L43" s="23">
        <f>'GHG &amp; CO2 EMISSIONS'!K119</f>
        <v>89273.855310795567</v>
      </c>
      <c r="M43" s="23">
        <f>'GHG &amp; CO2 EMISSIONS'!L119</f>
        <v>89488.082886593969</v>
      </c>
      <c r="N43" s="23">
        <f>'GHG &amp; CO2 EMISSIONS'!M119</f>
        <v>88248.484802827021</v>
      </c>
      <c r="O43" s="23">
        <f>'GHG &amp; CO2 EMISSIONS'!N119</f>
        <v>84738.827718571309</v>
      </c>
      <c r="P43" s="23">
        <f>'GHG &amp; CO2 EMISSIONS'!O119</f>
        <v>81594.486214268982</v>
      </c>
      <c r="Q43" s="23">
        <f>'GHG &amp; CO2 EMISSIONS'!P119</f>
        <v>80277.211131886346</v>
      </c>
      <c r="R43" s="23">
        <f>'GHG &amp; CO2 EMISSIONS'!Q119</f>
        <v>79609.543614631955</v>
      </c>
      <c r="S43" s="23">
        <f>'GHG &amp; CO2 EMISSIONS'!R119</f>
        <v>81338.269508075085</v>
      </c>
      <c r="T43" s="23">
        <f>'GHG &amp; CO2 EMISSIONS'!S119</f>
        <v>84962.014290211446</v>
      </c>
      <c r="U43" s="23">
        <f>'GHG &amp; CO2 EMISSIONS'!T119</f>
        <v>86916.64074303364</v>
      </c>
      <c r="V43" s="23">
        <f>'GHG &amp; CO2 EMISSIONS'!U119</f>
        <v>90224.742654332964</v>
      </c>
      <c r="W43" s="23">
        <f>'GHG &amp; CO2 EMISSIONS'!V119</f>
        <v>88655.261854059208</v>
      </c>
      <c r="X43" s="23">
        <f>'GHG &amp; CO2 EMISSIONS'!W119</f>
        <v>92082.616250806459</v>
      </c>
      <c r="Y43" s="23">
        <f>'GHG &amp; CO2 EMISSIONS'!X119</f>
        <v>90071.633848031066</v>
      </c>
      <c r="Z43" s="23">
        <f>'GHG &amp; CO2 EMISSIONS'!Y119</f>
        <v>92325.186645973925</v>
      </c>
      <c r="AA43" s="23">
        <f>'GHG &amp; CO2 EMISSIONS'!Z119</f>
        <v>91629.619041174679</v>
      </c>
      <c r="AB43" s="132">
        <f>'GHG &amp; CO2 EMISSIONS'!AA119</f>
        <v>92781.425007289741</v>
      </c>
      <c r="AC43" s="65">
        <v>-0.08</v>
      </c>
      <c r="AD43" s="69">
        <f t="shared" si="2"/>
        <v>91778.096158655171</v>
      </c>
      <c r="AE43" s="36">
        <f t="shared" si="1"/>
        <v>-0.27940230953559286</v>
      </c>
      <c r="AF43" s="3"/>
      <c r="AG43" s="3"/>
      <c r="AH43" s="3"/>
      <c r="AI43" s="3"/>
      <c r="AJ43" s="3"/>
      <c r="AK43" s="3"/>
      <c r="AL43" s="3"/>
      <c r="AM43" s="3"/>
      <c r="AN43" s="3"/>
      <c r="AO43" s="3"/>
      <c r="AP43" s="3"/>
    </row>
    <row r="44" spans="1:42" s="2" customFormat="1" ht="18" customHeight="1">
      <c r="A44" s="28" t="s">
        <v>107</v>
      </c>
      <c r="B44" s="50" t="s">
        <v>76</v>
      </c>
      <c r="C44" s="63" t="s">
        <v>28</v>
      </c>
      <c r="D44" s="63" t="s">
        <v>28</v>
      </c>
      <c r="E44" s="47" t="s">
        <v>28</v>
      </c>
      <c r="F44" s="23">
        <f>'GHG &amp; CO2 EMISSIONS'!E127</f>
        <v>390526.062496937</v>
      </c>
      <c r="G44" s="23">
        <f>'GHG &amp; CO2 EMISSIONS'!F127</f>
        <v>372803.85843495553</v>
      </c>
      <c r="H44" s="23">
        <f>'GHG &amp; CO2 EMISSIONS'!G127</f>
        <v>343803.84685058176</v>
      </c>
      <c r="I44" s="23">
        <f>'GHG &amp; CO2 EMISSIONS'!H127</f>
        <v>308738.64398706501</v>
      </c>
      <c r="J44" s="23">
        <f>'GHG &amp; CO2 EMISSIONS'!I127</f>
        <v>261032.15550928639</v>
      </c>
      <c r="K44" s="23">
        <f>'GHG &amp; CO2 EMISSIONS'!J127</f>
        <v>244480.300966034</v>
      </c>
      <c r="L44" s="23">
        <f>'GHG &amp; CO2 EMISSIONS'!K127</f>
        <v>228515.08692593389</v>
      </c>
      <c r="M44" s="23">
        <f>'GHG &amp; CO2 EMISSIONS'!L127</f>
        <v>221863.40089565367</v>
      </c>
      <c r="N44" s="23">
        <f>'GHG &amp; CO2 EMISSIONS'!M127</f>
        <v>227732.96777977317</v>
      </c>
      <c r="O44" s="23">
        <f>'GHG &amp; CO2 EMISSIONS'!N127</f>
        <v>193057.63001147876</v>
      </c>
      <c r="P44" s="23">
        <f>'GHG &amp; CO2 EMISSIONS'!O127</f>
        <v>219119.44538328791</v>
      </c>
      <c r="Q44" s="23">
        <f>'GHG &amp; CO2 EMISSIONS'!P127</f>
        <v>213273.50781150616</v>
      </c>
      <c r="R44" s="23">
        <f>'GHG &amp; CO2 EMISSIONS'!Q127</f>
        <v>235768.54400248657</v>
      </c>
      <c r="S44" s="23">
        <f>'GHG &amp; CO2 EMISSIONS'!R127</f>
        <v>256260.70045960936</v>
      </c>
      <c r="T44" s="23">
        <f>'GHG &amp; CO2 EMISSIONS'!S127</f>
        <v>267794.77035817096</v>
      </c>
      <c r="U44" s="23">
        <f>'GHG &amp; CO2 EMISSIONS'!T127</f>
        <v>278091.01995331986</v>
      </c>
      <c r="V44" s="23">
        <f>'GHG &amp; CO2 EMISSIONS'!U127</f>
        <v>299189.29891562881</v>
      </c>
      <c r="W44" s="23">
        <f>'GHG &amp; CO2 EMISSIONS'!V127</f>
        <v>301538.26563631085</v>
      </c>
      <c r="X44" s="23">
        <f>'GHG &amp; CO2 EMISSIONS'!W127</f>
        <v>298362.22092614113</v>
      </c>
      <c r="Y44" s="23">
        <f>'GHG &amp; CO2 EMISSIONS'!X127</f>
        <v>291770.88377975131</v>
      </c>
      <c r="Z44" s="23">
        <f>'GHG &amp; CO2 EMISSIONS'!Y127</f>
        <v>313537.73644338973</v>
      </c>
      <c r="AA44" s="23">
        <f>'GHG &amp; CO2 EMISSIONS'!Z127</f>
        <v>303771.56341710704</v>
      </c>
      <c r="AB44" s="132">
        <f>'GHG &amp; CO2 EMISSIONS'!AA127</f>
        <v>308830.70003381051</v>
      </c>
      <c r="AC44" s="65" t="s">
        <v>28</v>
      </c>
      <c r="AD44" s="69">
        <f t="shared" si="2"/>
        <v>303254.62092003995</v>
      </c>
      <c r="AE44" s="25" t="s">
        <v>28</v>
      </c>
      <c r="AF44" s="3"/>
      <c r="AG44" s="3"/>
      <c r="AH44" s="3"/>
      <c r="AI44" s="3"/>
      <c r="AJ44" s="3"/>
      <c r="AK44" s="3"/>
      <c r="AL44" s="3"/>
      <c r="AM44" s="3"/>
      <c r="AN44" s="3"/>
      <c r="AO44" s="3"/>
      <c r="AP44" s="3"/>
    </row>
    <row r="45" spans="1:42" s="2" customFormat="1" ht="18" customHeight="1">
      <c r="A45" s="27" t="s">
        <v>107</v>
      </c>
      <c r="B45" s="20" t="s">
        <v>81</v>
      </c>
      <c r="C45" s="63" t="s">
        <v>28</v>
      </c>
      <c r="D45" s="63" t="s">
        <v>28</v>
      </c>
      <c r="E45" s="47" t="s">
        <v>28</v>
      </c>
      <c r="F45" s="23">
        <f>'GHG &amp; CO2 EMISSIONS'!E147</f>
        <v>228001.91456962004</v>
      </c>
      <c r="G45" s="23">
        <f>'GHG &amp; CO2 EMISSIONS'!F147</f>
        <v>235398.91965143115</v>
      </c>
      <c r="H45" s="23">
        <f>'GHG &amp; CO2 EMISSIONS'!G147</f>
        <v>241811.60520891403</v>
      </c>
      <c r="I45" s="23">
        <f>'GHG &amp; CO2 EMISSIONS'!H147</f>
        <v>249142.27068982238</v>
      </c>
      <c r="J45" s="23">
        <f>'GHG &amp; CO2 EMISSIONS'!I147</f>
        <v>242768.8328251004</v>
      </c>
      <c r="K45" s="23">
        <f>'GHG &amp; CO2 EMISSIONS'!J147</f>
        <v>256494.33664505032</v>
      </c>
      <c r="L45" s="23">
        <f>'GHG &amp; CO2 EMISSIONS'!K147</f>
        <v>275852.24796439777</v>
      </c>
      <c r="M45" s="23">
        <f>'GHG &amp; CO2 EMISSIONS'!L147</f>
        <v>286738.15721656074</v>
      </c>
      <c r="N45" s="23">
        <f>'GHG &amp; CO2 EMISSIONS'!M147</f>
        <v>288138.1240926343</v>
      </c>
      <c r="O45" s="23">
        <f>'GHG &amp; CO2 EMISSIONS'!N147</f>
        <v>285633.04697860853</v>
      </c>
      <c r="P45" s="23">
        <f>'GHG &amp; CO2 EMISSIONS'!O147</f>
        <v>306388.30970814382</v>
      </c>
      <c r="Q45" s="23">
        <f>'GHG &amp; CO2 EMISSIONS'!P147</f>
        <v>287554.81961191579</v>
      </c>
      <c r="R45" s="23">
        <f>'GHG &amp; CO2 EMISSIONS'!Q147</f>
        <v>292465.16096905171</v>
      </c>
      <c r="S45" s="23">
        <f>'GHG &amp; CO2 EMISSIONS'!R147</f>
        <v>312138.82771102816</v>
      </c>
      <c r="T45" s="23">
        <f>'GHG &amp; CO2 EMISSIONS'!S147</f>
        <v>321689.75324339152</v>
      </c>
      <c r="U45" s="23">
        <f>'GHG &amp; CO2 EMISSIONS'!T147</f>
        <v>344782.21451462765</v>
      </c>
      <c r="V45" s="23">
        <f>'GHG &amp; CO2 EMISSIONS'!U147</f>
        <v>365229.65980722883</v>
      </c>
      <c r="W45" s="23">
        <f>'GHG &amp; CO2 EMISSIONS'!V147</f>
        <v>399028.02102807467</v>
      </c>
      <c r="X45" s="23">
        <f>'GHG &amp; CO2 EMISSIONS'!W147</f>
        <v>394923.57828298444</v>
      </c>
      <c r="Y45" s="23">
        <f>'GHG &amp; CO2 EMISSIONS'!X147</f>
        <v>401316.72969552054</v>
      </c>
      <c r="Z45" s="23">
        <f>'GHG &amp; CO2 EMISSIONS'!Y147</f>
        <v>405269.24171703646</v>
      </c>
      <c r="AA45" s="23">
        <f>'GHG &amp; CO2 EMISSIONS'!Z147</f>
        <v>434770.7522395025</v>
      </c>
      <c r="AB45" s="132">
        <f>'GHG &amp; CO2 EMISSIONS'!AA147</f>
        <v>455164.66278975358</v>
      </c>
      <c r="AC45" s="65" t="s">
        <v>28</v>
      </c>
      <c r="AD45" s="69">
        <f t="shared" si="2"/>
        <v>418288.99294495955</v>
      </c>
      <c r="AE45" s="25" t="s">
        <v>28</v>
      </c>
      <c r="AF45" s="3"/>
      <c r="AG45" s="3"/>
      <c r="AH45" s="3"/>
      <c r="AI45" s="3"/>
      <c r="AJ45" s="3"/>
      <c r="AK45" s="3"/>
      <c r="AL45" s="3"/>
      <c r="AM45" s="3"/>
      <c r="AN45" s="3"/>
      <c r="AO45" s="3"/>
      <c r="AP45" s="3"/>
    </row>
    <row r="46" spans="1:42" s="2" customFormat="1" ht="24" customHeight="1">
      <c r="A46" s="28" t="s">
        <v>107</v>
      </c>
      <c r="B46" s="21" t="s">
        <v>83</v>
      </c>
      <c r="C46" s="63" t="s">
        <v>28</v>
      </c>
      <c r="D46" s="63" t="s">
        <v>28</v>
      </c>
      <c r="E46" s="47" t="s">
        <v>28</v>
      </c>
      <c r="F46" s="23">
        <f>'GHG &amp; CO2 EMISSIONS'!E175</f>
        <v>6536914.6797930636</v>
      </c>
      <c r="G46" s="23">
        <f>'GHG &amp; CO2 EMISSIONS'!F175</f>
        <v>6472689.3518884191</v>
      </c>
      <c r="H46" s="23">
        <f>'GHG &amp; CO2 EMISSIONS'!G175</f>
        <v>6576351.6936139883</v>
      </c>
      <c r="I46" s="23">
        <f>'GHG &amp; CO2 EMISSIONS'!H175</f>
        <v>6686455.5372199845</v>
      </c>
      <c r="J46" s="23">
        <f>'GHG &amp; CO2 EMISSIONS'!I175</f>
        <v>6782638.781299673</v>
      </c>
      <c r="K46" s="23">
        <f>'GHG &amp; CO2 EMISSIONS'!J175</f>
        <v>6862137.292178221</v>
      </c>
      <c r="L46" s="23">
        <f>'GHG &amp; CO2 EMISSIONS'!K175</f>
        <v>7056258.3775752159</v>
      </c>
      <c r="M46" s="23">
        <f>'GHG &amp; CO2 EMISSIONS'!L175</f>
        <v>7108979.9652857324</v>
      </c>
      <c r="N46" s="23">
        <f>'GHG &amp; CO2 EMISSIONS'!M175</f>
        <v>7178986.2880283399</v>
      </c>
      <c r="O46" s="23">
        <f>'GHG &amp; CO2 EMISSIONS'!N175</f>
        <v>7218632.9666135358</v>
      </c>
      <c r="P46" s="23">
        <f>'GHG &amp; CO2 EMISSIONS'!O175</f>
        <v>7419881.1122579444</v>
      </c>
      <c r="Q46" s="23">
        <f>'GHG &amp; CO2 EMISSIONS'!P175</f>
        <v>7287316.9534539031</v>
      </c>
      <c r="R46" s="23">
        <f>'GHG &amp; CO2 EMISSIONS'!Q175</f>
        <v>7329898.1137895538</v>
      </c>
      <c r="S46" s="23">
        <f>'GHG &amp; CO2 EMISSIONS'!R175</f>
        <v>7386887.0427374924</v>
      </c>
      <c r="T46" s="23">
        <f>'GHG &amp; CO2 EMISSIONS'!S175</f>
        <v>7492328.7569057671</v>
      </c>
      <c r="U46" s="23">
        <f>'GHG &amp; CO2 EMISSIONS'!T175</f>
        <v>7494637.1004351787</v>
      </c>
      <c r="V46" s="23">
        <f>'GHG &amp; CO2 EMISSIONS'!U175</f>
        <v>7429178.1398755172</v>
      </c>
      <c r="W46" s="23">
        <f>'GHG &amp; CO2 EMISSIONS'!V175</f>
        <v>7529904.7443570793</v>
      </c>
      <c r="X46" s="23">
        <f>'GHG &amp; CO2 EMISSIONS'!W175</f>
        <v>7326352.5874689966</v>
      </c>
      <c r="Y46" s="23">
        <f>'GHG &amp; CO2 EMISSIONS'!X175</f>
        <v>6866918.7256182758</v>
      </c>
      <c r="Z46" s="23">
        <f>'GHG &amp; CO2 EMISSIONS'!Y175</f>
        <v>7066007.4087265087</v>
      </c>
      <c r="AA46" s="23">
        <f>'GHG &amp; CO2 EMISSIONS'!Z175</f>
        <v>6911768.4826680692</v>
      </c>
      <c r="AB46" s="132">
        <f>'GHG &amp; CO2 EMISSIONS'!AA175</f>
        <v>6660905.1235916503</v>
      </c>
      <c r="AC46" s="65">
        <v>-7.0000000000000007E-2</v>
      </c>
      <c r="AD46" s="69">
        <f t="shared" si="2"/>
        <v>6966390.4656147007</v>
      </c>
      <c r="AE46" s="25" t="s">
        <v>28</v>
      </c>
      <c r="AF46" s="3"/>
      <c r="AG46" s="3"/>
      <c r="AH46" s="3"/>
      <c r="AI46" s="3"/>
      <c r="AJ46" s="3"/>
      <c r="AK46" s="3"/>
      <c r="AL46" s="3"/>
      <c r="AM46" s="3"/>
      <c r="AN46" s="3"/>
      <c r="AO46" s="3"/>
      <c r="AP46" s="3"/>
    </row>
    <row r="47" spans="1:42" s="14" customFormat="1" ht="26.25" customHeight="1">
      <c r="A47" s="265" t="s">
        <v>99</v>
      </c>
      <c r="B47" s="266"/>
      <c r="C47" s="29">
        <f t="shared" ref="C47:AB47" si="4">SUM(C4:C46)</f>
        <v>12738021.351556536</v>
      </c>
      <c r="D47" s="29">
        <f t="shared" si="4"/>
        <v>61018840.947000012</v>
      </c>
      <c r="E47" s="46">
        <f t="shared" si="4"/>
        <v>12203768.189400002</v>
      </c>
      <c r="F47" s="29">
        <f t="shared" si="4"/>
        <v>19563812.71167795</v>
      </c>
      <c r="G47" s="29">
        <f t="shared" si="4"/>
        <v>19155048.303826347</v>
      </c>
      <c r="H47" s="29">
        <f t="shared" si="4"/>
        <v>18552669.722560104</v>
      </c>
      <c r="I47" s="29">
        <f t="shared" si="4"/>
        <v>18297694.109503109</v>
      </c>
      <c r="J47" s="29">
        <f t="shared" si="4"/>
        <v>18007674.66437922</v>
      </c>
      <c r="K47" s="29">
        <f t="shared" si="4"/>
        <v>18073801.237166274</v>
      </c>
      <c r="L47" s="29">
        <f t="shared" si="4"/>
        <v>18332579.187498074</v>
      </c>
      <c r="M47" s="29">
        <f t="shared" si="4"/>
        <v>18179115.759322755</v>
      </c>
      <c r="N47" s="29">
        <f t="shared" si="4"/>
        <v>18137235.38849362</v>
      </c>
      <c r="O47" s="29">
        <f t="shared" si="4"/>
        <v>18074528.043986201</v>
      </c>
      <c r="P47" s="29">
        <f t="shared" si="4"/>
        <v>18328073.38530314</v>
      </c>
      <c r="Q47" s="29">
        <f t="shared" si="4"/>
        <v>18255725.410407383</v>
      </c>
      <c r="R47" s="29">
        <f t="shared" si="4"/>
        <v>18285094.330495838</v>
      </c>
      <c r="S47" s="29">
        <f t="shared" si="4"/>
        <v>18534322.533389762</v>
      </c>
      <c r="T47" s="29">
        <f t="shared" si="4"/>
        <v>18683618.775265362</v>
      </c>
      <c r="U47" s="29">
        <f t="shared" si="4"/>
        <v>18722548.276914366</v>
      </c>
      <c r="V47" s="29">
        <f t="shared" si="4"/>
        <v>18752905.153926421</v>
      </c>
      <c r="W47" s="29">
        <f t="shared" si="4"/>
        <v>18887366.009572797</v>
      </c>
      <c r="X47" s="29">
        <f t="shared" si="4"/>
        <v>18497411.12019559</v>
      </c>
      <c r="Y47" s="29">
        <f t="shared" si="4"/>
        <v>17345893.021741927</v>
      </c>
      <c r="Z47" s="29">
        <f t="shared" si="4"/>
        <v>17842865.951173302</v>
      </c>
      <c r="AA47" s="29">
        <f t="shared" si="4"/>
        <v>17683148.898132306</v>
      </c>
      <c r="AB47" s="131">
        <f t="shared" si="4"/>
        <v>17467883.189078249</v>
      </c>
      <c r="AC47" s="130" t="s">
        <v>28</v>
      </c>
      <c r="AD47" s="85" t="s">
        <v>28</v>
      </c>
      <c r="AE47" s="86" t="s">
        <v>28</v>
      </c>
    </row>
    <row r="48" spans="1:42">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3:31" ht="13.5" customHeight="1">
      <c r="C49" s="8"/>
      <c r="D49" s="8"/>
      <c r="E49" s="8"/>
      <c r="F49" s="8"/>
      <c r="G49" s="7"/>
      <c r="H49" s="7"/>
      <c r="I49" s="7"/>
      <c r="J49" s="7"/>
      <c r="K49" s="7"/>
      <c r="L49" s="7"/>
      <c r="M49" s="7"/>
      <c r="N49" s="7"/>
      <c r="O49" s="7"/>
      <c r="P49" s="7"/>
      <c r="Q49" s="7"/>
      <c r="R49" s="7"/>
      <c r="S49" s="7"/>
      <c r="T49" s="7"/>
      <c r="U49" s="7"/>
      <c r="V49" s="7"/>
      <c r="W49" s="7"/>
      <c r="X49" s="7"/>
      <c r="Y49" s="7"/>
      <c r="Z49" s="7"/>
      <c r="AA49" s="7"/>
      <c r="AB49" s="7"/>
      <c r="AC49" s="10"/>
      <c r="AD49" s="7"/>
      <c r="AE49" s="7"/>
    </row>
    <row r="50" spans="3:31">
      <c r="C50" s="4"/>
      <c r="D50" s="4"/>
      <c r="E50" s="4"/>
      <c r="F50" s="4"/>
      <c r="P50" s="5"/>
      <c r="Q50" s="5"/>
      <c r="R50" s="5"/>
      <c r="S50" s="5"/>
      <c r="T50" s="5"/>
      <c r="U50" s="5"/>
      <c r="V50" s="5"/>
      <c r="W50" s="5"/>
      <c r="X50" s="5"/>
      <c r="Y50" s="5"/>
      <c r="Z50" s="5"/>
      <c r="AA50" s="5"/>
      <c r="AB50" s="5"/>
      <c r="AC50" s="10"/>
    </row>
    <row r="51" spans="3:31">
      <c r="C51" s="4"/>
      <c r="D51" s="4"/>
      <c r="U51" s="6"/>
      <c r="V51" s="4"/>
      <c r="W51" s="4"/>
      <c r="X51" s="4"/>
      <c r="Y51" s="4"/>
      <c r="Z51" s="4"/>
      <c r="AA51" s="4"/>
      <c r="AB51" s="4"/>
      <c r="AC51" s="10"/>
    </row>
    <row r="52" spans="3:31">
      <c r="AC52" s="10"/>
    </row>
    <row r="53" spans="3:31">
      <c r="AC53" s="10"/>
    </row>
    <row r="54" spans="3:31">
      <c r="AC54" s="10"/>
    </row>
    <row r="55" spans="3:31">
      <c r="AC55" s="10"/>
    </row>
    <row r="56" spans="3:31">
      <c r="AC56" s="10"/>
    </row>
    <row r="57" spans="3:31">
      <c r="AC57" s="10"/>
    </row>
    <row r="58" spans="3:31">
      <c r="AC58" s="10"/>
    </row>
    <row r="59" spans="3:31">
      <c r="AC59" s="10"/>
    </row>
    <row r="60" spans="3:31">
      <c r="AC60" s="10"/>
    </row>
    <row r="61" spans="3:31">
      <c r="AC61" s="10"/>
    </row>
    <row r="62" spans="3:31">
      <c r="AC62" s="10"/>
    </row>
    <row r="63" spans="3:31">
      <c r="AC63" s="10"/>
    </row>
    <row r="64" spans="3:31">
      <c r="AC64" s="10"/>
    </row>
    <row r="65" spans="29:29">
      <c r="AC65" s="10"/>
    </row>
    <row r="66" spans="29:29">
      <c r="AC66" s="10"/>
    </row>
    <row r="67" spans="29:29">
      <c r="AC67" s="10"/>
    </row>
    <row r="68" spans="29:29">
      <c r="AC68" s="10"/>
    </row>
    <row r="69" spans="29:29">
      <c r="AC69" s="10"/>
    </row>
    <row r="70" spans="29:29">
      <c r="AC70" s="10"/>
    </row>
    <row r="71" spans="29:29">
      <c r="AC71" s="10"/>
    </row>
    <row r="72" spans="29:29">
      <c r="AC72" s="11"/>
    </row>
    <row r="73" spans="29:29">
      <c r="AC73" s="10"/>
    </row>
    <row r="74" spans="29:29">
      <c r="AC74" s="10"/>
    </row>
    <row r="75" spans="29:29">
      <c r="AC75" s="10"/>
    </row>
    <row r="76" spans="29:29">
      <c r="AC76" s="10"/>
    </row>
    <row r="77" spans="29:29">
      <c r="AC77" s="10"/>
    </row>
    <row r="78" spans="29:29">
      <c r="AC78" s="10"/>
    </row>
  </sheetData>
  <mergeCells count="2">
    <mergeCell ref="AC1:AE1"/>
    <mergeCell ref="A47:B47"/>
  </mergeCells>
  <phoneticPr fontId="3"/>
  <dataValidations count="1">
    <dataValidation allowBlank="1" showInputMessage="1" showErrorMessage="1" sqref="P50:AB50 AC38:AD38 AC43:AD43 C23:E23 AG45:AG46 AG23 AG21 AG12:AG19 AC40:AE40 C21:E21 C12:E19 C5:E10 AG5:AG10 C25:E46 AG25:AG43" xr:uid="{00000000-0002-0000-0300-000000000000}"/>
  </dataValidations>
  <pageMargins left="0.55000000000000004" right="0.55000000000000004" top="0.55000000000000004" bottom="0.32" header="0.37" footer="0.24"/>
  <pageSetup paperSize="9" scale="76" orientation="landscape" verticalDpi="1200" r:id="rId1"/>
  <headerFooter alignWithMargins="0">
    <oddHeader>&amp;L&amp;"ＭＳ Ｐゴシック,太字" Institute for Global Environmental Strategies</oddHeader>
  </headerFooter>
  <colBreaks count="1" manualBreakCount="1">
    <brk id="15" min="1" max="47" man="1"/>
  </colBreaks>
  <ignoredErrors>
    <ignoredError sqref="AD43:AD46 F47:AB47 AD35:AD42 AD3:AD33"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27"/>
  <sheetViews>
    <sheetView zoomScale="80" zoomScaleNormal="80" zoomScaleSheetLayoutView="100" workbookViewId="0">
      <selection activeCell="AH111" sqref="AH111"/>
    </sheetView>
  </sheetViews>
  <sheetFormatPr defaultColWidth="9" defaultRowHeight="15"/>
  <cols>
    <col min="1" max="1" width="20" style="1" customWidth="1"/>
    <col min="2" max="2" width="10.625" style="3" customWidth="1"/>
    <col min="3" max="31" width="13.5" style="3" bestFit="1" customWidth="1"/>
    <col min="32" max="16384" width="9" style="3"/>
  </cols>
  <sheetData>
    <row r="1" spans="1:11" ht="23.25">
      <c r="A1" s="267" t="s">
        <v>139</v>
      </c>
      <c r="B1" s="268"/>
      <c r="C1" s="268"/>
      <c r="D1" s="268"/>
      <c r="E1" s="268"/>
      <c r="F1" s="268"/>
      <c r="G1" s="268"/>
      <c r="H1" s="268"/>
      <c r="I1" s="268"/>
      <c r="J1" s="268"/>
      <c r="K1" s="268"/>
    </row>
    <row r="2" spans="1:11" ht="21">
      <c r="A2" s="123" t="s">
        <v>143</v>
      </c>
    </row>
    <row r="3" spans="1:11">
      <c r="A3" s="3" t="s">
        <v>140</v>
      </c>
    </row>
    <row r="4" spans="1:11">
      <c r="A4" s="3" t="s">
        <v>141</v>
      </c>
    </row>
    <row r="5" spans="1:11">
      <c r="A5" s="3" t="s">
        <v>142</v>
      </c>
    </row>
    <row r="6" spans="1:11">
      <c r="A6" s="3" t="s">
        <v>144</v>
      </c>
    </row>
    <row r="7" spans="1:11">
      <c r="A7" s="3"/>
    </row>
    <row r="9" spans="1:11" ht="23.25" customHeight="1">
      <c r="A9" s="119" t="s">
        <v>30</v>
      </c>
      <c r="B9" s="120"/>
      <c r="C9" s="121"/>
      <c r="D9" s="121"/>
      <c r="E9" s="121"/>
      <c r="F9" s="121"/>
      <c r="G9" s="121"/>
    </row>
    <row r="10" spans="1:11" s="1" customFormat="1" ht="17.25" customHeight="1">
      <c r="A10" s="117" t="s">
        <v>82</v>
      </c>
      <c r="B10" s="122">
        <f>'GHG &amp; CO2 EMISSIONS'!AN151</f>
        <v>-0.66341625756408185</v>
      </c>
    </row>
    <row r="11" spans="1:11">
      <c r="A11" s="118" t="s">
        <v>5</v>
      </c>
      <c r="B11" s="122">
        <f>'GHG &amp; CO2 EMISSIONS'!AN155</f>
        <v>-0.49162603342950228</v>
      </c>
    </row>
    <row r="12" spans="1:11">
      <c r="A12" s="118" t="s">
        <v>74</v>
      </c>
      <c r="B12" s="122">
        <f>'GHG &amp; CO2 EMISSIONS'!AN119</f>
        <v>-0.39488485223084091</v>
      </c>
    </row>
    <row r="13" spans="1:11">
      <c r="A13" s="118" t="s">
        <v>84</v>
      </c>
      <c r="B13" s="122">
        <f>'GHG &amp; CO2 EMISSIONS'!AN167</f>
        <v>-0.35025185582187623</v>
      </c>
    </row>
    <row r="14" spans="1:11">
      <c r="A14" s="118" t="s">
        <v>80</v>
      </c>
      <c r="B14" s="122">
        <f>'GHG &amp; CO2 EMISSIONS'!AN143</f>
        <v>-0.24017703517430622</v>
      </c>
    </row>
    <row r="15" spans="1:11" ht="28.5">
      <c r="A15" s="118" t="s">
        <v>156</v>
      </c>
      <c r="B15" s="12">
        <f>'GHG &amp; CO2 EMISSIONS'!AN3</f>
        <v>-0.30732469068505319</v>
      </c>
    </row>
    <row r="16" spans="1:11">
      <c r="A16" s="118" t="s">
        <v>78</v>
      </c>
      <c r="B16" s="122">
        <f>'GHG &amp; CO2 EMISSIONS'!AN135</f>
        <v>-0.34457578315091697</v>
      </c>
    </row>
    <row r="17" spans="1:34">
      <c r="A17" s="118" t="s">
        <v>77</v>
      </c>
      <c r="B17" s="122">
        <f>'GHG &amp; CO2 EMISSIONS'!AN131</f>
        <v>-0.27724473119635384</v>
      </c>
    </row>
    <row r="18" spans="1:34" ht="28.5">
      <c r="A18" s="118" t="s">
        <v>83</v>
      </c>
      <c r="B18" s="122">
        <f>'GHG &amp; CO2 EMISSIONS'!AN175</f>
        <v>-0.15363355886807839</v>
      </c>
    </row>
    <row r="19" spans="1:34">
      <c r="A19" s="118" t="s">
        <v>3</v>
      </c>
      <c r="B19" s="122">
        <f>'GHG &amp; CO2 EMISSIONS'!AN159</f>
        <v>-0.1773499567067971</v>
      </c>
    </row>
    <row r="20" spans="1:34">
      <c r="A20" s="118" t="s">
        <v>79</v>
      </c>
      <c r="B20" s="122">
        <f>'GHG &amp; CO2 EMISSIONS'!AN139</f>
        <v>-4.0196115863042836E-2</v>
      </c>
    </row>
    <row r="21" spans="1:34">
      <c r="A21" s="118" t="s">
        <v>8</v>
      </c>
      <c r="B21" s="122">
        <f>'GHG &amp; CO2 EMISSIONS'!AN171</f>
        <v>-7.0552412804162468E-2</v>
      </c>
    </row>
    <row r="22" spans="1:34">
      <c r="A22" s="118" t="s">
        <v>76</v>
      </c>
      <c r="B22" s="122">
        <f>'GHG &amp; CO2 EMISSIONS'!AN127</f>
        <v>1.4659477403115462E-2</v>
      </c>
    </row>
    <row r="23" spans="1:34">
      <c r="A23" s="118" t="s">
        <v>4</v>
      </c>
      <c r="B23" s="122">
        <f>'GHG &amp; CO2 EMISSIONS'!AN115</f>
        <v>4.1046811588700605E-2</v>
      </c>
    </row>
    <row r="24" spans="1:34">
      <c r="A24" s="118" t="s">
        <v>7</v>
      </c>
      <c r="B24" s="122">
        <f>'GHG &amp; CO2 EMISSIONS'!AN163</f>
        <v>0.13685368715262936</v>
      </c>
    </row>
    <row r="25" spans="1:34">
      <c r="A25" s="118" t="s">
        <v>75</v>
      </c>
      <c r="B25" s="122">
        <f>'GHG &amp; CO2 EMISSIONS'!AN123</f>
        <v>0.28015004673783506</v>
      </c>
    </row>
    <row r="26" spans="1:34">
      <c r="A26" s="118" t="s">
        <v>81</v>
      </c>
      <c r="B26" s="122">
        <f>'GHG &amp; CO2 EMISSIONS'!AN147</f>
        <v>1.4485341839171912</v>
      </c>
    </row>
    <row r="29" spans="1:34" ht="20.25">
      <c r="A29" s="119" t="s">
        <v>134</v>
      </c>
      <c r="B29" s="120"/>
      <c r="C29" s="121"/>
      <c r="D29" s="121"/>
      <c r="E29" s="121"/>
      <c r="F29" s="121"/>
      <c r="G29" s="121"/>
    </row>
    <row r="30" spans="1:34">
      <c r="B30" s="3">
        <v>1990</v>
      </c>
      <c r="C30" s="3">
        <v>1991</v>
      </c>
      <c r="D30" s="3">
        <v>1992</v>
      </c>
      <c r="E30" s="3">
        <v>1993</v>
      </c>
      <c r="F30" s="3">
        <v>1994</v>
      </c>
      <c r="G30" s="3">
        <v>1995</v>
      </c>
      <c r="H30" s="3">
        <v>1996</v>
      </c>
      <c r="I30" s="3">
        <v>1997</v>
      </c>
      <c r="J30" s="3">
        <v>1998</v>
      </c>
      <c r="K30" s="3">
        <v>1999</v>
      </c>
      <c r="L30" s="3">
        <v>2000</v>
      </c>
      <c r="M30" s="3">
        <v>2001</v>
      </c>
      <c r="N30" s="3">
        <v>2002</v>
      </c>
      <c r="O30" s="3">
        <v>2003</v>
      </c>
      <c r="P30" s="3">
        <v>2004</v>
      </c>
      <c r="Q30" s="3">
        <v>2005</v>
      </c>
      <c r="R30" s="3">
        <v>2006</v>
      </c>
      <c r="S30" s="3">
        <v>2007</v>
      </c>
      <c r="T30" s="3">
        <v>2008</v>
      </c>
      <c r="U30" s="3">
        <v>2009</v>
      </c>
      <c r="V30" s="3">
        <v>2010</v>
      </c>
      <c r="W30" s="3">
        <v>2011</v>
      </c>
      <c r="X30" s="3">
        <v>2012</v>
      </c>
      <c r="Y30" s="3">
        <v>2013</v>
      </c>
      <c r="Z30" s="3">
        <v>2014</v>
      </c>
      <c r="AA30" s="3">
        <v>2015</v>
      </c>
      <c r="AB30" s="3">
        <v>2016</v>
      </c>
      <c r="AC30" s="3">
        <v>2017</v>
      </c>
      <c r="AD30" s="3">
        <v>2018</v>
      </c>
      <c r="AE30" s="3">
        <v>2019</v>
      </c>
      <c r="AF30" s="3">
        <v>2020</v>
      </c>
      <c r="AG30" s="3">
        <v>2021</v>
      </c>
      <c r="AH30" s="3">
        <v>2022</v>
      </c>
    </row>
    <row r="31" spans="1:34">
      <c r="A31" s="1" t="s">
        <v>78</v>
      </c>
      <c r="B31" s="4">
        <f>'GHG &amp; CO2 EMISSIONS'!E135</f>
        <v>101.51214625353728</v>
      </c>
      <c r="C31" s="4">
        <f>'GHG &amp; CO2 EMISSIONS'!F135</f>
        <v>102.41395651644193</v>
      </c>
      <c r="D31" s="4">
        <f>'GHG &amp; CO2 EMISSIONS'!G135</f>
        <v>107.98422620511808</v>
      </c>
      <c r="E31" s="4">
        <f>'GHG &amp; CO2 EMISSIONS'!H135</f>
        <v>106.92218236322212</v>
      </c>
      <c r="F31" s="4">
        <f>'GHG &amp; CO2 EMISSIONS'!I135</f>
        <v>107.53615723102082</v>
      </c>
      <c r="G31" s="4">
        <f>'GHG &amp; CO2 EMISSIONS'!J135</f>
        <v>104.18724534412787</v>
      </c>
      <c r="H31" s="4">
        <f>'GHG &amp; CO2 EMISSIONS'!K135</f>
        <v>107.86782091561142</v>
      </c>
      <c r="I31" s="4">
        <f>'GHG &amp; CO2 EMISSIONS'!L135</f>
        <v>106.25856574128767</v>
      </c>
      <c r="J31" s="4">
        <f>'GHG &amp; CO2 EMISSIONS'!M135</f>
        <v>105.36412598375615</v>
      </c>
      <c r="K31" s="4">
        <f>'GHG &amp; CO2 EMISSIONS'!N135</f>
        <v>106.45151327470126</v>
      </c>
      <c r="L31" s="4">
        <f>'GHG &amp; CO2 EMISSIONS'!O135</f>
        <v>104.67246385342521</v>
      </c>
      <c r="M31" s="4">
        <f>'GHG &amp; CO2 EMISSIONS'!P135</f>
        <v>104.93332517662755</v>
      </c>
      <c r="N31" s="4">
        <f>'GHG &amp; CO2 EMISSIONS'!Q135</f>
        <v>105.2527472746284</v>
      </c>
      <c r="O31" s="4">
        <f>'GHG &amp; CO2 EMISSIONS'!R135</f>
        <v>102.3049780093851</v>
      </c>
      <c r="P31" s="4">
        <f>'GHG &amp; CO2 EMISSIONS'!S135</f>
        <v>97.207629120082487</v>
      </c>
      <c r="Q31" s="4">
        <f>'GHG &amp; CO2 EMISSIONS'!T135</f>
        <v>95.997140373605333</v>
      </c>
      <c r="R31" s="4">
        <f>'GHG &amp; CO2 EMISSIONS'!U135</f>
        <v>91.624451763597705</v>
      </c>
      <c r="S31" s="4">
        <f>'GHG &amp; CO2 EMISSIONS'!V135</f>
        <v>91.237661997251777</v>
      </c>
      <c r="T31" s="4">
        <f>'GHG &amp; CO2 EMISSIONS'!W135</f>
        <v>91.864857246447912</v>
      </c>
      <c r="U31" s="4">
        <f>'GHG &amp; CO2 EMISSIONS'!X135</f>
        <v>88.001740636896585</v>
      </c>
      <c r="V31" s="4">
        <f>'GHG &amp; CO2 EMISSIONS'!Y135</f>
        <v>85.693661082046731</v>
      </c>
      <c r="W31" s="4">
        <f>'GHG &amp; CO2 EMISSIONS'!Z135</f>
        <v>84.461506839006944</v>
      </c>
      <c r="X31" s="4">
        <f>'GHG &amp; CO2 EMISSIONS'!AA135</f>
        <v>87.806925471515484</v>
      </c>
      <c r="Y31" s="4">
        <f>'GHG &amp; CO2 EMISSIONS'!AB135</f>
        <v>90.200897490492792</v>
      </c>
      <c r="Z31" s="4">
        <f>'GHG &amp; CO2 EMISSIONS'!AC135</f>
        <v>84.737572544713743</v>
      </c>
      <c r="AA31" s="4">
        <f>'GHG &amp; CO2 EMISSIONS'!AD135</f>
        <v>88.012188324416655</v>
      </c>
      <c r="AB31" s="4">
        <f>'GHG &amp; CO2 EMISSIONS'!AE135</f>
        <v>86.807542324278927</v>
      </c>
      <c r="AC31" s="4">
        <f>'GHG &amp; CO2 EMISSIONS'!AF135</f>
        <v>83.321595667325937</v>
      </c>
      <c r="AD31" s="4">
        <f>'GHG &amp; CO2 EMISSIONS'!AG135</f>
        <v>86.252642806949638</v>
      </c>
      <c r="AE31" s="4">
        <f>'GHG &amp; CO2 EMISSIONS'!AH135</f>
        <v>82.173762438998608</v>
      </c>
      <c r="AF31" s="4">
        <f>'GHG &amp; CO2 EMISSIONS'!AI135</f>
        <v>69.265420969230718</v>
      </c>
      <c r="AG31" s="4">
        <f>'GHG &amp; CO2 EMISSIONS'!AJ135</f>
        <v>73.108944431502678</v>
      </c>
      <c r="AH31" s="4">
        <f>'GHG &amp; CO2 EMISSIONS'!AK135</f>
        <v>66.533518958894248</v>
      </c>
    </row>
    <row r="32" spans="1:34">
      <c r="A32" s="1" t="s">
        <v>77</v>
      </c>
      <c r="B32" s="4">
        <f>'GHG &amp; CO2 EMISSIONS'!E131</f>
        <v>229.01310861507832</v>
      </c>
      <c r="C32" s="4">
        <f>'GHG &amp; CO2 EMISSIONS'!F131</f>
        <v>236.54326401242912</v>
      </c>
      <c r="D32" s="4">
        <f>'GHG &amp; CO2 EMISSIONS'!G131</f>
        <v>236.68937685928972</v>
      </c>
      <c r="E32" s="4">
        <f>'GHG &amp; CO2 EMISSIONS'!H131</f>
        <v>243.72602658882732</v>
      </c>
      <c r="F32" s="4">
        <f>'GHG &amp; CO2 EMISSIONS'!I131</f>
        <v>230.05526601557904</v>
      </c>
      <c r="G32" s="4">
        <f>'GHG &amp; CO2 EMISSIONS'!J131</f>
        <v>233.78978437501513</v>
      </c>
      <c r="H32" s="4">
        <f>'GHG &amp; CO2 EMISSIONS'!K131</f>
        <v>236.11182801871152</v>
      </c>
      <c r="I32" s="4">
        <f>'GHG &amp; CO2 EMISSIONS'!L131</f>
        <v>248.61112798812525</v>
      </c>
      <c r="J32" s="4">
        <f>'GHG &amp; CO2 EMISSIONS'!M131</f>
        <v>259.55943950938985</v>
      </c>
      <c r="K32" s="4">
        <f>'GHG &amp; CO2 EMISSIONS'!N131</f>
        <v>256.47310131941271</v>
      </c>
      <c r="L32" s="4">
        <f>'GHG &amp; CO2 EMISSIONS'!O131</f>
        <v>247.0108091881774</v>
      </c>
      <c r="M32" s="4">
        <f>'GHG &amp; CO2 EMISSIONS'!P131</f>
        <v>246.65883743532245</v>
      </c>
      <c r="N32" s="4">
        <f>'GHG &amp; CO2 EMISSIONS'!Q131</f>
        <v>252.99876151840189</v>
      </c>
      <c r="O32" s="4">
        <f>'GHG &amp; CO2 EMISSIONS'!R131</f>
        <v>263.12471037398399</v>
      </c>
      <c r="P32" s="4">
        <f>'GHG &amp; CO2 EMISSIONS'!S131</f>
        <v>263.37407238848215</v>
      </c>
      <c r="Q32" s="4">
        <f>'GHG &amp; CO2 EMISSIONS'!T131</f>
        <v>263.9490979482398</v>
      </c>
      <c r="R32" s="4">
        <f>'GHG &amp; CO2 EMISSIONS'!U131</f>
        <v>267.60444869744919</v>
      </c>
      <c r="S32" s="4">
        <f>'GHG &amp; CO2 EMISSIONS'!V131</f>
        <v>238.38966475039624</v>
      </c>
      <c r="T32" s="4">
        <f>'GHG &amp; CO2 EMISSIONS'!W131</f>
        <v>258.05229364750812</v>
      </c>
      <c r="U32" s="4">
        <f>'GHG &amp; CO2 EMISSIONS'!X131</f>
        <v>243.27107832936119</v>
      </c>
      <c r="V32" s="4">
        <f>'GHG &amp; CO2 EMISSIONS'!Y131</f>
        <v>228.30831484992297</v>
      </c>
      <c r="W32" s="4">
        <f>'GHG &amp; CO2 EMISSIONS'!Z131</f>
        <v>215.42848635036012</v>
      </c>
      <c r="X32" s="4">
        <f>'GHG &amp; CO2 EMISSIONS'!AA131</f>
        <v>224.65397858192722</v>
      </c>
      <c r="Y32" s="4">
        <f>'GHG &amp; CO2 EMISSIONS'!AB131</f>
        <v>230.81538140120162</v>
      </c>
      <c r="Z32" s="4">
        <f>'GHG &amp; CO2 EMISSIONS'!AC131</f>
        <v>199.75494063587564</v>
      </c>
      <c r="AA32" s="4">
        <f>'GHG &amp; CO2 EMISSIONS'!AD131</f>
        <v>198.10821661404358</v>
      </c>
      <c r="AB32" s="4">
        <f>'GHG &amp; CO2 EMISSIONS'!AE131</f>
        <v>187.73580212316079</v>
      </c>
      <c r="AC32" s="4">
        <f>'GHG &amp; CO2 EMISSIONS'!AF131</f>
        <v>193.28158569232698</v>
      </c>
      <c r="AD32" s="4">
        <f>'GHG &amp; CO2 EMISSIONS'!AG131</f>
        <v>181.0357460940445</v>
      </c>
      <c r="AE32" s="4">
        <f>'GHG &amp; CO2 EMISSIONS'!AH131</f>
        <v>187.67127410177443</v>
      </c>
      <c r="AF32" s="4">
        <f>'GHG &amp; CO2 EMISSIONS'!AI131</f>
        <v>180.10863487745871</v>
      </c>
      <c r="AG32" s="4">
        <f>'GHG &amp; CO2 EMISSIONS'!AJ131</f>
        <v>183.25545722372206</v>
      </c>
      <c r="AH32" s="4">
        <f>'GHG &amp; CO2 EMISSIONS'!AK131</f>
        <v>165.52043087664956</v>
      </c>
    </row>
    <row r="33" spans="1:34">
      <c r="A33" s="1" t="s">
        <v>75</v>
      </c>
      <c r="B33" s="4">
        <f>'GHG &amp; CO2 EMISSIONS'!E123</f>
        <v>3644.8859368986186</v>
      </c>
      <c r="C33" s="4">
        <f>'GHG &amp; CO2 EMISSIONS'!F123</f>
        <v>3433.537147015456</v>
      </c>
      <c r="D33" s="4">
        <f>'GHG &amp; CO2 EMISSIONS'!G123</f>
        <v>3363.3465484766302</v>
      </c>
      <c r="E33" s="4">
        <f>'GHG &amp; CO2 EMISSIONS'!H123</f>
        <v>3446.5113226484073</v>
      </c>
      <c r="F33" s="4">
        <f>'GHG &amp; CO2 EMISSIONS'!I123</f>
        <v>3376.389328513982</v>
      </c>
      <c r="G33" s="4">
        <f>'GHG &amp; CO2 EMISSIONS'!J123</f>
        <v>3503.9526441781163</v>
      </c>
      <c r="H33" s="4">
        <f>'GHG &amp; CO2 EMISSIONS'!K123</f>
        <v>3558.7029569515598</v>
      </c>
      <c r="I33" s="4">
        <f>'GHG &amp; CO2 EMISSIONS'!L123</f>
        <v>3715.6563526963928</v>
      </c>
      <c r="J33" s="4">
        <f>'GHG &amp; CO2 EMISSIONS'!M123</f>
        <v>3861.7593722990114</v>
      </c>
      <c r="K33" s="4">
        <f>'GHG &amp; CO2 EMISSIONS'!N123</f>
        <v>4077.1190712623566</v>
      </c>
      <c r="L33" s="4">
        <f>'GHG &amp; CO2 EMISSIONS'!O123</f>
        <v>4106.7194307234522</v>
      </c>
      <c r="M33" s="4">
        <f>'GHG &amp; CO2 EMISSIONS'!P123</f>
        <v>4000.7048483548824</v>
      </c>
      <c r="N33" s="4">
        <f>'GHG &amp; CO2 EMISSIONS'!Q123</f>
        <v>4086.5725712519124</v>
      </c>
      <c r="O33" s="4">
        <f>'GHG &amp; CO2 EMISSIONS'!R123</f>
        <v>4056.6351976149235</v>
      </c>
      <c r="P33" s="4">
        <f>'GHG &amp; CO2 EMISSIONS'!S123</f>
        <v>4164.5623416583558</v>
      </c>
      <c r="Q33" s="4">
        <f>'GHG &amp; CO2 EMISSIONS'!T123</f>
        <v>4022.3502260717096</v>
      </c>
      <c r="R33" s="4">
        <f>'GHG &amp; CO2 EMISSIONS'!U123</f>
        <v>4579.1183709031884</v>
      </c>
      <c r="S33" s="4">
        <f>'GHG &amp; CO2 EMISSIONS'!V123</f>
        <v>4884.7558090557659</v>
      </c>
      <c r="T33" s="4">
        <f>'GHG &amp; CO2 EMISSIONS'!W123</f>
        <v>5267.0252351884264</v>
      </c>
      <c r="U33" s="4">
        <f>'GHG &amp; CO2 EMISSIONS'!X123</f>
        <v>4966.7365494421174</v>
      </c>
      <c r="V33" s="4">
        <f>'GHG &amp; CO2 EMISSIONS'!Y123</f>
        <v>4867.6069385407518</v>
      </c>
      <c r="W33" s="4">
        <f>'GHG &amp; CO2 EMISSIONS'!Z123</f>
        <v>4655.2221958521677</v>
      </c>
      <c r="X33" s="4">
        <f>'GHG &amp; CO2 EMISSIONS'!AA123</f>
        <v>4648.786958022094</v>
      </c>
      <c r="Y33" s="4">
        <f>'GHG &amp; CO2 EMISSIONS'!AB123</f>
        <v>4645.4648776568592</v>
      </c>
      <c r="Z33" s="4">
        <f>'GHG &amp; CO2 EMISSIONS'!AC123</f>
        <v>4652.6905175354068</v>
      </c>
      <c r="AA33" s="4">
        <f>'GHG &amp; CO2 EMISSIONS'!AD123</f>
        <v>4734.3967239557205</v>
      </c>
      <c r="AB33" s="4">
        <f>'GHG &amp; CO2 EMISSIONS'!AE123</f>
        <v>4687.8362333261721</v>
      </c>
      <c r="AC33" s="4">
        <f>'GHG &amp; CO2 EMISSIONS'!AF123</f>
        <v>4773.8292090012683</v>
      </c>
      <c r="AD33" s="4">
        <f>'GHG &amp; CO2 EMISSIONS'!AG123</f>
        <v>4828.4083323084515</v>
      </c>
      <c r="AE33" s="4">
        <f>'GHG &amp; CO2 EMISSIONS'!AH123</f>
        <v>4688.9919121745233</v>
      </c>
      <c r="AF33" s="4">
        <f>'GHG &amp; CO2 EMISSIONS'!AI123</f>
        <v>4495.4667171109741</v>
      </c>
      <c r="AG33" s="4">
        <f>'GHG &amp; CO2 EMISSIONS'!AJ123</f>
        <v>4631.3896229293259</v>
      </c>
      <c r="AH33" s="4">
        <f>'GHG &amp; CO2 EMISSIONS'!AK123</f>
        <v>4666.0009024748442</v>
      </c>
    </row>
    <row r="34" spans="1:34">
      <c r="A34" s="1" t="s">
        <v>80</v>
      </c>
      <c r="B34" s="4">
        <f>'GHG &amp; CO2 EMISSIONS'!E143</f>
        <v>54665.542967645808</v>
      </c>
      <c r="C34" s="4">
        <f>'GHG &amp; CO2 EMISSIONS'!F143</f>
        <v>56538.209108330033</v>
      </c>
      <c r="D34" s="4">
        <f>'GHG &amp; CO2 EMISSIONS'!G143</f>
        <v>56272.971649207619</v>
      </c>
      <c r="E34" s="4">
        <f>'GHG &amp; CO2 EMISSIONS'!H143</f>
        <v>53679.344906005652</v>
      </c>
      <c r="F34" s="4">
        <f>'GHG &amp; CO2 EMISSIONS'!I143</f>
        <v>52622.104027187241</v>
      </c>
      <c r="G34" s="4">
        <f>'GHG &amp; CO2 EMISSIONS'!J143</f>
        <v>53511.063992829913</v>
      </c>
      <c r="H34" s="4">
        <f>'GHG &amp; CO2 EMISSIONS'!K143</f>
        <v>54173.137658462365</v>
      </c>
      <c r="I34" s="4">
        <f>'GHG &amp; CO2 EMISSIONS'!L143</f>
        <v>52971.460223477094</v>
      </c>
      <c r="J34" s="4">
        <f>'GHG &amp; CO2 EMISSIONS'!M143</f>
        <v>54520.903365068822</v>
      </c>
      <c r="K34" s="4">
        <f>'GHG &amp; CO2 EMISSIONS'!N143</f>
        <v>54334.563596598608</v>
      </c>
      <c r="L34" s="4">
        <f>'GHG &amp; CO2 EMISSIONS'!O143</f>
        <v>53604.880991821745</v>
      </c>
      <c r="M34" s="4">
        <f>'GHG &amp; CO2 EMISSIONS'!P143</f>
        <v>55147.044445818472</v>
      </c>
      <c r="N34" s="4">
        <f>'GHG &amp; CO2 EMISSIONS'!Q143</f>
        <v>53601.822432588604</v>
      </c>
      <c r="O34" s="4">
        <f>'GHG &amp; CO2 EMISSIONS'!R143</f>
        <v>54673.999241473575</v>
      </c>
      <c r="P34" s="4">
        <f>'GHG &amp; CO2 EMISSIONS'!S143</f>
        <v>55281.76856649726</v>
      </c>
      <c r="Q34" s="4">
        <f>'GHG &amp; CO2 EMISSIONS'!T143</f>
        <v>55916.389751231683</v>
      </c>
      <c r="R34" s="4">
        <f>'GHG &amp; CO2 EMISSIONS'!U143</f>
        <v>55591.864309766497</v>
      </c>
      <c r="S34" s="4">
        <f>'GHG &amp; CO2 EMISSIONS'!V143</f>
        <v>53656.316881508305</v>
      </c>
      <c r="T34" s="4">
        <f>'GHG &amp; CO2 EMISSIONS'!W143</f>
        <v>55054.195767596349</v>
      </c>
      <c r="U34" s="4">
        <f>'GHG &amp; CO2 EMISSIONS'!X143</f>
        <v>53576.785556569703</v>
      </c>
      <c r="V34" s="4">
        <f>'GHG &amp; CO2 EMISSIONS'!Y143</f>
        <v>55160.413723303936</v>
      </c>
      <c r="W34" s="4">
        <f>'GHG &amp; CO2 EMISSIONS'!Z143</f>
        <v>51042.395434096819</v>
      </c>
      <c r="X34" s="4">
        <f>'GHG &amp; CO2 EMISSIONS'!AA143</f>
        <v>52375.112735610121</v>
      </c>
      <c r="Y34" s="4">
        <f>'GHG &amp; CO2 EMISSIONS'!AB143</f>
        <v>53228.90402372332</v>
      </c>
      <c r="Z34" s="4">
        <f>'GHG &amp; CO2 EMISSIONS'!AC143</f>
        <v>49294.253782859239</v>
      </c>
      <c r="AA34" s="4">
        <f>'GHG &amp; CO2 EMISSIONS'!AD143</f>
        <v>48781.558231018782</v>
      </c>
      <c r="AB34" s="4">
        <f>'GHG &amp; CO2 EMISSIONS'!AE143</f>
        <v>49086.684553956489</v>
      </c>
      <c r="AC34" s="4">
        <f>'GHG &amp; CO2 EMISSIONS'!AF143</f>
        <v>48116.061904587994</v>
      </c>
      <c r="AD34" s="4">
        <f>'GHG &amp; CO2 EMISSIONS'!AG143</f>
        <v>46614.28078556119</v>
      </c>
      <c r="AE34" s="4">
        <f>'GHG &amp; CO2 EMISSIONS'!AH143</f>
        <v>46361.670801136883</v>
      </c>
      <c r="AF34" s="4">
        <f>'GHG &amp; CO2 EMISSIONS'!AI143</f>
        <v>43696.817568229941</v>
      </c>
      <c r="AG34" s="4">
        <f>'GHG &amp; CO2 EMISSIONS'!AJ143</f>
        <v>45042.28937000993</v>
      </c>
      <c r="AH34" s="4">
        <f>'GHG &amp; CO2 EMISSIONS'!AK143</f>
        <v>41536.134931482993</v>
      </c>
    </row>
    <row r="35" spans="1:34">
      <c r="A35" s="1" t="s">
        <v>79</v>
      </c>
      <c r="B35" s="4">
        <f>'GHG &amp; CO2 EMISSIONS'!E139</f>
        <v>50796.769249585668</v>
      </c>
      <c r="C35" s="4">
        <f>'GHG &amp; CO2 EMISSIONS'!F139</f>
        <v>48400.868079214422</v>
      </c>
      <c r="D35" s="4">
        <f>'GHG &amp; CO2 EMISSIONS'!G139</f>
        <v>46770.378949129619</v>
      </c>
      <c r="E35" s="4">
        <f>'GHG &amp; CO2 EMISSIONS'!H139</f>
        <v>48639.019526145421</v>
      </c>
      <c r="F35" s="4">
        <f>'GHG &amp; CO2 EMISSIONS'!I139</f>
        <v>50545.044552851861</v>
      </c>
      <c r="G35" s="4">
        <f>'GHG &amp; CO2 EMISSIONS'!J139</f>
        <v>50904.26843756868</v>
      </c>
      <c r="H35" s="4">
        <f>'GHG &amp; CO2 EMISSIONS'!K139</f>
        <v>53786.903044414685</v>
      </c>
      <c r="I35" s="4">
        <f>'GHG &amp; CO2 EMISSIONS'!L139</f>
        <v>53750.971830855597</v>
      </c>
      <c r="J35" s="4">
        <f>'GHG &amp; CO2 EMISSIONS'!M139</f>
        <v>53822.511424745549</v>
      </c>
      <c r="K35" s="4">
        <f>'GHG &amp; CO2 EMISSIONS'!N139</f>
        <v>54783.755305181752</v>
      </c>
      <c r="L35" s="4">
        <f>'GHG &amp; CO2 EMISSIONS'!O139</f>
        <v>54117.224863793439</v>
      </c>
      <c r="M35" s="4">
        <f>'GHG &amp; CO2 EMISSIONS'!P139</f>
        <v>55318.288359223443</v>
      </c>
      <c r="N35" s="4">
        <f>'GHG &amp; CO2 EMISSIONS'!Q139</f>
        <v>54149.652444826599</v>
      </c>
      <c r="O35" s="4">
        <f>'GHG &amp; CO2 EMISSIONS'!R139</f>
        <v>54898.128139605935</v>
      </c>
      <c r="P35" s="4">
        <f>'GHG &amp; CO2 EMISSIONS'!S139</f>
        <v>55362.103859597686</v>
      </c>
      <c r="Q35" s="4">
        <f>'GHG &amp; CO2 EMISSIONS'!T139</f>
        <v>54375.270500381841</v>
      </c>
      <c r="R35" s="4">
        <f>'GHG &amp; CO2 EMISSIONS'!U139</f>
        <v>54429.200784131761</v>
      </c>
      <c r="S35" s="4">
        <f>'GHG &amp; CO2 EMISSIONS'!V139</f>
        <v>56134.042022664871</v>
      </c>
      <c r="T35" s="4">
        <f>'GHG &amp; CO2 EMISSIONS'!W139</f>
        <v>54700.232611239262</v>
      </c>
      <c r="U35" s="4">
        <f>'GHG &amp; CO2 EMISSIONS'!X139</f>
        <v>52233.299511456069</v>
      </c>
      <c r="V35" s="4">
        <f>'GHG &amp; CO2 EMISSIONS'!Y139</f>
        <v>54555.85326526688</v>
      </c>
      <c r="W35" s="4">
        <f>'GHG &amp; CO2 EMISSIONS'!Z139</f>
        <v>53589.90588294818</v>
      </c>
      <c r="X35" s="4">
        <f>'GHG &amp; CO2 EMISSIONS'!AA139</f>
        <v>53020.557054560311</v>
      </c>
      <c r="Y35" s="4">
        <f>'GHG &amp; CO2 EMISSIONS'!AB139</f>
        <v>53249.592529597459</v>
      </c>
      <c r="Z35" s="4">
        <f>'GHG &amp; CO2 EMISSIONS'!AC139</f>
        <v>53620.43933033268</v>
      </c>
      <c r="AA35" s="4">
        <f>'GHG &amp; CO2 EMISSIONS'!AD139</f>
        <v>54141.062564871841</v>
      </c>
      <c r="AB35" s="4">
        <f>'GHG &amp; CO2 EMISSIONS'!AE139</f>
        <v>53275.633887589473</v>
      </c>
      <c r="AC35" s="4">
        <f>'GHG &amp; CO2 EMISSIONS'!AF139</f>
        <v>52577.877823366907</v>
      </c>
      <c r="AD35" s="4">
        <f>'GHG &amp; CO2 EMISSIONS'!AG139</f>
        <v>52670.862422024125</v>
      </c>
      <c r="AE35" s="4">
        <f>'GHG &amp; CO2 EMISSIONS'!AH139</f>
        <v>50919.945130137705</v>
      </c>
      <c r="AF35" s="4">
        <f>'GHG &amp; CO2 EMISSIONS'!AI139</f>
        <v>49251.978755528558</v>
      </c>
      <c r="AG35" s="4">
        <f>'GHG &amp; CO2 EMISSIONS'!AJ139</f>
        <v>49124.970386074121</v>
      </c>
      <c r="AH35" s="4">
        <f>'GHG &amp; CO2 EMISSIONS'!AK139</f>
        <v>48754.93642736107</v>
      </c>
    </row>
    <row r="36" spans="1:34">
      <c r="A36" s="1" t="s">
        <v>7</v>
      </c>
      <c r="B36" s="4">
        <f>'GHG &amp; CO2 EMISSIONS'!E163</f>
        <v>68958.181726592331</v>
      </c>
      <c r="C36" s="4">
        <f>'GHG &amp; CO2 EMISSIONS'!F163</f>
        <v>69918.613478798536</v>
      </c>
      <c r="D36" s="4">
        <f>'GHG &amp; CO2 EMISSIONS'!G163</f>
        <v>71163.043192240526</v>
      </c>
      <c r="E36" s="4">
        <f>'GHG &amp; CO2 EMISSIONS'!H163</f>
        <v>71017.984624481804</v>
      </c>
      <c r="F36" s="4">
        <f>'GHG &amp; CO2 EMISSIONS'!I163</f>
        <v>72398.448948708668</v>
      </c>
      <c r="G36" s="4">
        <f>'GHG &amp; CO2 EMISSIONS'!J163</f>
        <v>72988.346674344051</v>
      </c>
      <c r="H36" s="4">
        <f>'GHG &amp; CO2 EMISSIONS'!K163</f>
        <v>75526.572778376896</v>
      </c>
      <c r="I36" s="4">
        <f>'GHG &amp; CO2 EMISSIONS'!L163</f>
        <v>78163.571116549516</v>
      </c>
      <c r="J36" s="4">
        <f>'GHG &amp; CO2 EMISSIONS'!M163</f>
        <v>75967.86965370593</v>
      </c>
      <c r="K36" s="4">
        <f>'GHG &amp; CO2 EMISSIONS'!N163</f>
        <v>77508.084798788157</v>
      </c>
      <c r="L36" s="4">
        <f>'GHG &amp; CO2 EMISSIONS'!O163</f>
        <v>79531.378394201616</v>
      </c>
      <c r="M36" s="4">
        <f>'GHG &amp; CO2 EMISSIONS'!P163</f>
        <v>82441.795710136736</v>
      </c>
      <c r="N36" s="4">
        <f>'GHG &amp; CO2 EMISSIONS'!Q163</f>
        <v>82361.963073147446</v>
      </c>
      <c r="O36" s="4">
        <f>'GHG &amp; CO2 EMISSIONS'!R163</f>
        <v>84660.384645025071</v>
      </c>
      <c r="P36" s="4">
        <f>'GHG &amp; CO2 EMISSIONS'!S163</f>
        <v>84691.058963192962</v>
      </c>
      <c r="Q36" s="4">
        <f>'GHG &amp; CO2 EMISSIONS'!T163</f>
        <v>86615.377459050011</v>
      </c>
      <c r="R36" s="4">
        <f>'GHG &amp; CO2 EMISSIONS'!U163</f>
        <v>86726.863364364559</v>
      </c>
      <c r="S36" s="4">
        <f>'GHG &amp; CO2 EMISSIONS'!V163</f>
        <v>84260.940688153496</v>
      </c>
      <c r="T36" s="4">
        <f>'GHG &amp; CO2 EMISSIONS'!W163</f>
        <v>84268.353237288189</v>
      </c>
      <c r="U36" s="4">
        <f>'GHG &amp; CO2 EMISSIONS'!X163</f>
        <v>81413.892035055993</v>
      </c>
      <c r="V36" s="4">
        <f>'GHG &amp; CO2 EMISSIONS'!Y163</f>
        <v>82097.531433064098</v>
      </c>
      <c r="W36" s="4">
        <f>'GHG &amp; CO2 EMISSIONS'!Z163</f>
        <v>81723.811853400213</v>
      </c>
      <c r="X36" s="4">
        <f>'GHG &amp; CO2 EMISSIONS'!AA163</f>
        <v>84065.666675183558</v>
      </c>
      <c r="Y36" s="4">
        <f>'GHG &amp; CO2 EMISSIONS'!AB163</f>
        <v>83248.072687952488</v>
      </c>
      <c r="Z36" s="4">
        <f>'GHG &amp; CO2 EMISSIONS'!AC163</f>
        <v>84107.417336913903</v>
      </c>
      <c r="AA36" s="4">
        <f>'GHG &amp; CO2 EMISSIONS'!AD163</f>
        <v>83894.632561662424</v>
      </c>
      <c r="AB36" s="4">
        <f>'GHG &amp; CO2 EMISSIONS'!AE163</f>
        <v>81656.181167390474</v>
      </c>
      <c r="AC36" s="4">
        <f>'GHG &amp; CO2 EMISSIONS'!AF163</f>
        <v>83073.082610106358</v>
      </c>
      <c r="AD36" s="4">
        <f>'GHG &amp; CO2 EMISSIONS'!AG163</f>
        <v>83434.604331181879</v>
      </c>
      <c r="AE36" s="4">
        <f>'GHG &amp; CO2 EMISSIONS'!AH163</f>
        <v>84586.236538461744</v>
      </c>
      <c r="AF36" s="4">
        <f>'GHG &amp; CO2 EMISSIONS'!AI163</f>
        <v>81881.845501149437</v>
      </c>
      <c r="AG36" s="4">
        <f>'GHG &amp; CO2 EMISSIONS'!AJ163</f>
        <v>81808.919800596952</v>
      </c>
      <c r="AH36" s="4">
        <f>'GHG &amp; CO2 EMISSIONS'!AK163</f>
        <v>78395.363155217565</v>
      </c>
    </row>
    <row r="37" spans="1:34">
      <c r="A37" s="1" t="s">
        <v>74</v>
      </c>
      <c r="B37" s="4">
        <f>'GHG &amp; CO2 EMISSIONS'!E119</f>
        <v>146017.39674747791</v>
      </c>
      <c r="C37" s="4">
        <f>'GHG &amp; CO2 EMISSIONS'!F119</f>
        <v>140280.31255995255</v>
      </c>
      <c r="D37" s="4">
        <f>'GHG &amp; CO2 EMISSIONS'!G119</f>
        <v>126622.57387992073</v>
      </c>
      <c r="E37" s="4">
        <f>'GHG &amp; CO2 EMISSIONS'!H119</f>
        <v>112913.07224138058</v>
      </c>
      <c r="F37" s="4">
        <f>'GHG &amp; CO2 EMISSIONS'!I119</f>
        <v>97041.080022557609</v>
      </c>
      <c r="G37" s="4">
        <f>'GHG &amp; CO2 EMISSIONS'!J119</f>
        <v>88585.630343110592</v>
      </c>
      <c r="H37" s="4">
        <f>'GHG &amp; CO2 EMISSIONS'!K119</f>
        <v>89273.855310795567</v>
      </c>
      <c r="I37" s="4">
        <f>'GHG &amp; CO2 EMISSIONS'!L119</f>
        <v>89488.082886593969</v>
      </c>
      <c r="J37" s="4">
        <f>'GHG &amp; CO2 EMISSIONS'!M119</f>
        <v>88248.484802827021</v>
      </c>
      <c r="K37" s="4">
        <f>'GHG &amp; CO2 EMISSIONS'!N119</f>
        <v>84738.827718571309</v>
      </c>
      <c r="L37" s="4">
        <f>'GHG &amp; CO2 EMISSIONS'!O119</f>
        <v>81594.486214268982</v>
      </c>
      <c r="M37" s="4">
        <f>'GHG &amp; CO2 EMISSIONS'!P119</f>
        <v>80277.211131886346</v>
      </c>
      <c r="N37" s="4">
        <f>'GHG &amp; CO2 EMISSIONS'!Q119</f>
        <v>79609.543614631955</v>
      </c>
      <c r="O37" s="4">
        <f>'GHG &amp; CO2 EMISSIONS'!R119</f>
        <v>81338.269508075085</v>
      </c>
      <c r="P37" s="4">
        <f>'GHG &amp; CO2 EMISSIONS'!S119</f>
        <v>84962.014290211446</v>
      </c>
      <c r="Q37" s="4">
        <f>'GHG &amp; CO2 EMISSIONS'!T119</f>
        <v>86916.64074303364</v>
      </c>
      <c r="R37" s="4">
        <f>'GHG &amp; CO2 EMISSIONS'!U119</f>
        <v>90224.742654332964</v>
      </c>
      <c r="S37" s="4">
        <f>'GHG &amp; CO2 EMISSIONS'!V119</f>
        <v>88655.261854059208</v>
      </c>
      <c r="T37" s="4">
        <f>'GHG &amp; CO2 EMISSIONS'!W119</f>
        <v>92082.616250806459</v>
      </c>
      <c r="U37" s="4">
        <f>'GHG &amp; CO2 EMISSIONS'!X119</f>
        <v>90071.633848031066</v>
      </c>
      <c r="V37" s="4">
        <f>'GHG &amp; CO2 EMISSIONS'!Y119</f>
        <v>92325.186645973925</v>
      </c>
      <c r="W37" s="4">
        <f>'GHG &amp; CO2 EMISSIONS'!Z119</f>
        <v>91629.619041174679</v>
      </c>
      <c r="X37" s="4">
        <f>'GHG &amp; CO2 EMISSIONS'!AA119</f>
        <v>92781.425007289741</v>
      </c>
      <c r="Y37" s="4">
        <f>'GHG &amp; CO2 EMISSIONS'!AB119</f>
        <v>94773.345353007811</v>
      </c>
      <c r="Z37" s="4">
        <f>'GHG &amp; CO2 EMISSIONS'!AC119</f>
        <v>93715.947131051274</v>
      </c>
      <c r="AA37" s="4">
        <f>'GHG &amp; CO2 EMISSIONS'!AD119</f>
        <v>88595.921134964476</v>
      </c>
      <c r="AB37" s="4">
        <f>'GHG &amp; CO2 EMISSIONS'!AE119</f>
        <v>87817.885405278503</v>
      </c>
      <c r="AC37" s="4">
        <f>'GHG &amp; CO2 EMISSIONS'!AF119</f>
        <v>89465.982861779674</v>
      </c>
      <c r="AD37" s="4">
        <f>'GHG &amp; CO2 EMISSIONS'!AG119</f>
        <v>92398.999331154613</v>
      </c>
      <c r="AE37" s="4">
        <f>'GHG &amp; CO2 EMISSIONS'!AH119</f>
        <v>92546.86980072163</v>
      </c>
      <c r="AF37" s="4">
        <f>'GHG &amp; CO2 EMISSIONS'!AI119</f>
        <v>90095.943040208658</v>
      </c>
      <c r="AG37" s="4">
        <f>'GHG &amp; CO2 EMISSIONS'!AJ119</f>
        <v>92147.074887508847</v>
      </c>
      <c r="AH37" s="4">
        <f>'GHG &amp; CO2 EMISSIONS'!AK119</f>
        <v>88357.338609718019</v>
      </c>
    </row>
    <row r="38" spans="1:34">
      <c r="A38" s="1" t="s">
        <v>82</v>
      </c>
      <c r="B38" s="4">
        <f>'GHG &amp; CO2 EMISSIONS'!E151</f>
        <v>962527.74592499365</v>
      </c>
      <c r="C38" s="4">
        <f>'GHG &amp; CO2 EMISSIONS'!F151</f>
        <v>875728.9217880168</v>
      </c>
      <c r="D38" s="4">
        <f>'GHG &amp; CO2 EMISSIONS'!G151</f>
        <v>819946.96668049169</v>
      </c>
      <c r="E38" s="4">
        <f>'GHG &amp; CO2 EMISSIONS'!H151</f>
        <v>728907.09019378724</v>
      </c>
      <c r="F38" s="4">
        <f>'GHG &amp; CO2 EMISSIONS'!I151</f>
        <v>622241.87909136305</v>
      </c>
      <c r="G38" s="4">
        <f>'GHG &amp; CO2 EMISSIONS'!J151</f>
        <v>578197.70361357927</v>
      </c>
      <c r="H38" s="4">
        <f>'GHG &amp; CO2 EMISSIONS'!K151</f>
        <v>531404.52958574193</v>
      </c>
      <c r="I38" s="4">
        <f>'GHG &amp; CO2 EMISSIONS'!L151</f>
        <v>513839.96897152287</v>
      </c>
      <c r="J38" s="4">
        <f>'GHG &amp; CO2 EMISSIONS'!M151</f>
        <v>495605.2756830423</v>
      </c>
      <c r="K38" s="4">
        <f>'GHG &amp; CO2 EMISSIONS'!N151</f>
        <v>464710.18919496605</v>
      </c>
      <c r="L38" s="4">
        <f>'GHG &amp; CO2 EMISSIONS'!O151</f>
        <v>441129.19266873924</v>
      </c>
      <c r="M38" s="4">
        <f>'GHG &amp; CO2 EMISSIONS'!P151</f>
        <v>459229.08572165552</v>
      </c>
      <c r="N38" s="4">
        <f>'GHG &amp; CO2 EMISSIONS'!Q151</f>
        <v>443289.705219016</v>
      </c>
      <c r="O38" s="4">
        <f>'GHG &amp; CO2 EMISSIONS'!R151</f>
        <v>452604.49247362436</v>
      </c>
      <c r="P38" s="4">
        <f>'GHG &amp; CO2 EMISSIONS'!S151</f>
        <v>454850.50673553493</v>
      </c>
      <c r="Q38" s="4">
        <f>'GHG &amp; CO2 EMISSIONS'!T151</f>
        <v>453541.15848061128</v>
      </c>
      <c r="R38" s="4">
        <f>'GHG &amp; CO2 EMISSIONS'!U151</f>
        <v>470659.43087687419</v>
      </c>
      <c r="S38" s="4">
        <f>'GHG &amp; CO2 EMISSIONS'!V151</f>
        <v>474135.56100864062</v>
      </c>
      <c r="T38" s="4">
        <f>'GHG &amp; CO2 EMISSIONS'!W151</f>
        <v>460158.18711400859</v>
      </c>
      <c r="U38" s="4">
        <f>'GHG &amp; CO2 EMISSIONS'!X151</f>
        <v>399806.13999057154</v>
      </c>
      <c r="V38" s="4">
        <f>'GHG &amp; CO2 EMISSIONS'!Y151</f>
        <v>416608.40769814164</v>
      </c>
      <c r="W38" s="4">
        <f>'GHG &amp; CO2 EMISSIONS'!Z151</f>
        <v>437108.71610924171</v>
      </c>
      <c r="X38" s="4">
        <f>'GHG &amp; CO2 EMISSIONS'!AA151</f>
        <v>425553.61198622611</v>
      </c>
      <c r="Y38" s="4">
        <f>'GHG &amp; CO2 EMISSIONS'!AB151</f>
        <v>415825.38186507823</v>
      </c>
      <c r="Z38" s="4">
        <f>'GHG &amp; CO2 EMISSIONS'!AC151</f>
        <v>368251.17972142907</v>
      </c>
      <c r="AA38" s="4">
        <f>'GHG &amp; CO2 EMISSIONS'!AD151</f>
        <v>323971.19092184294</v>
      </c>
      <c r="AB38" s="4">
        <f>'GHG &amp; CO2 EMISSIONS'!AE151</f>
        <v>342484.12554424099</v>
      </c>
      <c r="AC38" s="4">
        <f>'GHG &amp; CO2 EMISSIONS'!AF151</f>
        <v>328144.92893472291</v>
      </c>
      <c r="AD38" s="4">
        <f>'GHG &amp; CO2 EMISSIONS'!AG151</f>
        <v>344327.97880557523</v>
      </c>
      <c r="AE38" s="4">
        <f>'GHG &amp; CO2 EMISSIONS'!AH151</f>
        <v>339605.08753625146</v>
      </c>
      <c r="AF38" s="4">
        <f>'GHG &amp; CO2 EMISSIONS'!AI151</f>
        <v>324525.07090937532</v>
      </c>
      <c r="AG38" s="4">
        <f>'GHG &amp; CO2 EMISSIONS'!AJ151</f>
        <v>332893.96157714847</v>
      </c>
      <c r="AH38" s="4">
        <f>'GHG &amp; CO2 EMISSIONS'!AK151</f>
        <v>238262.87086296052</v>
      </c>
    </row>
    <row r="39" spans="1:34">
      <c r="A39" s="1" t="s">
        <v>76</v>
      </c>
      <c r="B39" s="4">
        <f>'GHG &amp; CO2 EMISSIONS'!E127</f>
        <v>390526.062496937</v>
      </c>
      <c r="C39" s="4">
        <f>'GHG &amp; CO2 EMISSIONS'!F127</f>
        <v>372803.85843495553</v>
      </c>
      <c r="D39" s="4">
        <f>'GHG &amp; CO2 EMISSIONS'!G127</f>
        <v>343803.84685058176</v>
      </c>
      <c r="E39" s="4">
        <f>'GHG &amp; CO2 EMISSIONS'!H127</f>
        <v>308738.64398706501</v>
      </c>
      <c r="F39" s="4">
        <f>'GHG &amp; CO2 EMISSIONS'!I127</f>
        <v>261032.15550928639</v>
      </c>
      <c r="G39" s="4">
        <f>'GHG &amp; CO2 EMISSIONS'!J127</f>
        <v>244480.300966034</v>
      </c>
      <c r="H39" s="4">
        <f>'GHG &amp; CO2 EMISSIONS'!K127</f>
        <v>228515.08692593389</v>
      </c>
      <c r="I39" s="4">
        <f>'GHG &amp; CO2 EMISSIONS'!L127</f>
        <v>221863.40089565367</v>
      </c>
      <c r="J39" s="4">
        <f>'GHG &amp; CO2 EMISSIONS'!M127</f>
        <v>227732.96777977317</v>
      </c>
      <c r="K39" s="4">
        <f>'GHG &amp; CO2 EMISSIONS'!N127</f>
        <v>193057.63001147876</v>
      </c>
      <c r="L39" s="4">
        <f>'GHG &amp; CO2 EMISSIONS'!O127</f>
        <v>219119.44538328791</v>
      </c>
      <c r="M39" s="4">
        <f>'GHG &amp; CO2 EMISSIONS'!P127</f>
        <v>213273.50781150616</v>
      </c>
      <c r="N39" s="4">
        <f>'GHG &amp; CO2 EMISSIONS'!Q127</f>
        <v>235768.54400248657</v>
      </c>
      <c r="O39" s="4">
        <f>'GHG &amp; CO2 EMISSIONS'!R127</f>
        <v>256260.70045960936</v>
      </c>
      <c r="P39" s="4">
        <f>'GHG &amp; CO2 EMISSIONS'!S127</f>
        <v>267794.77035817096</v>
      </c>
      <c r="Q39" s="4">
        <f>'GHG &amp; CO2 EMISSIONS'!T127</f>
        <v>278091.01995331986</v>
      </c>
      <c r="R39" s="4">
        <f>'GHG &amp; CO2 EMISSIONS'!U127</f>
        <v>299189.29891562881</v>
      </c>
      <c r="S39" s="4">
        <f>'GHG &amp; CO2 EMISSIONS'!V127</f>
        <v>301538.26563631085</v>
      </c>
      <c r="T39" s="4">
        <f>'GHG &amp; CO2 EMISSIONS'!W127</f>
        <v>298362.22092614113</v>
      </c>
      <c r="U39" s="4">
        <f>'GHG &amp; CO2 EMISSIONS'!X127</f>
        <v>291770.88377975131</v>
      </c>
      <c r="V39" s="4">
        <f>'GHG &amp; CO2 EMISSIONS'!Y127</f>
        <v>313537.73644338973</v>
      </c>
      <c r="W39" s="4">
        <f>'GHG &amp; CO2 EMISSIONS'!Z127</f>
        <v>303771.56341710704</v>
      </c>
      <c r="X39" s="4">
        <f>'GHG &amp; CO2 EMISSIONS'!AA127</f>
        <v>308830.70003381051</v>
      </c>
      <c r="Y39" s="4">
        <f>'GHG &amp; CO2 EMISSIONS'!AB127</f>
        <v>317316.27128449618</v>
      </c>
      <c r="Z39" s="4">
        <f>'GHG &amp; CO2 EMISSIONS'!AC127</f>
        <v>365663.76974305772</v>
      </c>
      <c r="AA39" s="4">
        <f>'GHG &amp; CO2 EMISSIONS'!AD127</f>
        <v>369467.09856534615</v>
      </c>
      <c r="AB39" s="4">
        <f>'GHG &amp; CO2 EMISSIONS'!AE127</f>
        <v>368870.63608176215</v>
      </c>
      <c r="AC39" s="4">
        <f>'GHG &amp; CO2 EMISSIONS'!AF127</f>
        <v>388929.01332748908</v>
      </c>
      <c r="AD39" s="4">
        <f>'GHG &amp; CO2 EMISSIONS'!AG127</f>
        <v>404229.31321734359</v>
      </c>
      <c r="AE39" s="4">
        <f>'GHG &amp; CO2 EMISSIONS'!AH127</f>
        <v>371825.51226698549</v>
      </c>
      <c r="AF39" s="4">
        <f>'GHG &amp; CO2 EMISSIONS'!AI127</f>
        <v>351993.28359552915</v>
      </c>
      <c r="AG39" s="4">
        <f>'GHG &amp; CO2 EMISSIONS'!AJ127</f>
        <v>323734.28999595658</v>
      </c>
      <c r="AH39" s="4">
        <f>'GHG &amp; CO2 EMISSIONS'!AK127</f>
        <v>348843.83157459204</v>
      </c>
    </row>
    <row r="40" spans="1:34">
      <c r="A40" s="1" t="s">
        <v>81</v>
      </c>
      <c r="B40" s="4">
        <f>'GHG &amp; CO2 EMISSIONS'!E147</f>
        <v>228001.91456962004</v>
      </c>
      <c r="C40" s="4">
        <f>'GHG &amp; CO2 EMISSIONS'!F147</f>
        <v>235398.91965143115</v>
      </c>
      <c r="D40" s="4">
        <f>'GHG &amp; CO2 EMISSIONS'!G147</f>
        <v>241811.60520891403</v>
      </c>
      <c r="E40" s="4">
        <f>'GHG &amp; CO2 EMISSIONS'!H147</f>
        <v>249142.27068982238</v>
      </c>
      <c r="F40" s="4">
        <f>'GHG &amp; CO2 EMISSIONS'!I147</f>
        <v>242768.8328251004</v>
      </c>
      <c r="G40" s="4">
        <f>'GHG &amp; CO2 EMISSIONS'!J147</f>
        <v>256494.33664505032</v>
      </c>
      <c r="H40" s="4">
        <f>'GHG &amp; CO2 EMISSIONS'!K147</f>
        <v>275852.24796439777</v>
      </c>
      <c r="I40" s="4">
        <f>'GHG &amp; CO2 EMISSIONS'!L147</f>
        <v>286738.15721656074</v>
      </c>
      <c r="J40" s="4">
        <f>'GHG &amp; CO2 EMISSIONS'!M147</f>
        <v>288138.1240926343</v>
      </c>
      <c r="K40" s="4">
        <f>'GHG &amp; CO2 EMISSIONS'!N147</f>
        <v>285633.04697860853</v>
      </c>
      <c r="L40" s="4">
        <f>'GHG &amp; CO2 EMISSIONS'!O147</f>
        <v>306388.30970814382</v>
      </c>
      <c r="M40" s="4">
        <f>'GHG &amp; CO2 EMISSIONS'!P147</f>
        <v>287554.81961191579</v>
      </c>
      <c r="N40" s="4">
        <f>'GHG &amp; CO2 EMISSIONS'!Q147</f>
        <v>292465.16096905171</v>
      </c>
      <c r="O40" s="4">
        <f>'GHG &amp; CO2 EMISSIONS'!R147</f>
        <v>312138.82771102816</v>
      </c>
      <c r="P40" s="4">
        <f>'GHG &amp; CO2 EMISSIONS'!S147</f>
        <v>321689.75324339152</v>
      </c>
      <c r="Q40" s="4">
        <f>'GHG &amp; CO2 EMISSIONS'!T147</f>
        <v>344782.21451462765</v>
      </c>
      <c r="R40" s="4">
        <f>'GHG &amp; CO2 EMISSIONS'!U147</f>
        <v>365229.65980722883</v>
      </c>
      <c r="S40" s="4">
        <f>'GHG &amp; CO2 EMISSIONS'!V147</f>
        <v>399028.02102807467</v>
      </c>
      <c r="T40" s="4">
        <f>'GHG &amp; CO2 EMISSIONS'!W147</f>
        <v>394923.57828298444</v>
      </c>
      <c r="U40" s="4">
        <f>'GHG &amp; CO2 EMISSIONS'!X147</f>
        <v>401316.72969552054</v>
      </c>
      <c r="V40" s="4">
        <f>'GHG &amp; CO2 EMISSIONS'!Y147</f>
        <v>405269.24171703646</v>
      </c>
      <c r="W40" s="4">
        <f>'GHG &amp; CO2 EMISSIONS'!Z147</f>
        <v>434770.7522395025</v>
      </c>
      <c r="X40" s="4">
        <f>'GHG &amp; CO2 EMISSIONS'!AA147</f>
        <v>455164.66278975358</v>
      </c>
      <c r="Y40" s="4">
        <f>'GHG &amp; CO2 EMISSIONS'!AB147</f>
        <v>447307.51112375275</v>
      </c>
      <c r="Z40" s="4">
        <f>'GHG &amp; CO2 EMISSIONS'!AC147</f>
        <v>466379.72999859281</v>
      </c>
      <c r="AA40" s="4">
        <f>'GHG &amp; CO2 EMISSIONS'!AD147</f>
        <v>480074.59319849312</v>
      </c>
      <c r="AB40" s="4">
        <f>'GHG &amp; CO2 EMISSIONS'!AE147</f>
        <v>504088.95172459917</v>
      </c>
      <c r="AC40" s="4">
        <f>'GHG &amp; CO2 EMISSIONS'!AF147</f>
        <v>531107.53373882268</v>
      </c>
      <c r="AD40" s="4">
        <f>'GHG &amp; CO2 EMISSIONS'!AG147</f>
        <v>528079.17335718521</v>
      </c>
      <c r="AE40" s="4">
        <f>'GHG &amp; CO2 EMISSIONS'!AH147</f>
        <v>515582.21671163727</v>
      </c>
      <c r="AF40" s="4">
        <f>'GHG &amp; CO2 EMISSIONS'!AI147</f>
        <v>530175.40525344573</v>
      </c>
      <c r="AG40" s="4">
        <f>'GHG &amp; CO2 EMISSIONS'!AJ147</f>
        <v>571987.74333260825</v>
      </c>
      <c r="AH40" s="4">
        <f>'GHG &amp; CO2 EMISSIONS'!AK147</f>
        <v>558270.48182228173</v>
      </c>
    </row>
    <row r="41" spans="1:34">
      <c r="A41" s="1" t="s">
        <v>106</v>
      </c>
      <c r="B41" s="4">
        <f>'GHG &amp; CO2 EMISSIONS'!E115</f>
        <v>437120</v>
      </c>
      <c r="C41" s="4">
        <f>'GHG &amp; CO2 EMISSIONS'!F115</f>
        <v>437222</v>
      </c>
      <c r="D41" s="4">
        <f>'GHG &amp; CO2 EMISSIONS'!G115</f>
        <v>441027</v>
      </c>
      <c r="E41" s="4">
        <f>'GHG &amp; CO2 EMISSIONS'!H115</f>
        <v>441346</v>
      </c>
      <c r="F41" s="4">
        <f>'GHG &amp; CO2 EMISSIONS'!I115</f>
        <v>441583</v>
      </c>
      <c r="G41" s="4">
        <f>'GHG &amp; CO2 EMISSIONS'!J115</f>
        <v>450276</v>
      </c>
      <c r="H41" s="4">
        <f>'GHG &amp; CO2 EMISSIONS'!K115</f>
        <v>456436</v>
      </c>
      <c r="I41" s="4">
        <f>'GHG &amp; CO2 EMISSIONS'!L115</f>
        <v>468506</v>
      </c>
      <c r="J41" s="4">
        <f>'GHG &amp; CO2 EMISSIONS'!M115</f>
        <v>482954</v>
      </c>
      <c r="K41" s="4">
        <f>'GHG &amp; CO2 EMISSIONS'!N115</f>
        <v>488857</v>
      </c>
      <c r="L41" s="4">
        <f>'GHG &amp; CO2 EMISSIONS'!O115</f>
        <v>500453</v>
      </c>
      <c r="M41" s="4">
        <f>'GHG &amp; CO2 EMISSIONS'!P115</f>
        <v>508411</v>
      </c>
      <c r="N41" s="4">
        <f>'GHG &amp; CO2 EMISSIONS'!Q115</f>
        <v>512028</v>
      </c>
      <c r="O41" s="4">
        <f>'GHG &amp; CO2 EMISSIONS'!R115</f>
        <v>511249</v>
      </c>
      <c r="P41" s="4">
        <f>'GHG &amp; CO2 EMISSIONS'!S115</f>
        <v>527977</v>
      </c>
      <c r="Q41" s="4">
        <f>'GHG &amp; CO2 EMISSIONS'!T115</f>
        <v>534477</v>
      </c>
      <c r="R41" s="4">
        <f>'GHG &amp; CO2 EMISSIONS'!U115</f>
        <v>538698</v>
      </c>
      <c r="S41" s="4">
        <f>'GHG &amp; CO2 EMISSIONS'!V115</f>
        <v>545915</v>
      </c>
      <c r="T41" s="4">
        <f>'GHG &amp; CO2 EMISSIONS'!W115</f>
        <v>548837</v>
      </c>
      <c r="U41" s="4">
        <f>'GHG &amp; CO2 EMISSIONS'!X115</f>
        <v>550629</v>
      </c>
      <c r="V41" s="4">
        <f>'GHG &amp; CO2 EMISSIONS'!Y115</f>
        <v>545875</v>
      </c>
      <c r="W41" s="4">
        <f>'GHG &amp; CO2 EMISSIONS'!Z115</f>
        <v>547539</v>
      </c>
      <c r="X41" s="4">
        <f>'GHG &amp; CO2 EMISSIONS'!AA115</f>
        <v>550596</v>
      </c>
      <c r="Y41" s="4">
        <f>'GHG &amp; CO2 EMISSIONS'!AB115</f>
        <v>542519</v>
      </c>
      <c r="Z41" s="4">
        <f>'GHG &amp; CO2 EMISSIONS'!AC115</f>
        <v>534092</v>
      </c>
      <c r="AA41" s="4">
        <f>'GHG &amp; CO2 EMISSIONS'!AD115</f>
        <v>543340</v>
      </c>
      <c r="AB41" s="4">
        <f>'GHG &amp; CO2 EMISSIONS'!AE115</f>
        <v>551589</v>
      </c>
      <c r="AC41" s="4">
        <f>'GHG &amp; CO2 EMISSIONS'!AF115</f>
        <v>558300</v>
      </c>
      <c r="AD41" s="4">
        <f>'GHG &amp; CO2 EMISSIONS'!AG115</f>
        <v>560031</v>
      </c>
      <c r="AE41" s="4">
        <f>'GHG &amp; CO2 EMISSIONS'!AH115</f>
        <v>554209</v>
      </c>
      <c r="AF41" s="4">
        <f>'GHG &amp; CO2 EMISSIONS'!AI115</f>
        <v>535776</v>
      </c>
      <c r="AG41" s="4">
        <f>'GHG &amp; CO2 EMISSIONS'!AJ115</f>
        <v>527276</v>
      </c>
      <c r="AH41" s="4">
        <f>'GHG &amp; CO2 EMISSIONS'!AK115</f>
        <v>520995</v>
      </c>
    </row>
    <row r="42" spans="1:34">
      <c r="A42" s="1" t="s">
        <v>108</v>
      </c>
      <c r="B42" s="4">
        <f>'GHG &amp; CO2 EMISSIONS'!E171</f>
        <v>607748.75544612901</v>
      </c>
      <c r="C42" s="4">
        <f>'GHG &amp; CO2 EMISSIONS'!F171</f>
        <v>603138.22528745886</v>
      </c>
      <c r="D42" s="4">
        <f>'GHG &amp; CO2 EMISSIONS'!G171</f>
        <v>621534.92821716284</v>
      </c>
      <c r="E42" s="4">
        <f>'GHG &amp; CO2 EMISSIONS'!H171</f>
        <v>626611.05327568296</v>
      </c>
      <c r="F42" s="4">
        <f>'GHG &amp; CO2 EMISSIONS'!I171</f>
        <v>649033.63759113185</v>
      </c>
      <c r="G42" s="4">
        <f>'GHG &amp; CO2 EMISSIONS'!J171</f>
        <v>667914.70678717794</v>
      </c>
      <c r="H42" s="4">
        <f>'GHG &amp; CO2 EMISSIONS'!K171</f>
        <v>689261.8862737118</v>
      </c>
      <c r="I42" s="4">
        <f>'GHG &amp; CO2 EMISSIONS'!L171</f>
        <v>705539.08656566974</v>
      </c>
      <c r="J42" s="4">
        <f>'GHG &amp; CO2 EMISSIONS'!M171</f>
        <v>712157.94597128138</v>
      </c>
      <c r="K42" s="4">
        <f>'GHG &amp; CO2 EMISSIONS'!N171</f>
        <v>722853.4518593743</v>
      </c>
      <c r="L42" s="4">
        <f>'GHG &amp; CO2 EMISSIONS'!O171</f>
        <v>747738.55802425323</v>
      </c>
      <c r="M42" s="4">
        <f>'GHG &amp; CO2 EMISSIONS'!P171</f>
        <v>738885.29375832726</v>
      </c>
      <c r="N42" s="4">
        <f>'GHG &amp; CO2 EMISSIONS'!Q171</f>
        <v>744657.3924466694</v>
      </c>
      <c r="O42" s="4">
        <f>'GHG &amp; CO2 EMISSIONS'!R171</f>
        <v>763142.98248201737</v>
      </c>
      <c r="P42" s="4">
        <f>'GHG &amp; CO2 EMISSIONS'!S171</f>
        <v>766724.22051172797</v>
      </c>
      <c r="Q42" s="4">
        <f>'GHG &amp; CO2 EMISSIONS'!T171</f>
        <v>761492.70593701443</v>
      </c>
      <c r="R42" s="4">
        <f>'GHG &amp; CO2 EMISSIONS'!U171</f>
        <v>756771.99628981901</v>
      </c>
      <c r="S42" s="4">
        <f>'GHG &amp; CO2 EMISSIONS'!V171</f>
        <v>776521.15388411214</v>
      </c>
      <c r="T42" s="4">
        <f>'GHG &amp; CO2 EMISSIONS'!W171</f>
        <v>759573.39699560369</v>
      </c>
      <c r="U42" s="4">
        <f>'GHG &amp; CO2 EMISSIONS'!X171</f>
        <v>716134.72748034785</v>
      </c>
      <c r="V42" s="4">
        <f>'GHG &amp; CO2 EMISSIONS'!Y171</f>
        <v>728504.46324892098</v>
      </c>
      <c r="W42" s="4">
        <f>'GHG &amp; CO2 EMISSIONS'!Z171</f>
        <v>738322.90169395809</v>
      </c>
      <c r="X42" s="4">
        <f>'GHG &amp; CO2 EMISSIONS'!AA171</f>
        <v>743856.56428306072</v>
      </c>
      <c r="Y42" s="4">
        <f>'GHG &amp; CO2 EMISSIONS'!AB171</f>
        <v>750970.15160735743</v>
      </c>
      <c r="Z42" s="4">
        <f>'GHG &amp; CO2 EMISSIONS'!AC171</f>
        <v>749706.29305378441</v>
      </c>
      <c r="AA42" s="4">
        <f>'GHG &amp; CO2 EMISSIONS'!AD171</f>
        <v>745717.81273694767</v>
      </c>
      <c r="AB42" s="4">
        <f>'GHG &amp; CO2 EMISSIONS'!AE171</f>
        <v>731279.75293753587</v>
      </c>
      <c r="AC42" s="4">
        <f>'GHG &amp; CO2 EMISSIONS'!AF171</f>
        <v>742011.65539151209</v>
      </c>
      <c r="AD42" s="4">
        <f>'GHG &amp; CO2 EMISSIONS'!AG171</f>
        <v>752631.23093201627</v>
      </c>
      <c r="AE42" s="4">
        <f>'GHG &amp; CO2 EMISSIONS'!AH171</f>
        <v>752024.57675372623</v>
      </c>
      <c r="AF42" s="4">
        <f>'GHG &amp; CO2 EMISSIONS'!AI171</f>
        <v>686362.15753213922</v>
      </c>
      <c r="AG42" s="4">
        <f>'GHG &amp; CO2 EMISSIONS'!AJ171</f>
        <v>698441.74224171112</v>
      </c>
      <c r="AH42" s="4">
        <f>'GHG &amp; CO2 EMISSIONS'!AK171</f>
        <v>707767.55820038752</v>
      </c>
    </row>
    <row r="43" spans="1:34">
      <c r="A43" s="1" t="s">
        <v>105</v>
      </c>
      <c r="B43" s="4">
        <f>'GHG &amp; CO2 EMISSIONS'!E159</f>
        <v>1269430.6322014432</v>
      </c>
      <c r="C43" s="4">
        <f>'GHG &amp; CO2 EMISSIONS'!F159</f>
        <v>1283622.8771759272</v>
      </c>
      <c r="D43" s="4">
        <f>'GHG &amp; CO2 EMISSIONS'!G159</f>
        <v>1295413.0293839129</v>
      </c>
      <c r="E43" s="4">
        <f>'GHG &amp; CO2 EMISSIONS'!H159</f>
        <v>1290874.0472512813</v>
      </c>
      <c r="F43" s="4">
        <f>'GHG &amp; CO2 EMISSIONS'!I159</f>
        <v>1351092.0232529247</v>
      </c>
      <c r="G43" s="4">
        <f>'GHG &amp; CO2 EMISSIONS'!J159</f>
        <v>1371412.5317875964</v>
      </c>
      <c r="H43" s="4">
        <f>'GHG &amp; CO2 EMISSIONS'!K159</f>
        <v>1384052.3634711681</v>
      </c>
      <c r="I43" s="4">
        <f>'GHG &amp; CO2 EMISSIONS'!L159</f>
        <v>1375902.7329194997</v>
      </c>
      <c r="J43" s="4">
        <f>'GHG &amp; CO2 EMISSIONS'!M159</f>
        <v>1327823.7307702771</v>
      </c>
      <c r="K43" s="4">
        <f>'GHG &amp; CO2 EMISSIONS'!N159</f>
        <v>1351773.8860427472</v>
      </c>
      <c r="L43" s="4">
        <f>'GHG &amp; CO2 EMISSIONS'!O159</f>
        <v>1371338.7018497712</v>
      </c>
      <c r="M43" s="4">
        <f>'GHG &amp; CO2 EMISSIONS'!P159</f>
        <v>1346361.7133259026</v>
      </c>
      <c r="N43" s="4">
        <f>'GHG &amp; CO2 EMISSIONS'!Q159</f>
        <v>1371006.4355929806</v>
      </c>
      <c r="O43" s="4">
        <f>'GHG &amp; CO2 EMISSIONS'!R159</f>
        <v>1378193.3336292186</v>
      </c>
      <c r="P43" s="4">
        <f>'GHG &amp; CO2 EMISSIONS'!S159</f>
        <v>1370385.2425706722</v>
      </c>
      <c r="Q43" s="4">
        <f>'GHG &amp; CO2 EMISSIONS'!T159</f>
        <v>1378031.5256946911</v>
      </c>
      <c r="R43" s="4">
        <f>'GHG &amp; CO2 EMISSIONS'!U159</f>
        <v>1356458.656503486</v>
      </c>
      <c r="S43" s="4">
        <f>'GHG &amp; CO2 EMISSIONS'!V159</f>
        <v>1391809.2198724723</v>
      </c>
      <c r="T43" s="4">
        <f>'GHG &amp; CO2 EMISSIONS'!W159</f>
        <v>1318894.5480210325</v>
      </c>
      <c r="U43" s="4">
        <f>'GHG &amp; CO2 EMISSIONS'!X159</f>
        <v>1246948.029526829</v>
      </c>
      <c r="V43" s="4">
        <f>'GHG &amp; CO2 EMISSIONS'!Y159</f>
        <v>1300198.14770784</v>
      </c>
      <c r="W43" s="4">
        <f>'GHG &amp; CO2 EMISSIONS'!Z159</f>
        <v>1350700.4279910435</v>
      </c>
      <c r="X43" s="4">
        <f>'GHG &amp; CO2 EMISSIONS'!AA159</f>
        <v>1393327.1980531099</v>
      </c>
      <c r="Y43" s="4">
        <f>'GHG &amp; CO2 EMISSIONS'!AB159</f>
        <v>1405048.8039318663</v>
      </c>
      <c r="Z43" s="4">
        <f>'GHG &amp; CO2 EMISSIONS'!AC159</f>
        <v>1355557.0081102166</v>
      </c>
      <c r="AA43" s="4">
        <f>'GHG &amp; CO2 EMISSIONS'!AD159</f>
        <v>1317077.1152542473</v>
      </c>
      <c r="AB43" s="4">
        <f>'GHG &amp; CO2 EMISSIONS'!AE159</f>
        <v>1299078.7238705272</v>
      </c>
      <c r="AC43" s="4">
        <f>'GHG &amp; CO2 EMISSIONS'!AF159</f>
        <v>1284787.8882195514</v>
      </c>
      <c r="AD43" s="4">
        <f>'GHG &amp; CO2 EMISSIONS'!AG159</f>
        <v>1240000.1101839773</v>
      </c>
      <c r="AE43" s="4">
        <f>'GHG &amp; CO2 EMISSIONS'!AH159</f>
        <v>1204214.7752044662</v>
      </c>
      <c r="AF43" s="4">
        <f>'GHG &amp; CO2 EMISSIONS'!AI159</f>
        <v>1140469.0233979998</v>
      </c>
      <c r="AG43" s="4">
        <f>'GHG &amp; CO2 EMISSIONS'!AJ159</f>
        <v>1162195.7653705785</v>
      </c>
      <c r="AH43" s="4">
        <f>'GHG &amp; CO2 EMISSIONS'!AK159</f>
        <v>1133637.6942721361</v>
      </c>
    </row>
    <row r="44" spans="1:34">
      <c r="A44" s="1" t="s">
        <v>84</v>
      </c>
      <c r="B44" s="4">
        <f>'GHG &amp; CO2 EMISSIONS'!E167</f>
        <v>3142797.4668935938</v>
      </c>
      <c r="C44" s="4">
        <f>'GHG &amp; CO2 EMISSIONS'!F167</f>
        <v>2987852.7589312261</v>
      </c>
      <c r="D44" s="4">
        <f>'GHG &amp; CO2 EMISSIONS'!G167</f>
        <v>2512071.4568659402</v>
      </c>
      <c r="E44" s="4">
        <f>'GHG &amp; CO2 EMISSIONS'!H167</f>
        <v>2378462.680180856</v>
      </c>
      <c r="F44" s="4">
        <f>'GHG &amp; CO2 EMISSIONS'!I167</f>
        <v>2117939.3946075412</v>
      </c>
      <c r="G44" s="4">
        <f>'GHG &amp; CO2 EMISSIONS'!J167</f>
        <v>2065422.633895864</v>
      </c>
      <c r="H44" s="4">
        <f>'GHG &amp; CO2 EMISSIONS'!K167</f>
        <v>2014841.1694391072</v>
      </c>
      <c r="I44" s="4">
        <f>'GHG &amp; CO2 EMISSIONS'!L167</f>
        <v>1895331.9403199404</v>
      </c>
      <c r="J44" s="4">
        <f>'GHG &amp; CO2 EMISSIONS'!M167</f>
        <v>1863352.3297372933</v>
      </c>
      <c r="K44" s="4">
        <f>'GHG &amp; CO2 EMISSIONS'!N167</f>
        <v>1893792.4963747538</v>
      </c>
      <c r="L44" s="4">
        <f>'GHG &amp; CO2 EMISSIONS'!O167</f>
        <v>1880426.7124194461</v>
      </c>
      <c r="M44" s="4">
        <f>'GHG &amp; CO2 EMISSIONS'!P167</f>
        <v>1916832.391446946</v>
      </c>
      <c r="N44" s="4">
        <f>'GHG &amp; CO2 EMISSIONS'!Q167</f>
        <v>1896399.301260476</v>
      </c>
      <c r="O44" s="4">
        <f>'GHG &amp; CO2 EMISSIONS'!R167</f>
        <v>1927579.8442089872</v>
      </c>
      <c r="P44" s="4">
        <f>'GHG &amp; CO2 EMISSIONS'!S167</f>
        <v>1936302.3435028975</v>
      </c>
      <c r="Q44" s="4">
        <f>'GHG &amp; CO2 EMISSIONS'!T167</f>
        <v>1953629.4875827809</v>
      </c>
      <c r="R44" s="4">
        <f>'GHG &amp; CO2 EMISSIONS'!U167</f>
        <v>2012876.1729748596</v>
      </c>
      <c r="S44" s="4">
        <f>'GHG &amp; CO2 EMISSIONS'!V167</f>
        <v>2010018.1807905533</v>
      </c>
      <c r="T44" s="4">
        <f>'GHG &amp; CO2 EMISSIONS'!W167</f>
        <v>2037071.7586961421</v>
      </c>
      <c r="U44" s="4">
        <f>'GHG &amp; CO2 EMISSIONS'!X167</f>
        <v>1902898.0884484232</v>
      </c>
      <c r="V44" s="4">
        <f>'GHG &amp; CO2 EMISSIONS'!Y167</f>
        <v>1997139.5675057301</v>
      </c>
      <c r="W44" s="4">
        <f>'GHG &amp; CO2 EMISSIONS'!Z167</f>
        <v>2049760.3757819906</v>
      </c>
      <c r="X44" s="4">
        <f>'GHG &amp; CO2 EMISSIONS'!AA167</f>
        <v>2071103.3392923996</v>
      </c>
      <c r="Y44" s="4">
        <f>'GHG &amp; CO2 EMISSIONS'!AB167</f>
        <v>2006947.4782644487</v>
      </c>
      <c r="Z44" s="4">
        <f>'GHG &amp; CO2 EMISSIONS'!AC167</f>
        <v>1997208.2779226825</v>
      </c>
      <c r="AA44" s="4">
        <f>'GHG &amp; CO2 EMISSIONS'!AD167</f>
        <v>1988440.7124297374</v>
      </c>
      <c r="AB44" s="4">
        <f>'GHG &amp; CO2 EMISSIONS'!AE167</f>
        <v>1984451.1743962693</v>
      </c>
      <c r="AC44" s="4">
        <f>'GHG &amp; CO2 EMISSIONS'!AF167</f>
        <v>2024861.1647146121</v>
      </c>
      <c r="AD44" s="4">
        <f>'GHG &amp; CO2 EMISSIONS'!AG167</f>
        <v>2087290.0291074389</v>
      </c>
      <c r="AE44" s="4">
        <f>'GHG &amp; CO2 EMISSIONS'!AH167</f>
        <v>2077266.3769343956</v>
      </c>
      <c r="AF44" s="4">
        <f>'GHG &amp; CO2 EMISSIONS'!AI167</f>
        <v>2001271.3451281297</v>
      </c>
      <c r="AG44" s="4">
        <f>'GHG &amp; CO2 EMISSIONS'!AJ167</f>
        <v>2098145.7607690077</v>
      </c>
      <c r="AH44" s="4">
        <f>'GHG &amp; CO2 EMISSIONS'!AK167</f>
        <v>2042026.8216418209</v>
      </c>
    </row>
    <row r="45" spans="1:34" ht="30">
      <c r="A45" s="1" t="s">
        <v>156</v>
      </c>
      <c r="B45" s="4">
        <f>'GHG &amp; CO2 EMISSIONS'!E3</f>
        <v>4858721.7461183947</v>
      </c>
      <c r="C45" s="4">
        <f>'GHG &amp; CO2 EMISSIONS'!F3</f>
        <v>4753235.6175495479</v>
      </c>
      <c r="D45" s="4">
        <f>'GHG &amp; CO2 EMISSIONS'!G3</f>
        <v>4602044.3048363477</v>
      </c>
      <c r="E45" s="4">
        <f>'GHG &amp; CO2 EMISSIONS'!H3</f>
        <v>4522014.9052005336</v>
      </c>
      <c r="F45" s="4">
        <f>'GHG &amp; CO2 EMISSIONS'!I3</f>
        <v>4500096.8468097374</v>
      </c>
      <c r="G45" s="4">
        <f>'GHG &amp; CO2 EMISSIONS'!J3</f>
        <v>4550599.9005432324</v>
      </c>
      <c r="H45" s="4">
        <f>'GHG &amp; CO2 EMISSIONS'!K3</f>
        <v>4641592.2045008708</v>
      </c>
      <c r="I45" s="4">
        <f>'GHG &amp; CO2 EMISSIONS'!L3</f>
        <v>4570484.1590949129</v>
      </c>
      <c r="J45" s="4">
        <f>'GHG &amp; CO2 EMISSIONS'!M3</f>
        <v>4531703.7342188023</v>
      </c>
      <c r="K45" s="4">
        <f>'GHG &amp; CO2 EMISSIONS'!N3</f>
        <v>4456534.2567076925</v>
      </c>
      <c r="L45" s="4">
        <f>'GHG &amp; CO2 EMISSIONS'!O3</f>
        <v>4445278.2092112163</v>
      </c>
      <c r="M45" s="4">
        <f>'GHG &amp; CO2 EMISSIONS'!P3</f>
        <v>4494091.7851530304</v>
      </c>
      <c r="N45" s="4">
        <f>'GHG &amp; CO2 EMISSIONS'!Q3</f>
        <v>4480290.868138806</v>
      </c>
      <c r="O45" s="4">
        <f>'GHG &amp; CO2 EMISSIONS'!R3</f>
        <v>4555586.5243921857</v>
      </c>
      <c r="P45" s="4">
        <f>'GHG &amp; CO2 EMISSIONS'!S3</f>
        <v>4553475.1721104626</v>
      </c>
      <c r="Q45" s="4">
        <f>'GHG &amp; CO2 EMISSIONS'!T3</f>
        <v>4536750.0437631505</v>
      </c>
      <c r="R45" s="4">
        <f>'GHG &amp; CO2 EMISSIONS'!U3</f>
        <v>4540454.9968389142</v>
      </c>
      <c r="S45" s="4">
        <f>'GHG &amp; CO2 EMISSIONS'!V3</f>
        <v>4491363.9388945224</v>
      </c>
      <c r="T45" s="4">
        <f>'GHG &amp; CO2 EMISSIONS'!W3</f>
        <v>4403507.8998998059</v>
      </c>
      <c r="U45" s="4">
        <f>'GHG &amp; CO2 EMISSIONS'!X3</f>
        <v>4085898.5100680646</v>
      </c>
      <c r="V45" s="4">
        <f>'GHG &amp; CO2 EMISSIONS'!Y3</f>
        <v>4165463.2770020375</v>
      </c>
      <c r="W45" s="4">
        <f>'GHG &amp; CO2 EMISSIONS'!Z3</f>
        <v>4057129.8912292519</v>
      </c>
      <c r="X45" s="4">
        <f>'GHG &amp; CO2 EMISSIONS'!AA3</f>
        <v>3985798.5339388349</v>
      </c>
      <c r="Y45" s="4">
        <f>'GHG &amp; CO2 EMISSIONS'!AB3</f>
        <v>3889371.0404556082</v>
      </c>
      <c r="Z45" s="4">
        <f>'GHG &amp; CO2 EMISSIONS'!AC3</f>
        <v>3748899.8666302091</v>
      </c>
      <c r="AA45" s="4">
        <f>'GHG &amp; CO2 EMISSIONS'!AD3</f>
        <v>3802730.4327750322</v>
      </c>
      <c r="AB45" s="4">
        <f>'GHG &amp; CO2 EMISSIONS'!AE3</f>
        <v>3796348.0309752002</v>
      </c>
      <c r="AC45" s="4">
        <f>'GHG &amp; CO2 EMISSIONS'!AF3</f>
        <v>3818158.2028292525</v>
      </c>
      <c r="AD45" s="4">
        <f>'GHG &amp; CO2 EMISSIONS'!AG3</f>
        <v>3739536.1905328799</v>
      </c>
      <c r="AE45" s="4">
        <f>'GHG &amp; CO2 EMISSIONS'!AH3</f>
        <v>3573616.1246909243</v>
      </c>
      <c r="AF45" s="4">
        <f>'GHG &amp; CO2 EMISSIONS'!AI3</f>
        <v>3282155.2041407051</v>
      </c>
      <c r="AG45" s="4">
        <f>'GHG &amp; CO2 EMISSIONS'!AJ3</f>
        <v>3453091.8123090873</v>
      </c>
      <c r="AH45" s="4">
        <f>'GHG &amp; CO2 EMISSIONS'!AK3</f>
        <v>3365516.5883678175</v>
      </c>
    </row>
    <row r="46" spans="1:34">
      <c r="A46" s="1" t="s">
        <v>83</v>
      </c>
      <c r="B46" s="4">
        <f>'GHG &amp; CO2 EMISSIONS'!E175</f>
        <v>6536914.6797930636</v>
      </c>
      <c r="C46" s="4">
        <f>'GHG &amp; CO2 EMISSIONS'!F175</f>
        <v>6472689.3518884191</v>
      </c>
      <c r="D46" s="4">
        <f>'GHG &amp; CO2 EMISSIONS'!G175</f>
        <v>6576351.6936139883</v>
      </c>
      <c r="E46" s="4">
        <f>'GHG &amp; CO2 EMISSIONS'!H175</f>
        <v>6686455.5372199845</v>
      </c>
      <c r="F46" s="4">
        <f>'GHG &amp; CO2 EMISSIONS'!I175</f>
        <v>6782638.781299673</v>
      </c>
      <c r="G46" s="4">
        <f>'GHG &amp; CO2 EMISSIONS'!J175</f>
        <v>6862137.292178221</v>
      </c>
      <c r="H46" s="4">
        <f>'GHG &amp; CO2 EMISSIONS'!K175</f>
        <v>7056258.3775752159</v>
      </c>
      <c r="I46" s="4">
        <f>'GHG &amp; CO2 EMISSIONS'!L175</f>
        <v>7108979.9652857324</v>
      </c>
      <c r="J46" s="4">
        <f>'GHG &amp; CO2 EMISSIONS'!M175</f>
        <v>7178986.2880283399</v>
      </c>
      <c r="K46" s="4">
        <f>'GHG &amp; CO2 EMISSIONS'!N175</f>
        <v>7218632.9666135358</v>
      </c>
      <c r="L46" s="4">
        <f>'GHG &amp; CO2 EMISSIONS'!O175</f>
        <v>7419881.1122579444</v>
      </c>
      <c r="M46" s="4">
        <f>'GHG &amp; CO2 EMISSIONS'!P175</f>
        <v>7287316.9534539031</v>
      </c>
      <c r="N46" s="4">
        <f>'GHG &amp; CO2 EMISSIONS'!Q175</f>
        <v>7329898.1137895538</v>
      </c>
      <c r="O46" s="4">
        <f>'GHG &amp; CO2 EMISSIONS'!R175</f>
        <v>7386887.0427374924</v>
      </c>
      <c r="P46" s="4">
        <f>'GHG &amp; CO2 EMISSIONS'!S175</f>
        <v>7492328.7569057671</v>
      </c>
      <c r="Q46" s="4">
        <f>'GHG &amp; CO2 EMISSIONS'!T175</f>
        <v>7494637.1004351787</v>
      </c>
      <c r="R46" s="4">
        <f>'GHG &amp; CO2 EMISSIONS'!U175</f>
        <v>7429178.1398755172</v>
      </c>
      <c r="S46" s="4">
        <f>'GHG &amp; CO2 EMISSIONS'!V175</f>
        <v>7529904.7443570793</v>
      </c>
      <c r="T46" s="4">
        <f>'GHG &amp; CO2 EMISSIONS'!W175</f>
        <v>7326352.5874689966</v>
      </c>
      <c r="U46" s="4">
        <f>'GHG &amp; CO2 EMISSIONS'!X175</f>
        <v>6866918.7256182758</v>
      </c>
      <c r="V46" s="4">
        <f>'GHG &amp; CO2 EMISSIONS'!Y175</f>
        <v>7066007.4087265087</v>
      </c>
      <c r="W46" s="4">
        <f>'GHG &amp; CO2 EMISSIONS'!Z175</f>
        <v>6911768.4826680692</v>
      </c>
      <c r="X46" s="4">
        <f>'GHG &amp; CO2 EMISSIONS'!AA175</f>
        <v>6660905.1235916503</v>
      </c>
      <c r="Y46" s="4">
        <f>'GHG &amp; CO2 EMISSIONS'!AB175</f>
        <v>6845403.0743498141</v>
      </c>
      <c r="Z46" s="4">
        <f>'GHG &amp; CO2 EMISSIONS'!AC175</f>
        <v>6905851.3419710565</v>
      </c>
      <c r="AA46" s="4">
        <f>'GHG &amp; CO2 EMISSIONS'!AD175</f>
        <v>6736216.7832995113</v>
      </c>
      <c r="AB46" s="4">
        <f>'GHG &amp; CO2 EMISSIONS'!AE175</f>
        <v>6580035.9711100031</v>
      </c>
      <c r="AC46" s="4">
        <f>'GHG &amp; CO2 EMISSIONS'!AF175</f>
        <v>6551027.1463901987</v>
      </c>
      <c r="AD46" s="4">
        <f>'GHG &amp; CO2 EMISSIONS'!AG175</f>
        <v>6752749.7220774842</v>
      </c>
      <c r="AE46" s="4">
        <f>'GHG &amp; CO2 EMISSIONS'!AH175</f>
        <v>6590128.917246636</v>
      </c>
      <c r="AF46" s="4">
        <f>'GHG &amp; CO2 EMISSIONS'!AI175</f>
        <v>6001807.2754546683</v>
      </c>
      <c r="AG46" s="4">
        <f>'GHG &amp; CO2 EMISSIONS'!AJ175</f>
        <v>6328794.3530199779</v>
      </c>
      <c r="AH46" s="4">
        <f>'GHG &amp; CO2 EMISSIONS'!AK175</f>
        <v>6343209.3302705865</v>
      </c>
    </row>
    <row r="47" spans="1:34">
      <c r="A47" s="1" t="s">
        <v>155</v>
      </c>
      <c r="B47" s="145">
        <f>'GHG &amp; CO2 EMISSIONS'!E155</f>
        <v>805610.85043472145</v>
      </c>
      <c r="C47" s="145">
        <f>'GHG &amp; CO2 EMISSIONS'!F155</f>
        <v>814428.74390115147</v>
      </c>
      <c r="D47" s="145">
        <f>'GHG &amp; CO2 EMISSIONS'!G155</f>
        <v>794096.75139463844</v>
      </c>
      <c r="E47" s="145">
        <f>'GHG &amp; CO2 EMISSIONS'!H155</f>
        <v>775060.91145130724</v>
      </c>
      <c r="F47" s="145">
        <f>'GHG &amp; CO2 EMISSIONS'!I155</f>
        <v>762886.95123865909</v>
      </c>
      <c r="G47" s="145">
        <f>'GHG &amp; CO2 EMISSIONS'!J155</f>
        <v>756780.0480092651</v>
      </c>
      <c r="H47" s="145">
        <f>'GHG &amp; CO2 EMISSIONS'!K155</f>
        <v>777414.37154482247</v>
      </c>
      <c r="I47" s="145">
        <f>'GHG &amp; CO2 EMISSIONS'!L155</f>
        <v>753198.84760564333</v>
      </c>
      <c r="J47" s="145">
        <f>'GHG &amp; CO2 EMISSIONS'!M155</f>
        <v>751677.95483105327</v>
      </c>
      <c r="K47" s="145">
        <f>'GHG &amp; CO2 EMISSIONS'!N155</f>
        <v>722572.24009482434</v>
      </c>
      <c r="L47" s="145">
        <f>'GHG &amp; CO2 EMISSIONS'!O155</f>
        <v>722644.1781178586</v>
      </c>
      <c r="M47" s="145">
        <f>'GHG &amp; CO2 EMISSIONS'!P155</f>
        <v>725811.66395253653</v>
      </c>
      <c r="N47" s="145">
        <f>'GHG &amp; CO2 EMISSIONS'!Q155</f>
        <v>704706.81096560881</v>
      </c>
      <c r="O47" s="145">
        <f>'GHG &amp; CO2 EMISSIONS'!R155</f>
        <v>710267.08739829704</v>
      </c>
      <c r="P47" s="145">
        <f>'GHG &amp; CO2 EMISSIONS'!S155</f>
        <v>706847.80640710099</v>
      </c>
      <c r="Q47" s="145">
        <f>'GHG &amp; CO2 EMISSIONS'!T155</f>
        <v>698481.29824488051</v>
      </c>
      <c r="R47" s="145">
        <f>'GHG &amp; CO2 EMISSIONS'!U155</f>
        <v>691100.88167338574</v>
      </c>
      <c r="S47" s="145">
        <f>'GHG &amp; CO2 EMISSIONS'!V155</f>
        <v>678936.80846278428</v>
      </c>
      <c r="T47" s="145">
        <f>'GHG &amp; CO2 EMISSIONS'!W155</f>
        <v>657755.09696652868</v>
      </c>
      <c r="U47" s="145">
        <f>'GHG &amp; CO2 EMISSIONS'!X155</f>
        <v>600794.79156791547</v>
      </c>
      <c r="V47" s="145">
        <f>'GHG &amp; CO2 EMISSIONS'!Y155</f>
        <v>614637.87812504999</v>
      </c>
      <c r="W47" s="145">
        <f>'GHG &amp; CO2 EMISSIONS'!Z155</f>
        <v>569042.69538846146</v>
      </c>
      <c r="X47" s="145">
        <f>'GHG &amp; CO2 EMISSIONS'!AA155</f>
        <v>585241.17895513203</v>
      </c>
      <c r="Y47" s="145">
        <f>'GHG &amp; CO2 EMISSIONS'!AB155</f>
        <v>570675.69113213266</v>
      </c>
      <c r="Z47" s="145">
        <f>'GHG &amp; CO2 EMISSIONS'!AC155</f>
        <v>529459.06752827938</v>
      </c>
      <c r="AA47" s="145">
        <f>'GHG &amp; CO2 EMISSIONS'!AD155</f>
        <v>511812.28003796196</v>
      </c>
      <c r="AB47" s="145">
        <f>'GHG &amp; CO2 EMISSIONS'!AE155</f>
        <v>484467.28989936115</v>
      </c>
      <c r="AC47" s="145">
        <f>'GHG &amp; CO2 EMISSIONS'!AF155</f>
        <v>473198.62340815947</v>
      </c>
      <c r="AD47" s="145">
        <f>'GHG &amp; CO2 EMISSIONS'!AG155</f>
        <v>465920.02251783462</v>
      </c>
      <c r="AE47" s="145">
        <f>'GHG &amp; CO2 EMISSIONS'!AH155</f>
        <v>451127.94444457866</v>
      </c>
      <c r="AF47" s="145">
        <f>'GHG &amp; CO2 EMISSIONS'!AI155</f>
        <v>407084.43394011102</v>
      </c>
      <c r="AG47" s="145">
        <f>'GHG &amp; CO2 EMISSIONS'!AJ155</f>
        <v>424545.69362459483</v>
      </c>
      <c r="AH47" s="145">
        <f>'GHG &amp; CO2 EMISSIONS'!AK155</f>
        <v>409551.58354773134</v>
      </c>
    </row>
    <row r="49" spans="1:34" ht="20.25">
      <c r="A49" s="119" t="s">
        <v>135</v>
      </c>
      <c r="B49" s="120"/>
      <c r="C49" s="121"/>
      <c r="D49" s="121"/>
      <c r="E49" s="121"/>
      <c r="F49" s="121"/>
      <c r="G49" s="121"/>
    </row>
    <row r="50" spans="1:34">
      <c r="B50" s="3">
        <v>1990</v>
      </c>
      <c r="C50" s="3">
        <v>1991</v>
      </c>
      <c r="D50" s="3">
        <v>1992</v>
      </c>
      <c r="E50" s="3">
        <v>1993</v>
      </c>
      <c r="F50" s="3">
        <v>1994</v>
      </c>
      <c r="G50" s="3">
        <v>1995</v>
      </c>
      <c r="H50" s="3">
        <v>1996</v>
      </c>
      <c r="I50" s="3">
        <v>1997</v>
      </c>
      <c r="J50" s="3">
        <v>1998</v>
      </c>
      <c r="K50" s="3">
        <v>1999</v>
      </c>
      <c r="L50" s="3">
        <v>2000</v>
      </c>
      <c r="M50" s="3">
        <v>2001</v>
      </c>
      <c r="N50" s="3">
        <v>2002</v>
      </c>
      <c r="O50" s="3">
        <v>2003</v>
      </c>
      <c r="P50" s="3">
        <v>2004</v>
      </c>
      <c r="Q50" s="3">
        <v>2005</v>
      </c>
      <c r="R50" s="3">
        <v>2006</v>
      </c>
      <c r="S50" s="3">
        <v>2007</v>
      </c>
      <c r="T50" s="3">
        <v>2008</v>
      </c>
      <c r="U50" s="3">
        <v>2009</v>
      </c>
      <c r="V50" s="3">
        <v>2010</v>
      </c>
      <c r="W50" s="3">
        <v>2011</v>
      </c>
      <c r="X50" s="3">
        <v>2012</v>
      </c>
      <c r="Y50" s="3">
        <v>2013</v>
      </c>
      <c r="Z50" s="3">
        <v>2014</v>
      </c>
      <c r="AA50" s="3">
        <v>2015</v>
      </c>
      <c r="AB50" s="3">
        <v>2016</v>
      </c>
      <c r="AC50" s="3">
        <v>2017</v>
      </c>
      <c r="AD50" s="3">
        <v>2018</v>
      </c>
      <c r="AE50" s="3">
        <v>2019</v>
      </c>
      <c r="AF50" s="3">
        <v>2020</v>
      </c>
      <c r="AG50" s="3">
        <v>2021</v>
      </c>
      <c r="AH50" s="3">
        <v>2022</v>
      </c>
    </row>
    <row r="51" spans="1:34">
      <c r="A51" s="1" t="s">
        <v>78</v>
      </c>
      <c r="B51" s="4">
        <f>'GHG &amp; CO2 EMISSIONS'!E136</f>
        <v>101.39884102738999</v>
      </c>
      <c r="C51" s="4">
        <f>'GHG &amp; CO2 EMISSIONS'!F136</f>
        <v>102.30047703565991</v>
      </c>
      <c r="D51" s="4">
        <f>'GHG &amp; CO2 EMISSIONS'!G136</f>
        <v>107.86868475772988</v>
      </c>
      <c r="E51" s="4">
        <f>'GHG &amp; CO2 EMISSIONS'!H136</f>
        <v>106.8061437404133</v>
      </c>
      <c r="F51" s="4">
        <f>'GHG &amp; CO2 EMISSIONS'!I136</f>
        <v>107.41741757582402</v>
      </c>
      <c r="G51" s="4">
        <f>'GHG &amp; CO2 EMISSIONS'!J136</f>
        <v>104.06855829297319</v>
      </c>
      <c r="H51" s="4">
        <f>'GHG &amp; CO2 EMISSIONS'!K136</f>
        <v>107.75191209699025</v>
      </c>
      <c r="I51" s="4">
        <f>'GHG &amp; CO2 EMISSIONS'!L136</f>
        <v>106.14537291784379</v>
      </c>
      <c r="J51" s="4">
        <f>'GHG &amp; CO2 EMISSIONS'!M136</f>
        <v>105.25448509670194</v>
      </c>
      <c r="K51" s="4">
        <f>'GHG &amp; CO2 EMISSIONS'!N136</f>
        <v>106.34418756818434</v>
      </c>
      <c r="L51" s="4">
        <f>'GHG &amp; CO2 EMISSIONS'!O136</f>
        <v>104.56865233533578</v>
      </c>
      <c r="M51" s="4">
        <f>'GHG &amp; CO2 EMISSIONS'!P136</f>
        <v>104.83184449966035</v>
      </c>
      <c r="N51" s="4">
        <f>'GHG &amp; CO2 EMISSIONS'!Q136</f>
        <v>105.16398877850457</v>
      </c>
      <c r="O51" s="4">
        <f>'GHG &amp; CO2 EMISSIONS'!R136</f>
        <v>102.22071401001736</v>
      </c>
      <c r="P51" s="4">
        <f>'GHG &amp; CO2 EMISSIONS'!S136</f>
        <v>97.128903293569323</v>
      </c>
      <c r="Q51" s="4">
        <f>'GHG &amp; CO2 EMISSIONS'!T136</f>
        <v>95.911700403624366</v>
      </c>
      <c r="R51" s="4">
        <f>'GHG &amp; CO2 EMISSIONS'!U136</f>
        <v>91.538668844574147</v>
      </c>
      <c r="S51" s="4">
        <f>'GHG &amp; CO2 EMISSIONS'!V136</f>
        <v>91.146476312183509</v>
      </c>
      <c r="T51" s="4">
        <f>'GHG &amp; CO2 EMISSIONS'!W136</f>
        <v>91.77960438400747</v>
      </c>
      <c r="U51" s="4">
        <f>'GHG &amp; CO2 EMISSIONS'!X136</f>
        <v>87.914436594412848</v>
      </c>
      <c r="V51" s="4">
        <f>'GHG &amp; CO2 EMISSIONS'!Y136</f>
        <v>85.610067965352215</v>
      </c>
      <c r="W51" s="4">
        <f>'GHG &amp; CO2 EMISSIONS'!Z136</f>
        <v>84.375860240938792</v>
      </c>
      <c r="X51" s="4">
        <f>'GHG &amp; CO2 EMISSIONS'!AA136</f>
        <v>87.726787316585089</v>
      </c>
      <c r="Y51" s="4">
        <f>'GHG &amp; CO2 EMISSIONS'!AB136</f>
        <v>90.126429130445217</v>
      </c>
      <c r="Z51" s="4">
        <f>'GHG &amp; CO2 EMISSIONS'!AC136</f>
        <v>84.669175167395366</v>
      </c>
      <c r="AA51" s="4">
        <f>'GHG &amp; CO2 EMISSIONS'!AD136</f>
        <v>87.948737535469419</v>
      </c>
      <c r="AB51" s="4">
        <f>'GHG &amp; CO2 EMISSIONS'!AE136</f>
        <v>86.743996840935068</v>
      </c>
      <c r="AC51" s="4">
        <f>'GHG &amp; CO2 EMISSIONS'!AF136</f>
        <v>83.259050573416019</v>
      </c>
      <c r="AD51" s="4">
        <f>'GHG &amp; CO2 EMISSIONS'!AG136</f>
        <v>86.186494096900319</v>
      </c>
      <c r="AE51" s="4">
        <f>'GHG &amp; CO2 EMISSIONS'!AH136</f>
        <v>82.11580852536602</v>
      </c>
      <c r="AF51" s="4">
        <f>'GHG &amp; CO2 EMISSIONS'!AI136</f>
        <v>69.198036225884223</v>
      </c>
      <c r="AG51" s="4">
        <f>'GHG &amp; CO2 EMISSIONS'!AJ136</f>
        <v>73.035991339100008</v>
      </c>
      <c r="AH51" s="4">
        <f>'GHG &amp; CO2 EMISSIONS'!AK136</f>
        <v>66.459559575843642</v>
      </c>
    </row>
    <row r="52" spans="1:34">
      <c r="A52" s="1" t="s">
        <v>77</v>
      </c>
      <c r="B52" s="4">
        <f>'GHG &amp; CO2 EMISSIONS'!E132</f>
        <v>235.80995946610992</v>
      </c>
      <c r="C52" s="4">
        <f>'GHG &amp; CO2 EMISSIONS'!F132</f>
        <v>227.11790701012009</v>
      </c>
      <c r="D52" s="4">
        <f>'GHG &amp; CO2 EMISSIONS'!G132</f>
        <v>238.49893176920881</v>
      </c>
      <c r="E52" s="4">
        <f>'GHG &amp; CO2 EMISSIONS'!H132</f>
        <v>242.16137353792345</v>
      </c>
      <c r="F52" s="4">
        <f>'GHG &amp; CO2 EMISSIONS'!I132</f>
        <v>248.32916171417102</v>
      </c>
      <c r="G52" s="4">
        <f>'GHG &amp; CO2 EMISSIONS'!J132</f>
        <v>238.24198876684076</v>
      </c>
      <c r="H52" s="4">
        <f>'GHG &amp; CO2 EMISSIONS'!K132</f>
        <v>232.00781899184472</v>
      </c>
      <c r="I52" s="4">
        <f>'GHG &amp; CO2 EMISSIONS'!L132</f>
        <v>261.39496213584226</v>
      </c>
      <c r="J52" s="4">
        <f>'GHG &amp; CO2 EMISSIONS'!M132</f>
        <v>264.17552083554023</v>
      </c>
      <c r="K52" s="4">
        <f>'GHG &amp; CO2 EMISSIONS'!N132</f>
        <v>259.72489920738485</v>
      </c>
      <c r="L52" s="4">
        <f>'GHG &amp; CO2 EMISSIONS'!O132</f>
        <v>276.36263506207592</v>
      </c>
      <c r="M52" s="4">
        <f>'GHG &amp; CO2 EMISSIONS'!P132</f>
        <v>252.112906768996</v>
      </c>
      <c r="N52" s="4">
        <f>'GHG &amp; CO2 EMISSIONS'!Q132</f>
        <v>259.18702082481701</v>
      </c>
      <c r="O52" s="4">
        <f>'GHG &amp; CO2 EMISSIONS'!R132</f>
        <v>269.95656944596897</v>
      </c>
      <c r="P52" s="4">
        <f>'GHG &amp; CO2 EMISSIONS'!S132</f>
        <v>272.3615500380306</v>
      </c>
      <c r="Q52" s="4">
        <f>'GHG &amp; CO2 EMISSIONS'!T132</f>
        <v>272.91051210482584</v>
      </c>
      <c r="R52" s="4">
        <f>'GHG &amp; CO2 EMISSIONS'!U132</f>
        <v>281.40956503082731</v>
      </c>
      <c r="S52" s="4">
        <f>'GHG &amp; CO2 EMISSIONS'!V132</f>
        <v>261.41823383029077</v>
      </c>
      <c r="T52" s="4">
        <f>'GHG &amp; CO2 EMISSIONS'!W132</f>
        <v>283.1583083485649</v>
      </c>
      <c r="U52" s="4">
        <f>'GHG &amp; CO2 EMISSIONS'!X132</f>
        <v>264.79065679377425</v>
      </c>
      <c r="V52" s="4">
        <f>'GHG &amp; CO2 EMISSIONS'!Y132</f>
        <v>248.20733649329523</v>
      </c>
      <c r="W52" s="4">
        <f>'GHG &amp; CO2 EMISSIONS'!Z132</f>
        <v>238.99705868573037</v>
      </c>
      <c r="X52" s="4">
        <f>'GHG &amp; CO2 EMISSIONS'!AA132</f>
        <v>248.35022717049753</v>
      </c>
      <c r="Y52" s="4">
        <f>'GHG &amp; CO2 EMISSIONS'!AB132</f>
        <v>246.67726997184218</v>
      </c>
      <c r="Z52" s="4">
        <f>'GHG &amp; CO2 EMISSIONS'!AC132</f>
        <v>215.3777045862644</v>
      </c>
      <c r="AA52" s="4">
        <f>'GHG &amp; CO2 EMISSIONS'!AD132</f>
        <v>210.47708061387883</v>
      </c>
      <c r="AB52" s="4">
        <f>'GHG &amp; CO2 EMISSIONS'!AE132</f>
        <v>197.98895451099347</v>
      </c>
      <c r="AC52" s="4">
        <f>'GHG &amp; CO2 EMISSIONS'!AF132</f>
        <v>204.77435625550459</v>
      </c>
      <c r="AD52" s="4">
        <f>'GHG &amp; CO2 EMISSIONS'!AG132</f>
        <v>203.39043497246189</v>
      </c>
      <c r="AE52" s="4">
        <f>'GHG &amp; CO2 EMISSIONS'!AH132</f>
        <v>199.64672190553912</v>
      </c>
      <c r="AF52" s="4">
        <f>'GHG &amp; CO2 EMISSIONS'!AI132</f>
        <v>181.63261680014699</v>
      </c>
      <c r="AG52" s="4">
        <f>'GHG &amp; CO2 EMISSIONS'!AJ132</f>
        <v>180.14057396081316</v>
      </c>
      <c r="AH52" s="4">
        <f>'GHG &amp; CO2 EMISSIONS'!AK132</f>
        <v>164.37743011829727</v>
      </c>
    </row>
    <row r="53" spans="1:34">
      <c r="A53" s="1" t="s">
        <v>75</v>
      </c>
      <c r="B53" s="4">
        <f>'GHG &amp; CO2 EMISSIONS'!E124</f>
        <v>11376.863535140366</v>
      </c>
      <c r="C53" s="4">
        <f>'GHG &amp; CO2 EMISSIONS'!F124</f>
        <v>11172.935103647256</v>
      </c>
      <c r="D53" s="4">
        <f>'GHG &amp; CO2 EMISSIONS'!G124</f>
        <v>11092.764812606079</v>
      </c>
      <c r="E53" s="4">
        <f>'GHG &amp; CO2 EMISSIONS'!H124</f>
        <v>11185.204597849875</v>
      </c>
      <c r="F53" s="4">
        <f>'GHG &amp; CO2 EMISSIONS'!I124</f>
        <v>11105.288060776353</v>
      </c>
      <c r="G53" s="4">
        <f>'GHG &amp; CO2 EMISSIONS'!J124</f>
        <v>11218.928302439825</v>
      </c>
      <c r="H53" s="4">
        <f>'GHG &amp; CO2 EMISSIONS'!K124</f>
        <v>11266.917246644041</v>
      </c>
      <c r="I53" s="4">
        <f>'GHG &amp; CO2 EMISSIONS'!L124</f>
        <v>11419.170005489268</v>
      </c>
      <c r="J53" s="4">
        <f>'GHG &amp; CO2 EMISSIONS'!M124</f>
        <v>11566.724732399633</v>
      </c>
      <c r="K53" s="4">
        <f>'GHG &amp; CO2 EMISSIONS'!N124</f>
        <v>11788.744671476052</v>
      </c>
      <c r="L53" s="4">
        <f>'GHG &amp; CO2 EMISSIONS'!O124</f>
        <v>11829.617657910965</v>
      </c>
      <c r="M53" s="4">
        <f>'GHG &amp; CO2 EMISSIONS'!P124</f>
        <v>11733.45201602178</v>
      </c>
      <c r="N53" s="4">
        <f>'GHG &amp; CO2 EMISSIONS'!Q124</f>
        <v>11837.028473843036</v>
      </c>
      <c r="O53" s="4">
        <f>'GHG &amp; CO2 EMISSIONS'!R124</f>
        <v>11803.412575479166</v>
      </c>
      <c r="P53" s="4">
        <f>'GHG &amp; CO2 EMISSIONS'!S124</f>
        <v>11910.763467094297</v>
      </c>
      <c r="Q53" s="4">
        <f>'GHG &amp; CO2 EMISSIONS'!T124</f>
        <v>11768.326470097581</v>
      </c>
      <c r="R53" s="4">
        <f>'GHG &amp; CO2 EMISSIONS'!U124</f>
        <v>12377.655583624872</v>
      </c>
      <c r="S53" s="4">
        <f>'GHG &amp; CO2 EMISSIONS'!V124</f>
        <v>12585.030606168304</v>
      </c>
      <c r="T53" s="4">
        <f>'GHG &amp; CO2 EMISSIONS'!W124</f>
        <v>13008.936854736279</v>
      </c>
      <c r="U53" s="4">
        <f>'GHG &amp; CO2 EMISSIONS'!X124</f>
        <v>12752.496719262455</v>
      </c>
      <c r="V53" s="4">
        <f>'GHG &amp; CO2 EMISSIONS'!Y124</f>
        <v>12634.955692589885</v>
      </c>
      <c r="W53" s="4">
        <f>'GHG &amp; CO2 EMISSIONS'!Z124</f>
        <v>12402.484719310229</v>
      </c>
      <c r="X53" s="4">
        <f>'GHG &amp; CO2 EMISSIONS'!AA124</f>
        <v>12402.064256075611</v>
      </c>
      <c r="Y53" s="4">
        <f>'GHG &amp; CO2 EMISSIONS'!AB124</f>
        <v>12399.256399099755</v>
      </c>
      <c r="Z53" s="4">
        <f>'GHG &amp; CO2 EMISSIONS'!AC124</f>
        <v>12400.703437852679</v>
      </c>
      <c r="AA53" s="4">
        <f>'GHG &amp; CO2 EMISSIONS'!AD124</f>
        <v>12473.612677161776</v>
      </c>
      <c r="AB53" s="4">
        <f>'GHG &amp; CO2 EMISSIONS'!AE124</f>
        <v>12408.163527110619</v>
      </c>
      <c r="AC53" s="4">
        <f>'GHG &amp; CO2 EMISSIONS'!AF124</f>
        <v>12466.955795467178</v>
      </c>
      <c r="AD53" s="4">
        <f>'GHG &amp; CO2 EMISSIONS'!AG124</f>
        <v>12508.66027668009</v>
      </c>
      <c r="AE53" s="4">
        <f>'GHG &amp; CO2 EMISSIONS'!AH124</f>
        <v>12382.358015812288</v>
      </c>
      <c r="AF53" s="4">
        <f>'GHG &amp; CO2 EMISSIONS'!AI124</f>
        <v>12197.16448259193</v>
      </c>
      <c r="AG53" s="4">
        <f>'GHG &amp; CO2 EMISSIONS'!AJ124</f>
        <v>12330.426480366383</v>
      </c>
      <c r="AH53" s="4">
        <f>'GHG &amp; CO2 EMISSIONS'!AK124</f>
        <v>12423.021052710374</v>
      </c>
    </row>
    <row r="54" spans="1:34">
      <c r="A54" s="1" t="s">
        <v>79</v>
      </c>
      <c r="B54" s="4">
        <f>'GHG &amp; CO2 EMISSIONS'!E140</f>
        <v>39022.225082278659</v>
      </c>
      <c r="C54" s="4">
        <f>'GHG &amp; CO2 EMISSIONS'!F140</f>
        <v>35569.108209576982</v>
      </c>
      <c r="D54" s="4">
        <f>'GHG &amp; CO2 EMISSIONS'!G140</f>
        <v>34433.865123081567</v>
      </c>
      <c r="E54" s="4">
        <f>'GHG &amp; CO2 EMISSIONS'!H140</f>
        <v>35407.262121345142</v>
      </c>
      <c r="F54" s="4">
        <f>'GHG &amp; CO2 EMISSIONS'!I140</f>
        <v>38490.903608288521</v>
      </c>
      <c r="G54" s="4">
        <f>'GHG &amp; CO2 EMISSIONS'!J140</f>
        <v>36373.314535880643</v>
      </c>
      <c r="H54" s="4">
        <f>'GHG &amp; CO2 EMISSIONS'!K140</f>
        <v>43675.682296831044</v>
      </c>
      <c r="I54" s="4">
        <f>'GHG &amp; CO2 EMISSIONS'!L140</f>
        <v>40815.072349550668</v>
      </c>
      <c r="J54" s="4">
        <f>'GHG &amp; CO2 EMISSIONS'!M140</f>
        <v>39610.057142440695</v>
      </c>
      <c r="K54" s="4">
        <f>'GHG &amp; CO2 EMISSIONS'!N140</f>
        <v>35184.758084201334</v>
      </c>
      <c r="L54" s="4">
        <f>'GHG &amp; CO2 EMISSIONS'!O140</f>
        <v>37145.23352318105</v>
      </c>
      <c r="M54" s="4">
        <f>'GHG &amp; CO2 EMISSIONS'!P140</f>
        <v>33581.901552739815</v>
      </c>
      <c r="N54" s="4">
        <f>'GHG &amp; CO2 EMISSIONS'!Q140</f>
        <v>31029.301834518272</v>
      </c>
      <c r="O54" s="4">
        <f>'GHG &amp; CO2 EMISSIONS'!R140</f>
        <v>32558.549943822054</v>
      </c>
      <c r="P54" s="4">
        <f>'GHG &amp; CO2 EMISSIONS'!S140</f>
        <v>32513.648483309615</v>
      </c>
      <c r="Q54" s="4">
        <f>'GHG &amp; CO2 EMISSIONS'!T140</f>
        <v>29567.920154121217</v>
      </c>
      <c r="R54" s="4">
        <f>'GHG &amp; CO2 EMISSIONS'!U140</f>
        <v>34501.057508858619</v>
      </c>
      <c r="S54" s="4">
        <f>'GHG &amp; CO2 EMISSIONS'!V140</f>
        <v>34678.446567833023</v>
      </c>
      <c r="T54" s="4">
        <f>'GHG &amp; CO2 EMISSIONS'!W140</f>
        <v>28293.578041812892</v>
      </c>
      <c r="U54" s="4">
        <f>'GHG &amp; CO2 EMISSIONS'!X140</f>
        <v>27235.429078828762</v>
      </c>
      <c r="V54" s="4">
        <f>'GHG &amp; CO2 EMISSIONS'!Y140</f>
        <v>28266.21376717788</v>
      </c>
      <c r="W54" s="4">
        <f>'GHG &amp; CO2 EMISSIONS'!Z140</f>
        <v>28029.845025100734</v>
      </c>
      <c r="X54" s="4">
        <f>'GHG &amp; CO2 EMISSIONS'!AA140</f>
        <v>28372.720611314176</v>
      </c>
      <c r="Y54" s="4">
        <f>'GHG &amp; CO2 EMISSIONS'!AB140</f>
        <v>32047.560077728598</v>
      </c>
      <c r="Z54" s="4">
        <f>'GHG &amp; CO2 EMISSIONS'!AC140</f>
        <v>34760.516875421177</v>
      </c>
      <c r="AA54" s="4">
        <f>'GHG &amp; CO2 EMISSIONS'!AD140</f>
        <v>39089.607256258503</v>
      </c>
      <c r="AB54" s="4">
        <f>'GHG &amp; CO2 EMISSIONS'!AE140</f>
        <v>39588.74312780465</v>
      </c>
      <c r="AC54" s="4">
        <f>'GHG &amp; CO2 EMISSIONS'!AF140</f>
        <v>36613.537787752895</v>
      </c>
      <c r="AD54" s="4">
        <f>'GHG &amp; CO2 EMISSIONS'!AG140</f>
        <v>39665.949072216245</v>
      </c>
      <c r="AE54" s="4">
        <f>'GHG &amp; CO2 EMISSIONS'!AH140</f>
        <v>42167.121450504354</v>
      </c>
      <c r="AF54" s="4">
        <f>'GHG &amp; CO2 EMISSIONS'!AI140</f>
        <v>33136.81896792652</v>
      </c>
      <c r="AG54" s="4">
        <f>'GHG &amp; CO2 EMISSIONS'!AJ140</f>
        <v>37382.395609021529</v>
      </c>
      <c r="AH54" s="4">
        <f>'GHG &amp; CO2 EMISSIONS'!AK140</f>
        <v>35008.839498041205</v>
      </c>
    </row>
    <row r="55" spans="1:34">
      <c r="A55" s="1" t="s">
        <v>80</v>
      </c>
      <c r="B55" s="4">
        <f>'GHG &amp; CO2 EMISSIONS'!E144</f>
        <v>51706.297431540312</v>
      </c>
      <c r="C55" s="4">
        <f>'GHG &amp; CO2 EMISSIONS'!F144</f>
        <v>50518.093140490484</v>
      </c>
      <c r="D55" s="4">
        <f>'GHG &amp; CO2 EMISSIONS'!G144</f>
        <v>51867.146242882212</v>
      </c>
      <c r="E55" s="4">
        <f>'GHG &amp; CO2 EMISSIONS'!H144</f>
        <v>48369.977721551149</v>
      </c>
      <c r="F55" s="4">
        <f>'GHG &amp; CO2 EMISSIONS'!I144</f>
        <v>49669.586624281998</v>
      </c>
      <c r="G55" s="4">
        <f>'GHG &amp; CO2 EMISSIONS'!J144</f>
        <v>49203.66362048631</v>
      </c>
      <c r="H55" s="4">
        <f>'GHG &amp; CO2 EMISSIONS'!K144</f>
        <v>47926.321119526947</v>
      </c>
      <c r="I55" s="4">
        <f>'GHG &amp; CO2 EMISSIONS'!L144</f>
        <v>49064.938443857187</v>
      </c>
      <c r="J55" s="4">
        <f>'GHG &amp; CO2 EMISSIONS'!M144</f>
        <v>51360.168143192015</v>
      </c>
      <c r="K55" s="4">
        <f>'GHG &amp; CO2 EMISSIONS'!N144</f>
        <v>52577.292945768015</v>
      </c>
      <c r="L55" s="4">
        <f>'GHG &amp; CO2 EMISSIONS'!O144</f>
        <v>58015.810580934471</v>
      </c>
      <c r="M55" s="4">
        <f>'GHG &amp; CO2 EMISSIONS'!P144</f>
        <v>54402.956379599978</v>
      </c>
      <c r="N55" s="4">
        <f>'GHG &amp; CO2 EMISSIONS'!Q144</f>
        <v>51068.75451392986</v>
      </c>
      <c r="O55" s="4">
        <f>'GHG &amp; CO2 EMISSIONS'!R144</f>
        <v>52732.901141219001</v>
      </c>
      <c r="P55" s="4">
        <f>'GHG &amp; CO2 EMISSIONS'!S144</f>
        <v>51850.207518757306</v>
      </c>
      <c r="Q55" s="4">
        <f>'GHG &amp; CO2 EMISSIONS'!T144</f>
        <v>52705.482003933917</v>
      </c>
      <c r="R55" s="4">
        <f>'GHG &amp; CO2 EMISSIONS'!U144</f>
        <v>55081.666348831226</v>
      </c>
      <c r="S55" s="4">
        <f>'GHG &amp; CO2 EMISSIONS'!V144</f>
        <v>52843.614127910267</v>
      </c>
      <c r="T55" s="4">
        <f>'GHG &amp; CO2 EMISSIONS'!W144</f>
        <v>53006.558315396651</v>
      </c>
      <c r="U55" s="4">
        <f>'GHG &amp; CO2 EMISSIONS'!X144</f>
        <v>51185.42210325475</v>
      </c>
      <c r="V55" s="4">
        <f>'GHG &amp; CO2 EMISSIONS'!Y144</f>
        <v>52041.953536147368</v>
      </c>
      <c r="W55" s="4">
        <f>'GHG &amp; CO2 EMISSIONS'!Z144</f>
        <v>49904.239911408105</v>
      </c>
      <c r="X55" s="4">
        <f>'GHG &amp; CO2 EMISSIONS'!AA144</f>
        <v>50731.904449488968</v>
      </c>
      <c r="Y55" s="4">
        <f>'GHG &amp; CO2 EMISSIONS'!AB144</f>
        <v>51419.050383887399</v>
      </c>
      <c r="Z55" s="4">
        <f>'GHG &amp; CO2 EMISSIONS'!AC144</f>
        <v>48590.632530733026</v>
      </c>
      <c r="AA55" s="4">
        <f>'GHG &amp; CO2 EMISSIONS'!AD144</f>
        <v>47238.511741704802</v>
      </c>
      <c r="AB55" s="4">
        <f>'GHG &amp; CO2 EMISSIONS'!AE144</f>
        <v>47050.156467734356</v>
      </c>
      <c r="AC55" s="4">
        <f>'GHG &amp; CO2 EMISSIONS'!AF144</f>
        <v>46786.694089094308</v>
      </c>
      <c r="AD55" s="4">
        <f>'GHG &amp; CO2 EMISSIONS'!AG144</f>
        <v>46730.71874036485</v>
      </c>
      <c r="AE55" s="4">
        <f>'GHG &amp; CO2 EMISSIONS'!AH144</f>
        <v>45733.084701316206</v>
      </c>
      <c r="AF55" s="4">
        <f>'GHG &amp; CO2 EMISSIONS'!AI144</f>
        <v>43046.436156357056</v>
      </c>
      <c r="AG55" s="4">
        <f>'GHG &amp; CO2 EMISSIONS'!AJ144</f>
        <v>43768.580918710199</v>
      </c>
      <c r="AH55" s="4">
        <f>'GHG &amp; CO2 EMISSIONS'!AK144</f>
        <v>41969.230765461114</v>
      </c>
    </row>
    <row r="56" spans="1:34">
      <c r="A56" s="1" t="s">
        <v>7</v>
      </c>
      <c r="B56" s="4">
        <f>'GHG &amp; CO2 EMISSIONS'!E164</f>
        <v>44633.557741729077</v>
      </c>
      <c r="C56" s="4">
        <f>'GHG &amp; CO2 EMISSIONS'!F164</f>
        <v>43704.486853019524</v>
      </c>
      <c r="D56" s="4">
        <f>'GHG &amp; CO2 EMISSIONS'!G164</f>
        <v>45703.11120383368</v>
      </c>
      <c r="E56" s="4">
        <f>'GHG &amp; CO2 EMISSIONS'!H164</f>
        <v>45158.323890706597</v>
      </c>
      <c r="F56" s="4">
        <f>'GHG &amp; CO2 EMISSIONS'!I164</f>
        <v>47239.686823180455</v>
      </c>
      <c r="G56" s="4">
        <f>'GHG &amp; CO2 EMISSIONS'!J164</f>
        <v>49258.299833093384</v>
      </c>
      <c r="H56" s="4">
        <f>'GHG &amp; CO2 EMISSIONS'!K164</f>
        <v>52570.415203586628</v>
      </c>
      <c r="I56" s="4">
        <f>'GHG &amp; CO2 EMISSIONS'!L164</f>
        <v>54553.454726681994</v>
      </c>
      <c r="J56" s="4">
        <f>'GHG &amp; CO2 EMISSIONS'!M164</f>
        <v>51760.363174374572</v>
      </c>
      <c r="K56" s="4">
        <f>'GHG &amp; CO2 EMISSIONS'!N164</f>
        <v>50840.504991286638</v>
      </c>
      <c r="L56" s="4">
        <f>'GHG &amp; CO2 EMISSIONS'!O164</f>
        <v>52177.524166992363</v>
      </c>
      <c r="M56" s="4">
        <f>'GHG &amp; CO2 EMISSIONS'!P164</f>
        <v>54822.381372512005</v>
      </c>
      <c r="N56" s="4">
        <f>'GHG &amp; CO2 EMISSIONS'!Q164</f>
        <v>56298.899298672237</v>
      </c>
      <c r="O56" s="4">
        <f>'GHG &amp; CO2 EMISSIONS'!R164</f>
        <v>57846.131713758135</v>
      </c>
      <c r="P56" s="4">
        <f>'GHG &amp; CO2 EMISSIONS'!S164</f>
        <v>58097.242164525342</v>
      </c>
      <c r="Q56" s="4">
        <f>'GHG &amp; CO2 EMISSIONS'!T164</f>
        <v>62364.442722453939</v>
      </c>
      <c r="R56" s="4">
        <f>'GHG &amp; CO2 EMISSIONS'!U164</f>
        <v>64582.021993762479</v>
      </c>
      <c r="S56" s="4">
        <f>'GHG &amp; CO2 EMISSIONS'!V164</f>
        <v>64215.476435082019</v>
      </c>
      <c r="T56" s="4">
        <f>'GHG &amp; CO2 EMISSIONS'!W164</f>
        <v>55476.86442270827</v>
      </c>
      <c r="U56" s="4">
        <f>'GHG &amp; CO2 EMISSIONS'!X164</f>
        <v>53779.057485418569</v>
      </c>
      <c r="V56" s="4">
        <f>'GHG &amp; CO2 EMISSIONS'!Y164</f>
        <v>53524.422501967187</v>
      </c>
      <c r="W56" s="4">
        <f>'GHG &amp; CO2 EMISSIONS'!Z164</f>
        <v>52989.069753459094</v>
      </c>
      <c r="X56" s="4">
        <f>'GHG &amp; CO2 EMISSIONS'!AA164</f>
        <v>58565.12445017758</v>
      </c>
      <c r="Y56" s="4">
        <f>'GHG &amp; CO2 EMISSIONS'!AB164</f>
        <v>57702.484830449095</v>
      </c>
      <c r="Z56" s="4">
        <f>'GHG &amp; CO2 EMISSIONS'!AC164</f>
        <v>58598.186574712352</v>
      </c>
      <c r="AA56" s="4">
        <f>'GHG &amp; CO2 EMISSIONS'!AD164</f>
        <v>58307.564954035151</v>
      </c>
      <c r="AB56" s="4">
        <f>'GHG &amp; CO2 EMISSIONS'!AE164</f>
        <v>56713.12563317654</v>
      </c>
      <c r="AC56" s="4">
        <f>'GHG &amp; CO2 EMISSIONS'!AF164</f>
        <v>59616.01730603235</v>
      </c>
      <c r="AD56" s="4">
        <f>'GHG &amp; CO2 EMISSIONS'!AG164</f>
        <v>61009.227838365718</v>
      </c>
      <c r="AE56" s="4">
        <f>'GHG &amp; CO2 EMISSIONS'!AH164</f>
        <v>62991.824989152832</v>
      </c>
      <c r="AF56" s="4">
        <f>'GHG &amp; CO2 EMISSIONS'!AI164</f>
        <v>60821.286169874547</v>
      </c>
      <c r="AG56" s="4">
        <f>'GHG &amp; CO2 EMISSIONS'!AJ164</f>
        <v>61303.355720994427</v>
      </c>
      <c r="AH56" s="4">
        <f>'GHG &amp; CO2 EMISSIONS'!AK164</f>
        <v>59156.568833087433</v>
      </c>
    </row>
    <row r="57" spans="1:34">
      <c r="A57" s="1" t="s">
        <v>74</v>
      </c>
      <c r="B57" s="4">
        <f>'GHG &amp; CO2 EMISSIONS'!E120</f>
        <v>126181.93168080939</v>
      </c>
      <c r="C57" s="4">
        <f>'GHG &amp; CO2 EMISSIONS'!F120</f>
        <v>118124.47082661715</v>
      </c>
      <c r="D57" s="4">
        <f>'GHG &amp; CO2 EMISSIONS'!G120</f>
        <v>105042.3082132519</v>
      </c>
      <c r="E57" s="4">
        <f>'GHG &amp; CO2 EMISSIONS'!H120</f>
        <v>96958.175608045727</v>
      </c>
      <c r="F57" s="4">
        <f>'GHG &amp; CO2 EMISSIONS'!I120</f>
        <v>71798.641222555249</v>
      </c>
      <c r="G57" s="4">
        <f>'GHG &amp; CO2 EMISSIONS'!J120</f>
        <v>62632.792743108148</v>
      </c>
      <c r="H57" s="4">
        <f>'GHG &amp; CO2 EMISSIONS'!K120</f>
        <v>63991.515177459842</v>
      </c>
      <c r="I57" s="4">
        <f>'GHG &amp; CO2 EMISSIONS'!L120</f>
        <v>65064.736819925027</v>
      </c>
      <c r="J57" s="4">
        <f>'GHG &amp; CO2 EMISSIONS'!M120</f>
        <v>65354.693402824865</v>
      </c>
      <c r="K57" s="4">
        <f>'GHG &amp; CO2 EMISSIONS'!N120</f>
        <v>55947.135518568612</v>
      </c>
      <c r="L57" s="4">
        <f>'GHG &amp; CO2 EMISSIONS'!O120</f>
        <v>51594.870880932853</v>
      </c>
      <c r="M57" s="4">
        <f>'GHG &amp; CO2 EMISSIONS'!P120</f>
        <v>51469.845698550329</v>
      </c>
      <c r="N57" s="4">
        <f>'GHG &amp; CO2 EMISSIONS'!Q120</f>
        <v>52455.720581296031</v>
      </c>
      <c r="O57" s="4">
        <f>'GHG &amp; CO2 EMISSIONS'!R120</f>
        <v>56777.461974739417</v>
      </c>
      <c r="P57" s="4">
        <f>'GHG &amp; CO2 EMISSIONS'!S120</f>
        <v>57930.292890208904</v>
      </c>
      <c r="Q57" s="4">
        <f>'GHG &amp; CO2 EMISSIONS'!T120</f>
        <v>58225.960776364293</v>
      </c>
      <c r="R57" s="4">
        <f>'GHG &amp; CO2 EMISSIONS'!U120</f>
        <v>58771.738487663351</v>
      </c>
      <c r="S57" s="4">
        <f>'GHG &amp; CO2 EMISSIONS'!V120</f>
        <v>55138.093854056082</v>
      </c>
      <c r="T57" s="4">
        <f>'GHG &amp; CO2 EMISSIONS'!W120</f>
        <v>58558.483750803331</v>
      </c>
      <c r="U57" s="4">
        <f>'GHG &amp; CO2 EMISSIONS'!X120</f>
        <v>52607.405714694243</v>
      </c>
      <c r="V57" s="4">
        <f>'GHG &amp; CO2 EMISSIONS'!Y120</f>
        <v>51471.311679303486</v>
      </c>
      <c r="W57" s="4">
        <f>'GHG &amp; CO2 EMISSIONS'!Z120</f>
        <v>51763.60267450432</v>
      </c>
      <c r="X57" s="4">
        <f>'GHG &amp; CO2 EMISSIONS'!AA120</f>
        <v>54566.284907286179</v>
      </c>
      <c r="Y57" s="4">
        <f>'GHG &amp; CO2 EMISSIONS'!AB120</f>
        <v>54499.772019670745</v>
      </c>
      <c r="Z57" s="4">
        <f>'GHG &amp; CO2 EMISSIONS'!AC120</f>
        <v>54323.067864380937</v>
      </c>
      <c r="AA57" s="4">
        <f>'GHG &amp; CO2 EMISSIONS'!AD120</f>
        <v>51655.672301627652</v>
      </c>
      <c r="AB57" s="4">
        <f>'GHG &amp; CO2 EMISSIONS'!AE120</f>
        <v>55196.217538608791</v>
      </c>
      <c r="AC57" s="4">
        <f>'GHG &amp; CO2 EMISSIONS'!AF120</f>
        <v>62034.907628443776</v>
      </c>
      <c r="AD57" s="4">
        <f>'GHG &amp; CO2 EMISSIONS'!AG120</f>
        <v>63567.201197818569</v>
      </c>
      <c r="AE57" s="4">
        <f>'GHG &amp; CO2 EMISSIONS'!AH120</f>
        <v>68041.236400719281</v>
      </c>
      <c r="AF57" s="4">
        <f>'GHG &amp; CO2 EMISSIONS'!AI120</f>
        <v>63075.623940206089</v>
      </c>
      <c r="AG57" s="4">
        <f>'GHG &amp; CO2 EMISSIONS'!AJ120</f>
        <v>59686.063754172486</v>
      </c>
      <c r="AH57" s="4">
        <f>'GHG &amp; CO2 EMISSIONS'!AK120</f>
        <v>56276.112109715054</v>
      </c>
    </row>
    <row r="58" spans="1:34">
      <c r="A58" s="1" t="s">
        <v>82</v>
      </c>
      <c r="B58" s="4">
        <f>'GHG &amp; CO2 EMISSIONS'!E152</f>
        <v>915477.38803790056</v>
      </c>
      <c r="C58" s="4">
        <f>'GHG &amp; CO2 EMISSIONS'!F152</f>
        <v>820910.08976516128</v>
      </c>
      <c r="D58" s="4">
        <f>'GHG &amp; CO2 EMISSIONS'!G152</f>
        <v>766657.2369330083</v>
      </c>
      <c r="E58" s="4">
        <f>'GHG &amp; CO2 EMISSIONS'!H152</f>
        <v>681605.39693167084</v>
      </c>
      <c r="F58" s="4">
        <f>'GHG &amp; CO2 EMISSIONS'!I152</f>
        <v>573042.18365960661</v>
      </c>
      <c r="G58" s="4">
        <f>'GHG &amp; CO2 EMISSIONS'!J152</f>
        <v>532873.85868985637</v>
      </c>
      <c r="H58" s="4">
        <f>'GHG &amp; CO2 EMISSIONS'!K152</f>
        <v>492477.48976367398</v>
      </c>
      <c r="I58" s="4">
        <f>'GHG &amp; CO2 EMISSIONS'!L152</f>
        <v>480765.16282150871</v>
      </c>
      <c r="J58" s="4">
        <f>'GHG &amp; CO2 EMISSIONS'!M152</f>
        <v>458318.38008939452</v>
      </c>
      <c r="K58" s="4">
        <f>'GHG &amp; CO2 EMISSIONS'!N152</f>
        <v>425444.3712427757</v>
      </c>
      <c r="L58" s="4">
        <f>'GHG &amp; CO2 EMISSIONS'!O152</f>
        <v>408305.81339715928</v>
      </c>
      <c r="M58" s="4">
        <f>'GHG &amp; CO2 EMISSIONS'!P152</f>
        <v>434785.33978324052</v>
      </c>
      <c r="N58" s="4">
        <f>'GHG &amp; CO2 EMISSIONS'!Q152</f>
        <v>421175.96687361575</v>
      </c>
      <c r="O58" s="4">
        <f>'GHG &amp; CO2 EMISSIONS'!R152</f>
        <v>420835.94915313076</v>
      </c>
      <c r="P58" s="4">
        <f>'GHG &amp; CO2 EMISSIONS'!S152</f>
        <v>436539.26015347469</v>
      </c>
      <c r="Q58" s="4">
        <f>'GHG &amp; CO2 EMISSIONS'!T152</f>
        <v>435798.42320988682</v>
      </c>
      <c r="R58" s="4">
        <f>'GHG &amp; CO2 EMISSIONS'!U152</f>
        <v>448867.09532481642</v>
      </c>
      <c r="S58" s="4">
        <f>'GHG &amp; CO2 EMISSIONS'!V152</f>
        <v>451229.78475401923</v>
      </c>
      <c r="T58" s="4">
        <f>'GHG &amp; CO2 EMISSIONS'!W152</f>
        <v>450137.13255269581</v>
      </c>
      <c r="U58" s="4">
        <f>'GHG &amp; CO2 EMISSIONS'!X152</f>
        <v>384546.98551931209</v>
      </c>
      <c r="V58" s="4">
        <f>'GHG &amp; CO2 EMISSIONS'!Y152</f>
        <v>395988.200516593</v>
      </c>
      <c r="W58" s="4">
        <f>'GHG &amp; CO2 EMISSIONS'!Z152</f>
        <v>430481.01336027024</v>
      </c>
      <c r="X58" s="4">
        <f>'GHG &amp; CO2 EMISSIONS'!AA152</f>
        <v>415161.2433354205</v>
      </c>
      <c r="Y58" s="4">
        <f>'GHG &amp; CO2 EMISSIONS'!AB152</f>
        <v>417669.35052675277</v>
      </c>
      <c r="Z58" s="4">
        <f>'GHG &amp; CO2 EMISSIONS'!AC152</f>
        <v>371296.41002329963</v>
      </c>
      <c r="AA58" s="4">
        <f>'GHG &amp; CO2 EMISSIONS'!AD152</f>
        <v>328364.14371852617</v>
      </c>
      <c r="AB58" s="4">
        <f>'GHG &amp; CO2 EMISSIONS'!AE152</f>
        <v>348753.29931335134</v>
      </c>
      <c r="AC58" s="4">
        <f>'GHG &amp; CO2 EMISSIONS'!AF152</f>
        <v>325844.17287190113</v>
      </c>
      <c r="AD58" s="4">
        <f>'GHG &amp; CO2 EMISSIONS'!AG152</f>
        <v>351665.83215739543</v>
      </c>
      <c r="AE58" s="4">
        <f>'GHG &amp; CO2 EMISSIONS'!AH152</f>
        <v>344893.51340118254</v>
      </c>
      <c r="AF58" s="4">
        <f>'GHG &amp; CO2 EMISSIONS'!AI152</f>
        <v>309282.13596334512</v>
      </c>
      <c r="AG58" s="4">
        <f>'GHG &amp; CO2 EMISSIONS'!AJ152</f>
        <v>327861.27885230875</v>
      </c>
      <c r="AH58" s="4">
        <f>'GHG &amp; CO2 EMISSIONS'!AK152</f>
        <v>223169.19450175448</v>
      </c>
    </row>
    <row r="59" spans="1:34">
      <c r="A59" s="1" t="s">
        <v>76</v>
      </c>
      <c r="B59" s="4">
        <f>'GHG &amp; CO2 EMISSIONS'!E128</f>
        <v>385736.50116360321</v>
      </c>
      <c r="C59" s="4">
        <f>'GHG &amp; CO2 EMISSIONS'!F128</f>
        <v>368209.8604349551</v>
      </c>
      <c r="D59" s="4">
        <f>'GHG &amp; CO2 EMISSIONS'!G128</f>
        <v>339393.76351724804</v>
      </c>
      <c r="E59" s="4">
        <f>'GHG &amp; CO2 EMISSIONS'!H128</f>
        <v>304515.24298706464</v>
      </c>
      <c r="F59" s="4">
        <f>'GHG &amp; CO2 EMISSIONS'!I128</f>
        <v>265815.37117595348</v>
      </c>
      <c r="G59" s="4">
        <f>'GHG &amp; CO2 EMISSIONS'!J128</f>
        <v>258536.48863270192</v>
      </c>
      <c r="H59" s="4">
        <f>'GHG &amp; CO2 EMISSIONS'!K128</f>
        <v>251277.01992593595</v>
      </c>
      <c r="I59" s="4">
        <f>'GHG &amp; CO2 EMISSIONS'!L128</f>
        <v>254478.48856232321</v>
      </c>
      <c r="J59" s="4">
        <f>'GHG &amp; CO2 EMISSIONS'!M128</f>
        <v>268458.02744644351</v>
      </c>
      <c r="K59" s="4">
        <f>'GHG &amp; CO2 EMISSIONS'!N128</f>
        <v>230600.89467814879</v>
      </c>
      <c r="L59" s="4">
        <f>'GHG &amp; CO2 EMISSIONS'!O128</f>
        <v>253161.94504995763</v>
      </c>
      <c r="M59" s="4">
        <f>'GHG &amp; CO2 EMISSIONS'!P128</f>
        <v>247017.69614484254</v>
      </c>
      <c r="N59" s="4">
        <f>'GHG &amp; CO2 EMISSIONS'!Q128</f>
        <v>269019.85166915623</v>
      </c>
      <c r="O59" s="4">
        <f>'GHG &amp; CO2 EMISSIONS'!R128</f>
        <v>289491.00945961231</v>
      </c>
      <c r="P59" s="4">
        <f>'GHG &amp; CO2 EMISSIONS'!S128</f>
        <v>306844.11269150779</v>
      </c>
      <c r="Q59" s="4">
        <f>'GHG &amp; CO2 EMISSIONS'!T128</f>
        <v>323279.03528665728</v>
      </c>
      <c r="R59" s="4">
        <f>'GHG &amp; CO2 EMISSIONS'!U128</f>
        <v>350749.39724896679</v>
      </c>
      <c r="S59" s="4">
        <f>'GHG &amp; CO2 EMISSIONS'!V128</f>
        <v>350785.3126363153</v>
      </c>
      <c r="T59" s="4">
        <f>'GHG &amp; CO2 EMISSIONS'!W128</f>
        <v>345186.69392614538</v>
      </c>
      <c r="U59" s="4">
        <f>'GHG &amp; CO2 EMISSIONS'!X128</f>
        <v>333925.78644642181</v>
      </c>
      <c r="V59" s="4">
        <f>'GHG &amp; CO2 EMISSIONS'!Y128</f>
        <v>351437.68277672649</v>
      </c>
      <c r="W59" s="4">
        <f>'GHG &amp; CO2 EMISSIONS'!Z128</f>
        <v>329890.75408377609</v>
      </c>
      <c r="X59" s="4">
        <f>'GHG &amp; CO2 EMISSIONS'!AA128</f>
        <v>323353.8807004785</v>
      </c>
      <c r="Y59" s="4">
        <f>'GHG &amp; CO2 EMISSIONS'!AB128</f>
        <v>320283.99528449646</v>
      </c>
      <c r="Z59" s="4">
        <f>'GHG &amp; CO2 EMISSIONS'!AC128</f>
        <v>372303.85140972497</v>
      </c>
      <c r="AA59" s="4">
        <f>'GHG &amp; CO2 EMISSIONS'!AD128</f>
        <v>380052.54689868045</v>
      </c>
      <c r="AB59" s="4">
        <f>'GHG &amp; CO2 EMISSIONS'!AE128</f>
        <v>382962.55641509674</v>
      </c>
      <c r="AC59" s="4">
        <f>'GHG &amp; CO2 EMISSIONS'!AF128</f>
        <v>407202.10066082404</v>
      </c>
      <c r="AD59" s="4">
        <f>'GHG &amp; CO2 EMISSIONS'!AG128</f>
        <v>425908.01688401221</v>
      </c>
      <c r="AE59" s="4">
        <f>'GHG &amp; CO2 EMISSIONS'!AH128</f>
        <v>391068.08260032057</v>
      </c>
      <c r="AF59" s="4">
        <f>'GHG &amp; CO2 EMISSIONS'!AI128</f>
        <v>368098.55026219727</v>
      </c>
      <c r="AG59" s="4">
        <f>'GHG &amp; CO2 EMISSIONS'!AJ128</f>
        <v>328422.26666262368</v>
      </c>
      <c r="AH59" s="4">
        <f>'GHG &amp; CO2 EMISSIONS'!AK128</f>
        <v>352973.02534125908</v>
      </c>
    </row>
    <row r="60" spans="1:34">
      <c r="A60" s="1" t="s">
        <v>81</v>
      </c>
      <c r="B60" s="4">
        <f>'GHG &amp; CO2 EMISSIONS'!E148</f>
        <v>161572.22516237735</v>
      </c>
      <c r="C60" s="4">
        <f>'GHG &amp; CO2 EMISSIONS'!F148</f>
        <v>167975.40622203809</v>
      </c>
      <c r="D60" s="4">
        <f>'GHG &amp; CO2 EMISSIONS'!G148</f>
        <v>174342.0469620401</v>
      </c>
      <c r="E60" s="4">
        <f>'GHG &amp; CO2 EMISSIONS'!H148</f>
        <v>182471.14439640974</v>
      </c>
      <c r="F60" s="4">
        <f>'GHG &amp; CO2 EMISSIONS'!I148</f>
        <v>174735.38574970167</v>
      </c>
      <c r="G60" s="4">
        <f>'GHG &amp; CO2 EMISSIONS'!J148</f>
        <v>188549.54359110954</v>
      </c>
      <c r="H60" s="4">
        <f>'GHG &amp; CO2 EMISSIONS'!K148</f>
        <v>208568.95997706088</v>
      </c>
      <c r="I60" s="4">
        <f>'GHG &amp; CO2 EMISSIONS'!L148</f>
        <v>216284.23326678923</v>
      </c>
      <c r="J60" s="4">
        <f>'GHG &amp; CO2 EMISSIONS'!M148</f>
        <v>217547.4864912203</v>
      </c>
      <c r="K60" s="4">
        <f>'GHG &amp; CO2 EMISSIONS'!N148</f>
        <v>214413.62369355169</v>
      </c>
      <c r="L60" s="4">
        <f>'GHG &amp; CO2 EMISSIONS'!O148</f>
        <v>238232.64597052705</v>
      </c>
      <c r="M60" s="4">
        <f>'GHG &amp; CO2 EMISSIONS'!P148</f>
        <v>216826.94569749385</v>
      </c>
      <c r="N60" s="4">
        <f>'GHG &amp; CO2 EMISSIONS'!Q148</f>
        <v>223110.64949668746</v>
      </c>
      <c r="O60" s="4">
        <f>'GHG &amp; CO2 EMISSIONS'!R148</f>
        <v>240852.48209722544</v>
      </c>
      <c r="P60" s="4">
        <f>'GHG &amp; CO2 EMISSIONS'!S148</f>
        <v>251752.48829391046</v>
      </c>
      <c r="Q60" s="4">
        <f>'GHG &amp; CO2 EMISSIONS'!T148</f>
        <v>272559.77909141721</v>
      </c>
      <c r="R60" s="4">
        <f>'GHG &amp; CO2 EMISSIONS'!U148</f>
        <v>293628.31128892821</v>
      </c>
      <c r="S60" s="4">
        <f>'GHG &amp; CO2 EMISSIONS'!V148</f>
        <v>327086.29234994896</v>
      </c>
      <c r="T60" s="4">
        <f>'GHG &amp; CO2 EMISSIONS'!W148</f>
        <v>327070.91078037419</v>
      </c>
      <c r="U60" s="4">
        <f>'GHG &amp; CO2 EMISSIONS'!X148</f>
        <v>330556.58039614011</v>
      </c>
      <c r="V60" s="4">
        <f>'GHG &amp; CO2 EMISSIONS'!Y148</f>
        <v>333211.20740917098</v>
      </c>
      <c r="W60" s="4">
        <f>'GHG &amp; CO2 EMISSIONS'!Z148</f>
        <v>359211.47684234963</v>
      </c>
      <c r="X60" s="4">
        <f>'GHG &amp; CO2 EMISSIONS'!AA148</f>
        <v>381743.09263242973</v>
      </c>
      <c r="Y60" s="4">
        <f>'GHG &amp; CO2 EMISSIONS'!AB148</f>
        <v>370901.73693462141</v>
      </c>
      <c r="Z60" s="4">
        <f>'GHG &amp; CO2 EMISSIONS'!AC148</f>
        <v>389527.5972096764</v>
      </c>
      <c r="AA60" s="4">
        <f>'GHG &amp; CO2 EMISSIONS'!AD148</f>
        <v>407217.62807609397</v>
      </c>
      <c r="AB60" s="4">
        <f>'GHG &amp; CO2 EMISSIONS'!AE148</f>
        <v>430352.5154866926</v>
      </c>
      <c r="AC60" s="4">
        <f>'GHG &amp; CO2 EMISSIONS'!AF148</f>
        <v>455073.4502882667</v>
      </c>
      <c r="AD60" s="4">
        <f>'GHG &amp; CO2 EMISSIONS'!AG148</f>
        <v>457677.32337850734</v>
      </c>
      <c r="AE60" s="4">
        <f>'GHG &amp; CO2 EMISSIONS'!AH148</f>
        <v>451280.42424972606</v>
      </c>
      <c r="AF60" s="4">
        <f>'GHG &amp; CO2 EMISSIONS'!AI148</f>
        <v>472534.16373850848</v>
      </c>
      <c r="AG60" s="4">
        <f>'GHG &amp; CO2 EMISSIONS'!AJ148</f>
        <v>524113.10597406409</v>
      </c>
      <c r="AH60" s="4">
        <f>'GHG &amp; CO2 EMISSIONS'!AK148</f>
        <v>502174.97217642935</v>
      </c>
    </row>
    <row r="61" spans="1:34">
      <c r="A61" s="1" t="s">
        <v>106</v>
      </c>
      <c r="B61" s="4">
        <f>'GHG &amp; CO2 EMISSIONS'!E116</f>
        <v>615387</v>
      </c>
      <c r="C61" s="4">
        <f>'GHG &amp; CO2 EMISSIONS'!F116</f>
        <v>594992</v>
      </c>
      <c r="D61" s="4">
        <f>'GHG &amp; CO2 EMISSIONS'!G116</f>
        <v>554506</v>
      </c>
      <c r="E61" s="4">
        <f>'GHG &amp; CO2 EMISSIONS'!H116</f>
        <v>533504</v>
      </c>
      <c r="F61" s="4">
        <f>'GHG &amp; CO2 EMISSIONS'!I116</f>
        <v>523368</v>
      </c>
      <c r="G61" s="4">
        <f>'GHG &amp; CO2 EMISSIONS'!J116</f>
        <v>510973</v>
      </c>
      <c r="H61" s="4">
        <f>'GHG &amp; CO2 EMISSIONS'!K116</f>
        <v>512169</v>
      </c>
      <c r="I61" s="4">
        <f>'GHG &amp; CO2 EMISSIONS'!L116</f>
        <v>510321</v>
      </c>
      <c r="J61" s="4">
        <f>'GHG &amp; CO2 EMISSIONS'!M116</f>
        <v>527929</v>
      </c>
      <c r="K61" s="4">
        <f>'GHG &amp; CO2 EMISSIONS'!N116</f>
        <v>548328</v>
      </c>
      <c r="L61" s="4">
        <f>'GHG &amp; CO2 EMISSIONS'!O116</f>
        <v>569826</v>
      </c>
      <c r="M61" s="4">
        <f>'GHG &amp; CO2 EMISSIONS'!P116</f>
        <v>586480</v>
      </c>
      <c r="N61" s="4">
        <f>'GHG &amp; CO2 EMISSIONS'!Q116</f>
        <v>590984</v>
      </c>
      <c r="O61" s="4">
        <f>'GHG &amp; CO2 EMISSIONS'!R116</f>
        <v>590523</v>
      </c>
      <c r="P61" s="4">
        <f>'GHG &amp; CO2 EMISSIONS'!S116</f>
        <v>574702</v>
      </c>
      <c r="Q61" s="4">
        <f>'GHG &amp; CO2 EMISSIONS'!T116</f>
        <v>609446</v>
      </c>
      <c r="R61" s="4">
        <f>'GHG &amp; CO2 EMISSIONS'!U116</f>
        <v>644924</v>
      </c>
      <c r="S61" s="4">
        <f>'GHG &amp; CO2 EMISSIONS'!V116</f>
        <v>626120</v>
      </c>
      <c r="T61" s="4">
        <f>'GHG &amp; CO2 EMISSIONS'!W116</f>
        <v>614649</v>
      </c>
      <c r="U61" s="4">
        <f>'GHG &amp; CO2 EMISSIONS'!X116</f>
        <v>607868</v>
      </c>
      <c r="V61" s="4">
        <f>'GHG &amp; CO2 EMISSIONS'!Y116</f>
        <v>609169</v>
      </c>
      <c r="W61" s="4">
        <f>'GHG &amp; CO2 EMISSIONS'!Z116</f>
        <v>577598</v>
      </c>
      <c r="X61" s="4">
        <f>'GHG &amp; CO2 EMISSIONS'!AA116</f>
        <v>554652</v>
      </c>
      <c r="Y61" s="4">
        <f>'GHG &amp; CO2 EMISSIONS'!AB116</f>
        <v>557099</v>
      </c>
      <c r="Z61" s="4">
        <f>'GHG &amp; CO2 EMISSIONS'!AC116</f>
        <v>538319</v>
      </c>
      <c r="AA61" s="4">
        <f>'GHG &amp; CO2 EMISSIONS'!AD116</f>
        <v>533688</v>
      </c>
      <c r="AB61" s="4">
        <f>'GHG &amp; CO2 EMISSIONS'!AE116</f>
        <v>491065</v>
      </c>
      <c r="AC61" s="4">
        <f>'GHG &amp; CO2 EMISSIONS'!AF116</f>
        <v>528911</v>
      </c>
      <c r="AD61" s="4">
        <f>'GHG &amp; CO2 EMISSIONS'!AG116</f>
        <v>501666</v>
      </c>
      <c r="AE61" s="4">
        <f>'GHG &amp; CO2 EMISSIONS'!AH116</f>
        <v>490706</v>
      </c>
      <c r="AF61" s="4">
        <f>'GHG &amp; CO2 EMISSIONS'!AI116</f>
        <v>474544</v>
      </c>
      <c r="AG61" s="4">
        <f>'GHG &amp; CO2 EMISSIONS'!AJ116</f>
        <v>438745</v>
      </c>
      <c r="AH61" s="4">
        <f>'GHG &amp; CO2 EMISSIONS'!AK116</f>
        <v>432621</v>
      </c>
    </row>
    <row r="62" spans="1:34">
      <c r="A62" s="1" t="s">
        <v>108</v>
      </c>
      <c r="B62" s="4">
        <f>'GHG &amp; CO2 EMISSIONS'!E172</f>
        <v>656932.93118143734</v>
      </c>
      <c r="C62" s="4">
        <f>'GHG &amp; CO2 EMISSIONS'!F172</f>
        <v>646378.94397798553</v>
      </c>
      <c r="D62" s="4">
        <f>'GHG &amp; CO2 EMISSIONS'!G172</f>
        <v>675696.90108220978</v>
      </c>
      <c r="E62" s="4">
        <f>'GHG &amp; CO2 EMISSIONS'!H172</f>
        <v>693741.51228257793</v>
      </c>
      <c r="F62" s="4">
        <f>'GHG &amp; CO2 EMISSIONS'!I172</f>
        <v>703895.42861299217</v>
      </c>
      <c r="G62" s="4">
        <f>'GHG &amp; CO2 EMISSIONS'!J172</f>
        <v>733004.72902357904</v>
      </c>
      <c r="H62" s="4">
        <f>'GHG &amp; CO2 EMISSIONS'!K172</f>
        <v>744635.14973169228</v>
      </c>
      <c r="I62" s="4">
        <f>'GHG &amp; CO2 EMISSIONS'!L172</f>
        <v>759372.66215985734</v>
      </c>
      <c r="J62" s="4">
        <f>'GHG &amp; CO2 EMISSIONS'!M172</f>
        <v>759256.4591627589</v>
      </c>
      <c r="K62" s="4">
        <f>'GHG &amp; CO2 EMISSIONS'!N172</f>
        <v>774335.24802522128</v>
      </c>
      <c r="L62" s="4">
        <f>'GHG &amp; CO2 EMISSIONS'!O172</f>
        <v>804854.75931728352</v>
      </c>
      <c r="M62" s="4">
        <f>'GHG &amp; CO2 EMISSIONS'!P172</f>
        <v>778699.7507311115</v>
      </c>
      <c r="N62" s="4">
        <f>'GHG &amp; CO2 EMISSIONS'!Q172</f>
        <v>814217.25928686245</v>
      </c>
      <c r="O62" s="4">
        <f>'GHG &amp; CO2 EMISSIONS'!R172</f>
        <v>829499.09529483411</v>
      </c>
      <c r="P62" s="4">
        <f>'GHG &amp; CO2 EMISSIONS'!S172</f>
        <v>829892.01101326267</v>
      </c>
      <c r="Q62" s="4">
        <f>'GHG &amp; CO2 EMISSIONS'!T172</f>
        <v>827486.67584141577</v>
      </c>
      <c r="R62" s="4">
        <f>'GHG &amp; CO2 EMISSIONS'!U172</f>
        <v>803901.26132009667</v>
      </c>
      <c r="S62" s="4">
        <f>'GHG &amp; CO2 EMISSIONS'!V172</f>
        <v>822310.84640959662</v>
      </c>
      <c r="T62" s="4">
        <f>'GHG &amp; CO2 EMISSIONS'!W172</f>
        <v>798765.76454559807</v>
      </c>
      <c r="U62" s="4">
        <f>'GHG &amp; CO2 EMISSIONS'!X172</f>
        <v>727181.59877535352</v>
      </c>
      <c r="V62" s="4">
        <f>'GHG &amp; CO2 EMISSIONS'!Y172</f>
        <v>767961.23848875158</v>
      </c>
      <c r="W62" s="4">
        <f>'GHG &amp; CO2 EMISSIONS'!Z172</f>
        <v>780410.30954252835</v>
      </c>
      <c r="X62" s="4">
        <f>'GHG &amp; CO2 EMISSIONS'!AA172</f>
        <v>770687.33149704023</v>
      </c>
      <c r="Y62" s="4">
        <f>'GHG &amp; CO2 EMISSIONS'!AB172</f>
        <v>780126.73706523655</v>
      </c>
      <c r="Z62" s="4">
        <f>'GHG &amp; CO2 EMISSIONS'!AC172</f>
        <v>755367.90066711768</v>
      </c>
      <c r="AA62" s="4">
        <f>'GHG &amp; CO2 EMISSIONS'!AD172</f>
        <v>789069.85176230839</v>
      </c>
      <c r="AB62" s="4">
        <f>'GHG &amp; CO2 EMISSIONS'!AE172</f>
        <v>758210.84839314513</v>
      </c>
      <c r="AC62" s="4">
        <f>'GHG &amp; CO2 EMISSIONS'!AF172</f>
        <v>761111.24279110017</v>
      </c>
      <c r="AD62" s="4">
        <f>'GHG &amp; CO2 EMISSIONS'!AG172</f>
        <v>775618.72362183523</v>
      </c>
      <c r="AE62" s="4">
        <f>'GHG &amp; CO2 EMISSIONS'!AH172</f>
        <v>765655.73717530898</v>
      </c>
      <c r="AF62" s="4">
        <f>'GHG &amp; CO2 EMISSIONS'!AI172</f>
        <v>712004.41366455506</v>
      </c>
      <c r="AG62" s="4">
        <f>'GHG &amp; CO2 EMISSIONS'!AJ172</f>
        <v>711978.63216929638</v>
      </c>
      <c r="AH62" s="4">
        <f>'GHG &amp; CO2 EMISSIONS'!AK172</f>
        <v>759226.96735131624</v>
      </c>
    </row>
    <row r="63" spans="1:34">
      <c r="A63" s="1" t="s">
        <v>105</v>
      </c>
      <c r="B63" s="4">
        <f>'GHG &amp; CO2 EMISSIONS'!E160</f>
        <v>1196722.7246326499</v>
      </c>
      <c r="C63" s="4">
        <f>'GHG &amp; CO2 EMISSIONS'!F160</f>
        <v>1205344.1306954089</v>
      </c>
      <c r="D63" s="4">
        <f>'GHG &amp; CO2 EMISSIONS'!G160</f>
        <v>1213326.6945115146</v>
      </c>
      <c r="E63" s="4">
        <f>'GHG &amp; CO2 EMISSIONS'!H160</f>
        <v>1205563.7665426875</v>
      </c>
      <c r="F63" s="4">
        <f>'GHG &amp; CO2 EMISSIONS'!I160</f>
        <v>1265840.7189296675</v>
      </c>
      <c r="G63" s="4">
        <f>'GHG &amp; CO2 EMISSIONS'!J160</f>
        <v>1286411.1891496719</v>
      </c>
      <c r="H63" s="4">
        <f>'GHG &amp; CO2 EMISSIONS'!K160</f>
        <v>1297889.2496545573</v>
      </c>
      <c r="I63" s="4">
        <f>'GHG &amp; CO2 EMISSIONS'!L160</f>
        <v>1288930.6238740233</v>
      </c>
      <c r="J63" s="4">
        <f>'GHG &amp; CO2 EMISSIONS'!M160</f>
        <v>1240707.3382092989</v>
      </c>
      <c r="K63" s="4">
        <f>'GHG &amp; CO2 EMISSIONS'!N160</f>
        <v>1265185.1842877262</v>
      </c>
      <c r="L63" s="4">
        <f>'GHG &amp; CO2 EMISSIONS'!O160</f>
        <v>1283676.3164079965</v>
      </c>
      <c r="M63" s="4">
        <f>'GHG &amp; CO2 EMISSIONS'!P160</f>
        <v>1257979.1198022694</v>
      </c>
      <c r="N63" s="4">
        <f>'GHG &amp; CO2 EMISSIONS'!Q160</f>
        <v>1280981.9834729198</v>
      </c>
      <c r="O63" s="4">
        <f>'GHG &amp; CO2 EMISSIONS'!R160</f>
        <v>1278378.3202567841</v>
      </c>
      <c r="P63" s="4">
        <f>'GHG &amp; CO2 EMISSIONS'!S160</f>
        <v>1273926.1970644349</v>
      </c>
      <c r="Q63" s="4">
        <f>'GHG &amp; CO2 EMISSIONS'!T160</f>
        <v>1287167.6512530956</v>
      </c>
      <c r="R63" s="4">
        <f>'GHG &amp; CO2 EMISSIONS'!U160</f>
        <v>1270166.6517791359</v>
      </c>
      <c r="S63" s="4">
        <f>'GHG &amp; CO2 EMISSIONS'!V160</f>
        <v>1310191.6119043676</v>
      </c>
      <c r="T63" s="4">
        <f>'GHG &amp; CO2 EMISSIONS'!W160</f>
        <v>1241919.5582787574</v>
      </c>
      <c r="U63" s="4">
        <f>'GHG &amp; CO2 EMISSIONS'!X160</f>
        <v>1172537.4290035637</v>
      </c>
      <c r="V63" s="4">
        <f>'GHG &amp; CO2 EMISSIONS'!Y160</f>
        <v>1221481.903403389</v>
      </c>
      <c r="W63" s="4">
        <f>'GHG &amp; CO2 EMISSIONS'!Z160</f>
        <v>1273010.7013665305</v>
      </c>
      <c r="X63" s="4">
        <f>'GHG &amp; CO2 EMISSIONS'!AA160</f>
        <v>1312714.6408506825</v>
      </c>
      <c r="Y63" s="4">
        <f>'GHG &amp; CO2 EMISSIONS'!AB160</f>
        <v>1331689.3138840494</v>
      </c>
      <c r="Z63" s="4">
        <f>'GHG &amp; CO2 EMISSIONS'!AC160</f>
        <v>1285843.5501252774</v>
      </c>
      <c r="AA63" s="4">
        <f>'GHG &amp; CO2 EMISSIONS'!AD160</f>
        <v>1253222.6720583029</v>
      </c>
      <c r="AB63" s="4">
        <f>'GHG &amp; CO2 EMISSIONS'!AE160</f>
        <v>1239069.0583738075</v>
      </c>
      <c r="AC63" s="4">
        <f>'GHG &amp; CO2 EMISSIONS'!AF160</f>
        <v>1221274.7689428343</v>
      </c>
      <c r="AD63" s="4">
        <f>'GHG &amp; CO2 EMISSIONS'!AG160</f>
        <v>1177165.066801402</v>
      </c>
      <c r="AE63" s="4">
        <f>'GHG &amp; CO2 EMISSIONS'!AH160</f>
        <v>1146953.7157948625</v>
      </c>
      <c r="AF63" s="4">
        <f>'GHG &amp; CO2 EMISSIONS'!AI160</f>
        <v>1082162.6560287098</v>
      </c>
      <c r="AG63" s="4">
        <f>'GHG &amp; CO2 EMISSIONS'!AJ160</f>
        <v>1103923.7536224052</v>
      </c>
      <c r="AH63" s="4">
        <f>'GHG &amp; CO2 EMISSIONS'!AK160</f>
        <v>1080462.8884610895</v>
      </c>
    </row>
    <row r="64" spans="1:34">
      <c r="A64" s="1" t="s">
        <v>84</v>
      </c>
      <c r="B64" s="4">
        <f>'GHG &amp; CO2 EMISSIONS'!E168</f>
        <v>2601458.4390345477</v>
      </c>
      <c r="C64" s="4">
        <f>'GHG &amp; CO2 EMISSIONS'!F168</f>
        <v>2381934.3607589505</v>
      </c>
      <c r="D64" s="4">
        <f>'GHG &amp; CO2 EMISSIONS'!G168</f>
        <v>1861499.8370140605</v>
      </c>
      <c r="E64" s="4">
        <f>'GHG &amp; CO2 EMISSIONS'!H168</f>
        <v>1527086.2928599573</v>
      </c>
      <c r="F64" s="4">
        <f>'GHG &amp; CO2 EMISSIONS'!I168</f>
        <v>1107497.1230788084</v>
      </c>
      <c r="G64" s="4">
        <f>'GHG &amp; CO2 EMISSIONS'!J168</f>
        <v>959535.85359735135</v>
      </c>
      <c r="H64" s="4">
        <f>'GHG &amp; CO2 EMISSIONS'!K168</f>
        <v>875006.61336071277</v>
      </c>
      <c r="I64" s="4">
        <f>'GHG &amp; CO2 EMISSIONS'!L168</f>
        <v>692258.4550938165</v>
      </c>
      <c r="J64" s="4">
        <f>'GHG &amp; CO2 EMISSIONS'!M168</f>
        <v>625002.78573790751</v>
      </c>
      <c r="K64" s="4">
        <f>'GHG &amp; CO2 EMISSIONS'!N168</f>
        <v>581800.61136439152</v>
      </c>
      <c r="L64" s="4">
        <f>'GHG &amp; CO2 EMISSIONS'!O168</f>
        <v>591828.27734088467</v>
      </c>
      <c r="M64" s="4">
        <f>'GHG &amp; CO2 EMISSIONS'!P168</f>
        <v>506476.7254018145</v>
      </c>
      <c r="N64" s="4">
        <f>'GHG &amp; CO2 EMISSIONS'!Q168</f>
        <v>447423.99196849403</v>
      </c>
      <c r="O64" s="4">
        <f>'GHG &amp; CO2 EMISSIONS'!R168</f>
        <v>392852.81952782883</v>
      </c>
      <c r="P64" s="4">
        <f>'GHG &amp; CO2 EMISSIONS'!S168</f>
        <v>247341.97987242593</v>
      </c>
      <c r="Q64" s="4">
        <f>'GHG &amp; CO2 EMISSIONS'!T168</f>
        <v>271468.58874109347</v>
      </c>
      <c r="R64" s="4">
        <f>'GHG &amp; CO2 EMISSIONS'!U168</f>
        <v>408961.51116532361</v>
      </c>
      <c r="S64" s="4">
        <f>'GHG &amp; CO2 EMISSIONS'!V168</f>
        <v>295245.37557926861</v>
      </c>
      <c r="T64" s="4">
        <f>'GHG &amp; CO2 EMISSIONS'!W168</f>
        <v>388946.97451714135</v>
      </c>
      <c r="U64" s="4">
        <f>'GHG &amp; CO2 EMISSIONS'!X168</f>
        <v>190104.26735527092</v>
      </c>
      <c r="V64" s="4">
        <f>'GHG &amp; CO2 EMISSIONS'!Y168</f>
        <v>212848.54774058168</v>
      </c>
      <c r="W64" s="4">
        <f>'GHG &amp; CO2 EMISSIONS'!Z168</f>
        <v>634025.30434004392</v>
      </c>
      <c r="X64" s="4">
        <f>'GHG &amp; CO2 EMISSIONS'!AA168</f>
        <v>1073752.0364229265</v>
      </c>
      <c r="Y64" s="4">
        <f>'GHG &amp; CO2 EMISSIONS'!AB168</f>
        <v>617710.5800769974</v>
      </c>
      <c r="Z64" s="4">
        <f>'GHG &amp; CO2 EMISSIONS'!AC168</f>
        <v>743937.51342979039</v>
      </c>
      <c r="AA64" s="4">
        <f>'GHG &amp; CO2 EMISSIONS'!AD168</f>
        <v>769042.33047260949</v>
      </c>
      <c r="AB64" s="4">
        <f>'GHG &amp; CO2 EMISSIONS'!AE168</f>
        <v>871033.76303817169</v>
      </c>
      <c r="AC64" s="4">
        <f>'GHG &amp; CO2 EMISSIONS'!AF168</f>
        <v>823727.95824095025</v>
      </c>
      <c r="AD64" s="4">
        <f>'GHG &amp; CO2 EMISSIONS'!AG168</f>
        <v>1004062.9374205406</v>
      </c>
      <c r="AE64" s="4">
        <f>'GHG &amp; CO2 EMISSIONS'!AH168</f>
        <v>1139489.2463092653</v>
      </c>
      <c r="AF64" s="4">
        <f>'GHG &amp; CO2 EMISSIONS'!AI168</f>
        <v>807205.65491548879</v>
      </c>
      <c r="AG64" s="4">
        <f>'GHG &amp; CO2 EMISSIONS'!AJ168</f>
        <v>1136609.2380735099</v>
      </c>
      <c r="AH64" s="4">
        <f>'GHG &amp; CO2 EMISSIONS'!AK168</f>
        <v>813188.77523438807</v>
      </c>
    </row>
    <row r="65" spans="1:34" ht="30">
      <c r="A65" s="1" t="s">
        <v>156</v>
      </c>
      <c r="B65" s="4">
        <f>'GHG &amp; CO2 EMISSIONS'!E4</f>
        <v>4641267.5811383268</v>
      </c>
      <c r="C65" s="4">
        <f>'GHG &amp; CO2 EMISSIONS'!F4</f>
        <v>4436277.8234802512</v>
      </c>
      <c r="D65" s="4">
        <f>'GHG &amp; CO2 EMISSIONS'!G4</f>
        <v>4312585.1766806981</v>
      </c>
      <c r="E65" s="4">
        <f>'GHG &amp; CO2 EMISSIONS'!H4</f>
        <v>4218778.822271009</v>
      </c>
      <c r="F65" s="4">
        <f>'GHG &amp; CO2 EMISSIONS'!I4</f>
        <v>4206188.9053313592</v>
      </c>
      <c r="G65" s="4">
        <f>'GHG &amp; CO2 EMISSIONS'!J4</f>
        <v>4233156.9846094437</v>
      </c>
      <c r="H65" s="4">
        <f>'GHG &amp; CO2 EMISSIONS'!K4</f>
        <v>4296320.0862008268</v>
      </c>
      <c r="I65" s="4">
        <f>'GHG &amp; CO2 EMISSIONS'!L4</f>
        <v>4232628.5394530138</v>
      </c>
      <c r="J65" s="4">
        <f>'GHG &amp; CO2 EMISSIONS'!M4</f>
        <v>4182882.8705076948</v>
      </c>
      <c r="K65" s="4">
        <f>'GHG &amp; CO2 EMISSIONS'!N4</f>
        <v>4094967.1091219047</v>
      </c>
      <c r="L65" s="4">
        <f>'GHG &amp; CO2 EMISSIONS'!O4</f>
        <v>4134469.1262888503</v>
      </c>
      <c r="M65" s="4">
        <f>'GHG &amp; CO2 EMISSIONS'!P4</f>
        <v>4135616.1144574354</v>
      </c>
      <c r="N65" s="4">
        <f>'GHG &amp; CO2 EMISSIONS'!Q4</f>
        <v>4152573.9150471105</v>
      </c>
      <c r="O65" s="4">
        <f>'GHG &amp; CO2 EMISSIONS'!R4</f>
        <v>4239472.3875671839</v>
      </c>
      <c r="P65" s="4">
        <f>'GHG &amp; CO2 EMISSIONS'!S4</f>
        <v>4200873.7310447786</v>
      </c>
      <c r="Q65" s="4">
        <f>'GHG &amp; CO2 EMISSIONS'!T4</f>
        <v>4188474.9469451387</v>
      </c>
      <c r="R65" s="4">
        <f>'GHG &amp; CO2 EMISSIONS'!U4</f>
        <v>4187006.3588606431</v>
      </c>
      <c r="S65" s="4">
        <f>'GHG &amp; CO2 EMISSIONS'!V4</f>
        <v>4187399.4600460106</v>
      </c>
      <c r="T65" s="4">
        <f>'GHG &amp; CO2 EMISSIONS'!W4</f>
        <v>4051126.1735098087</v>
      </c>
      <c r="U65" s="4">
        <f>'GHG &amp; CO2 EMISSIONS'!X4</f>
        <v>3736543.9392411774</v>
      </c>
      <c r="V65" s="4">
        <f>'GHG &amp; CO2 EMISSIONS'!Y4</f>
        <v>3814136.7460841653</v>
      </c>
      <c r="W65" s="4">
        <f>'GHG &amp; CO2 EMISSIONS'!Z4</f>
        <v>3712138.0014127637</v>
      </c>
      <c r="X65" s="4">
        <f>'GHG &amp; CO2 EMISSIONS'!AA4</f>
        <v>3646351.0170126525</v>
      </c>
      <c r="Y65" s="4">
        <f>'GHG &amp; CO2 EMISSIONS'!AB4</f>
        <v>3541754.6942749699</v>
      </c>
      <c r="Z65" s="4">
        <f>'GHG &amp; CO2 EMISSIONS'!AC4</f>
        <v>3417103.0008736639</v>
      </c>
      <c r="AA65" s="4">
        <f>'GHG &amp; CO2 EMISSIONS'!AD4</f>
        <v>3478129.6135367826</v>
      </c>
      <c r="AB65" s="4">
        <f>'GHG &amp; CO2 EMISSIONS'!AE4</f>
        <v>3477360.5693814</v>
      </c>
      <c r="AC65" s="4">
        <f>'GHG &amp; CO2 EMISSIONS'!AF4</f>
        <v>3569768.1306128623</v>
      </c>
      <c r="AD65" s="4">
        <f>'GHG &amp; CO2 EMISSIONS'!AG4</f>
        <v>3483399.7007088508</v>
      </c>
      <c r="AE65" s="4">
        <f>'GHG &amp; CO2 EMISSIONS'!AH4</f>
        <v>3332573.1425664285</v>
      </c>
      <c r="AF65" s="4">
        <f>'GHG &amp; CO2 EMISSIONS'!AI4</f>
        <v>3041320.1796648353</v>
      </c>
      <c r="AG65" s="4">
        <f>'GHG &amp; CO2 EMISSIONS'!AJ4</f>
        <v>3212146.3354485286</v>
      </c>
      <c r="AH65" s="4">
        <f>'GHG &amp; CO2 EMISSIONS'!AK4</f>
        <v>3129062.5457779216</v>
      </c>
    </row>
    <row r="66" spans="1:34">
      <c r="A66" s="1" t="s">
        <v>83</v>
      </c>
      <c r="B66" s="4">
        <f>'GHG &amp; CO2 EMISSIONS'!E176</f>
        <v>5560219.921339374</v>
      </c>
      <c r="C66" s="4">
        <f>'GHG &amp; CO2 EMISSIONS'!F176</f>
        <v>5483708.2833548114</v>
      </c>
      <c r="D66" s="4">
        <f>'GHG &amp; CO2 EMISSIONS'!G176</f>
        <v>5568966.448885384</v>
      </c>
      <c r="E66" s="4">
        <f>'GHG &amp; CO2 EMISSIONS'!H176</f>
        <v>5695109.0123030301</v>
      </c>
      <c r="F66" s="4">
        <f>'GHG &amp; CO2 EMISSIONS'!I176</f>
        <v>5777417.2531236727</v>
      </c>
      <c r="G66" s="4">
        <f>'GHG &amp; CO2 EMISSIONS'!J176</f>
        <v>5881906.0644246535</v>
      </c>
      <c r="H66" s="4">
        <f>'GHG &amp; CO2 EMISSIONS'!K176</f>
        <v>6045083.798512727</v>
      </c>
      <c r="I66" s="4">
        <f>'GHG &amp; CO2 EMISSIONS'!L176</f>
        <v>6123785.1517567085</v>
      </c>
      <c r="J66" s="4">
        <f>'GHG &amp; CO2 EMISSIONS'!M176</f>
        <v>6182651.6079145242</v>
      </c>
      <c r="K66" s="4">
        <f>'GHG &amp; CO2 EMISSIONS'!N176</f>
        <v>6250157.3504340518</v>
      </c>
      <c r="L66" s="4">
        <f>'GHG &amp; CO2 EMISSIONS'!O176</f>
        <v>6436193.3943910534</v>
      </c>
      <c r="M66" s="4">
        <f>'GHG &amp; CO2 EMISSIONS'!P176</f>
        <v>6307564.5814820696</v>
      </c>
      <c r="N66" s="4">
        <f>'GHG &amp; CO2 EMISSIONS'!Q176</f>
        <v>6405071.5777506353</v>
      </c>
      <c r="O66" s="4">
        <f>'GHG &amp; CO2 EMISSIONS'!R176</f>
        <v>6428978.7422777647</v>
      </c>
      <c r="P66" s="4">
        <f>'GHG &amp; CO2 EMISSIONS'!S176</f>
        <v>6632145.0051488848</v>
      </c>
      <c r="Q66" s="4">
        <f>'GHG &amp; CO2 EMISSIONS'!T176</f>
        <v>6586940.4914999306</v>
      </c>
      <c r="R66" s="4">
        <f>'GHG &amp; CO2 EMISSIONS'!U176</f>
        <v>6477242.4021924604</v>
      </c>
      <c r="S66" s="4">
        <f>'GHG &amp; CO2 EMISSIONS'!V176</f>
        <v>6629583.3848272832</v>
      </c>
      <c r="T66" s="4">
        <f>'GHG &amp; CO2 EMISSIONS'!W176</f>
        <v>6413546.347095754</v>
      </c>
      <c r="U66" s="4">
        <f>'GHG &amp; CO2 EMISSIONS'!X176</f>
        <v>6016041.0281849373</v>
      </c>
      <c r="V66" s="4">
        <f>'GHG &amp; CO2 EMISSIONS'!Y176</f>
        <v>6179682.6543026082</v>
      </c>
      <c r="W66" s="4">
        <f>'GHG &amp; CO2 EMISSIONS'!Z176</f>
        <v>5970037.6860452807</v>
      </c>
      <c r="X66" s="4">
        <f>'GHG &amp; CO2 EMISSIONS'!AA176</f>
        <v>5731671.2079582531</v>
      </c>
      <c r="Y66" s="4">
        <f>'GHG &amp; CO2 EMISSIONS'!AB176</f>
        <v>5958790.7228037845</v>
      </c>
      <c r="Z66" s="4">
        <f>'GHG &amp; CO2 EMISSIONS'!AC176</f>
        <v>5982190.9588713143</v>
      </c>
      <c r="AA66" s="4">
        <f>'GHG &amp; CO2 EMISSIONS'!AD176</f>
        <v>5916024.3387806127</v>
      </c>
      <c r="AB66" s="4">
        <f>'GHG &amp; CO2 EMISSIONS'!AE176</f>
        <v>5663237.4803487668</v>
      </c>
      <c r="AC66" s="4">
        <f>'GHG &amp; CO2 EMISSIONS'!AF176</f>
        <v>5625024.8923016172</v>
      </c>
      <c r="AD66" s="4">
        <f>'GHG &amp; CO2 EMISSIONS'!AG176</f>
        <v>5837250.0177993532</v>
      </c>
      <c r="AE66" s="4">
        <f>'GHG &amp; CO2 EMISSIONS'!AH176</f>
        <v>5726552.9107768973</v>
      </c>
      <c r="AF66" s="4">
        <f>'GHG &amp; CO2 EMISSIONS'!AI176</f>
        <v>5097412.546179967</v>
      </c>
      <c r="AG66" s="4">
        <f>'GHG &amp; CO2 EMISSIONS'!AJ176</f>
        <v>5418240.6300558215</v>
      </c>
      <c r="AH66" s="4">
        <f>'GHG &amp; CO2 EMISSIONS'!AK176</f>
        <v>5488970.7535049785</v>
      </c>
    </row>
    <row r="67" spans="1:34">
      <c r="A67" s="1" t="s">
        <v>155</v>
      </c>
      <c r="B67" s="145">
        <f>'GHG &amp; CO2 EMISSIONS'!E156</f>
        <v>816393.69309894822</v>
      </c>
      <c r="C67" s="145">
        <f>'GHG &amp; CO2 EMISSIONS'!F156</f>
        <v>824700.72100877261</v>
      </c>
      <c r="D67" s="145">
        <f>'GHG &amp; CO2 EMISSIONS'!G156</f>
        <v>803523.38461194851</v>
      </c>
      <c r="E67" s="145">
        <f>'GHG &amp; CO2 EMISSIONS'!H156</f>
        <v>783899.58629694441</v>
      </c>
      <c r="F67" s="145">
        <f>'GHG &amp; CO2 EMISSIONS'!I156</f>
        <v>771320.35074670147</v>
      </c>
      <c r="G67" s="145">
        <f>'GHG &amp; CO2 EMISSIONS'!J156</f>
        <v>765231.95001902687</v>
      </c>
      <c r="H67" s="145">
        <f>'GHG &amp; CO2 EMISSIONS'!K156</f>
        <v>784847.6064916926</v>
      </c>
      <c r="I67" s="145">
        <f>'GHG &amp; CO2 EMISSIONS'!L156</f>
        <v>760074.84903888498</v>
      </c>
      <c r="J67" s="145">
        <f>'GHG &amp; CO2 EMISSIONS'!M156</f>
        <v>757753.41514696379</v>
      </c>
      <c r="K67" s="145">
        <f>'GHG &amp; CO2 EMISSIONS'!N156</f>
        <v>728770.2250079501</v>
      </c>
      <c r="L67" s="145">
        <f>'GHG &amp; CO2 EMISSIONS'!O156</f>
        <v>728589.35313854017</v>
      </c>
      <c r="M67" s="145">
        <f>'GHG &amp; CO2 EMISSIONS'!P156</f>
        <v>731116.10615275218</v>
      </c>
      <c r="N67" s="145">
        <f>'GHG &amp; CO2 EMISSIONS'!Q156</f>
        <v>709185.02987157239</v>
      </c>
      <c r="O67" s="145">
        <f>'GHG &amp; CO2 EMISSIONS'!R156</f>
        <v>714599.99021216528</v>
      </c>
      <c r="P67" s="145">
        <f>'GHG &amp; CO2 EMISSIONS'!S156</f>
        <v>710328.9353157049</v>
      </c>
      <c r="Q67" s="145">
        <f>'GHG &amp; CO2 EMISSIONS'!T156</f>
        <v>701592.89196118503</v>
      </c>
      <c r="R67" s="145">
        <f>'GHG &amp; CO2 EMISSIONS'!U156</f>
        <v>693799.64774120867</v>
      </c>
      <c r="S67" s="145">
        <f>'GHG &amp; CO2 EMISSIONS'!V156</f>
        <v>681288.83060226403</v>
      </c>
      <c r="T67" s="145">
        <f>'GHG &amp; CO2 EMISSIONS'!W156</f>
        <v>659271.51558809355</v>
      </c>
      <c r="U67" s="145">
        <f>'GHG &amp; CO2 EMISSIONS'!X156</f>
        <v>602215.23830663483</v>
      </c>
      <c r="V67" s="145">
        <f>'GHG &amp; CO2 EMISSIONS'!Y156</f>
        <v>615989.64602868236</v>
      </c>
      <c r="W67" s="145">
        <f>'GHG &amp; CO2 EMISSIONS'!Z156</f>
        <v>569789.51736420067</v>
      </c>
      <c r="X67" s="145">
        <f>'GHG &amp; CO2 EMISSIONS'!AA156</f>
        <v>586149.3516801619</v>
      </c>
      <c r="Y67" s="145">
        <f>'GHG &amp; CO2 EMISSIONS'!AB156</f>
        <v>571480.75232507335</v>
      </c>
      <c r="Z67" s="145">
        <f>'GHG &amp; CO2 EMISSIONS'!AC156</f>
        <v>529850.95305081666</v>
      </c>
      <c r="AA67" s="145">
        <f>'GHG &amp; CO2 EMISSIONS'!AD156</f>
        <v>512390.11801866494</v>
      </c>
      <c r="AB67" s="145">
        <f>'GHG &amp; CO2 EMISSIONS'!AE156</f>
        <v>485098.53980225103</v>
      </c>
      <c r="AC67" s="145">
        <f>'GHG &amp; CO2 EMISSIONS'!AF156</f>
        <v>473569.1167744011</v>
      </c>
      <c r="AD67" s="145">
        <f>'GHG &amp; CO2 EMISSIONS'!AG156</f>
        <v>466851.70456584904</v>
      </c>
      <c r="AE67" s="145">
        <f>'GHG &amp; CO2 EMISSIONS'!AH156</f>
        <v>452463.90411630744</v>
      </c>
      <c r="AF67" s="145">
        <f>'GHG &amp; CO2 EMISSIONS'!AI156</f>
        <v>407863.65040870634</v>
      </c>
      <c r="AG67" s="145">
        <f>'GHG &amp; CO2 EMISSIONS'!AJ156</f>
        <v>425089.51912640029</v>
      </c>
      <c r="AH67" s="145">
        <f>'GHG &amp; CO2 EMISSIONS'!AK156</f>
        <v>410345.39287369675</v>
      </c>
    </row>
    <row r="69" spans="1:34" ht="20.25">
      <c r="A69" s="119" t="s">
        <v>137</v>
      </c>
      <c r="B69" s="120"/>
      <c r="C69" s="121"/>
      <c r="D69" s="121"/>
      <c r="E69" s="121"/>
      <c r="F69" s="121"/>
      <c r="G69" s="121"/>
    </row>
    <row r="70" spans="1:34">
      <c r="B70" s="3">
        <v>1990</v>
      </c>
      <c r="C70" s="3">
        <v>1991</v>
      </c>
      <c r="D70" s="3">
        <v>1992</v>
      </c>
      <c r="E70" s="3">
        <v>1993</v>
      </c>
      <c r="F70" s="3">
        <v>1994</v>
      </c>
      <c r="G70" s="3">
        <v>1995</v>
      </c>
      <c r="H70" s="3">
        <v>1996</v>
      </c>
      <c r="I70" s="3">
        <v>1997</v>
      </c>
      <c r="J70" s="3">
        <v>1998</v>
      </c>
      <c r="K70" s="3">
        <v>1999</v>
      </c>
      <c r="L70" s="3">
        <v>2000</v>
      </c>
      <c r="M70" s="3">
        <v>2001</v>
      </c>
      <c r="N70" s="3">
        <v>2002</v>
      </c>
      <c r="O70" s="3">
        <v>2003</v>
      </c>
      <c r="P70" s="3">
        <v>2004</v>
      </c>
      <c r="Q70" s="3">
        <v>2005</v>
      </c>
      <c r="R70" s="3">
        <v>2006</v>
      </c>
      <c r="S70" s="3">
        <v>2007</v>
      </c>
      <c r="T70" s="3">
        <v>2008</v>
      </c>
      <c r="U70" s="3">
        <v>2009</v>
      </c>
      <c r="V70" s="3">
        <v>2010</v>
      </c>
      <c r="W70" s="3">
        <v>2011</v>
      </c>
      <c r="X70" s="3">
        <v>2012</v>
      </c>
      <c r="Y70" s="3">
        <v>2013</v>
      </c>
      <c r="Z70" s="3">
        <v>2014</v>
      </c>
      <c r="AA70" s="3">
        <v>2015</v>
      </c>
      <c r="AB70" s="3">
        <v>2016</v>
      </c>
      <c r="AC70" s="3">
        <v>2017</v>
      </c>
      <c r="AD70" s="3">
        <v>2018</v>
      </c>
      <c r="AE70" s="3">
        <v>2019</v>
      </c>
      <c r="AF70" s="3">
        <v>2020</v>
      </c>
      <c r="AG70" s="3">
        <v>2021</v>
      </c>
      <c r="AH70" s="3">
        <v>2022</v>
      </c>
    </row>
    <row r="71" spans="1:34">
      <c r="A71" s="1" t="s">
        <v>78</v>
      </c>
      <c r="B71" s="4">
        <f>'GHG &amp; CO2 EMISSIONS'!E137</f>
        <v>96.986338396310501</v>
      </c>
      <c r="C71" s="4">
        <f>'GHG &amp; CO2 EMISSIONS'!F137</f>
        <v>97.767760305978982</v>
      </c>
      <c r="D71" s="4">
        <f>'GHG &amp; CO2 EMISSIONS'!G137</f>
        <v>103.3356891045368</v>
      </c>
      <c r="E71" s="4">
        <f>'GHG &amp; CO2 EMISSIONS'!H137</f>
        <v>102.28002652011293</v>
      </c>
      <c r="F71" s="4">
        <f>'GHG &amp; CO2 EMISSIONS'!I137</f>
        <v>103.05291624345676</v>
      </c>
      <c r="G71" s="4">
        <f>'GHG &amp; CO2 EMISSIONS'!J137</f>
        <v>99.858370389560093</v>
      </c>
      <c r="H71" s="4">
        <f>'GHG &amp; CO2 EMISSIONS'!K137</f>
        <v>103.2711249729996</v>
      </c>
      <c r="I71" s="4">
        <f>'GHG &amp; CO2 EMISSIONS'!L137</f>
        <v>101.57648889943765</v>
      </c>
      <c r="J71" s="4">
        <f>'GHG &amp; CO2 EMISSIONS'!M137</f>
        <v>100.41792335104525</v>
      </c>
      <c r="K71" s="4">
        <f>'GHG &amp; CO2 EMISSIONS'!N137</f>
        <v>100.99753714704842</v>
      </c>
      <c r="L71" s="4">
        <f>'GHG &amp; CO2 EMISSIONS'!O137</f>
        <v>98.678398452188844</v>
      </c>
      <c r="M71" s="4">
        <f>'GHG &amp; CO2 EMISSIONS'!P137</f>
        <v>98.223871172192773</v>
      </c>
      <c r="N71" s="4">
        <f>'GHG &amp; CO2 EMISSIONS'!Q137</f>
        <v>97.916058441403123</v>
      </c>
      <c r="O71" s="4">
        <f>'GHG &amp; CO2 EMISSIONS'!R137</f>
        <v>95.266759757509561</v>
      </c>
      <c r="P71" s="4">
        <f>'GHG &amp; CO2 EMISSIONS'!S137</f>
        <v>90.166684354668121</v>
      </c>
      <c r="Q71" s="4">
        <f>'GHG &amp; CO2 EMISSIONS'!T137</f>
        <v>87.994857515503156</v>
      </c>
      <c r="R71" s="4">
        <f>'GHG &amp; CO2 EMISSIONS'!U137</f>
        <v>82.413534292530215</v>
      </c>
      <c r="S71" s="4">
        <f>'GHG &amp; CO2 EMISSIONS'!V137</f>
        <v>81.019809171225575</v>
      </c>
      <c r="T71" s="4">
        <f>'GHG &amp; CO2 EMISSIONS'!W137</f>
        <v>80.622190537322837</v>
      </c>
      <c r="U71" s="4">
        <f>'GHG &amp; CO2 EMISSIONS'!X137</f>
        <v>77.48463836747608</v>
      </c>
      <c r="V71" s="4">
        <f>'GHG &amp; CO2 EMISSIONS'!Y137</f>
        <v>75.051491399919215</v>
      </c>
      <c r="W71" s="4">
        <f>'GHG &amp; CO2 EMISSIONS'!Z137</f>
        <v>73.439921154953993</v>
      </c>
      <c r="X71" s="4">
        <f>'GHG &amp; CO2 EMISSIONS'!AA137</f>
        <v>76.968449572755517</v>
      </c>
      <c r="Y71" s="4">
        <f>'GHG &amp; CO2 EMISSIONS'!AB137</f>
        <v>78.212158649065316</v>
      </c>
      <c r="Z71" s="4">
        <f>'GHG &amp; CO2 EMISSIONS'!AC137</f>
        <v>73.809140591440823</v>
      </c>
      <c r="AA71" s="4">
        <f>'GHG &amp; CO2 EMISSIONS'!AD137</f>
        <v>76.302340999788655</v>
      </c>
      <c r="AB71" s="4">
        <f>'GHG &amp; CO2 EMISSIONS'!AE137</f>
        <v>75.395191868050077</v>
      </c>
      <c r="AC71" s="4">
        <f>'GHG &amp; CO2 EMISSIONS'!AF137</f>
        <v>73.289578858449801</v>
      </c>
      <c r="AD71" s="4">
        <f>'GHG &amp; CO2 EMISSIONS'!AG137</f>
        <v>74.75526506354332</v>
      </c>
      <c r="AE71" s="4">
        <f>'GHG &amp; CO2 EMISSIONS'!AH137</f>
        <v>71.01982556875744</v>
      </c>
      <c r="AF71" s="4">
        <f>'GHG &amp; CO2 EMISSIONS'!AI137</f>
        <v>60.648662375946252</v>
      </c>
      <c r="AG71" s="4">
        <f>'GHG &amp; CO2 EMISSIONS'!AJ137</f>
        <v>64.513502753557987</v>
      </c>
      <c r="AH71" s="4">
        <f>'GHG &amp; CO2 EMISSIONS'!AK137</f>
        <v>57.452790234427368</v>
      </c>
    </row>
    <row r="72" spans="1:34">
      <c r="A72" s="1" t="s">
        <v>77</v>
      </c>
      <c r="B72" s="4">
        <f>'GHG &amp; CO2 EMISSIONS'!E133</f>
        <v>198.97085579909398</v>
      </c>
      <c r="C72" s="4">
        <f>'GHG &amp; CO2 EMISSIONS'!F133</f>
        <v>206.32915145690549</v>
      </c>
      <c r="D72" s="4">
        <f>'GHG &amp; CO2 EMISSIONS'!G133</f>
        <v>206.95049105709788</v>
      </c>
      <c r="E72" s="4">
        <f>'GHG &amp; CO2 EMISSIONS'!H133</f>
        <v>215.0344202353798</v>
      </c>
      <c r="F72" s="4">
        <f>'GHG &amp; CO2 EMISSIONS'!I133</f>
        <v>201.11109032612137</v>
      </c>
      <c r="G72" s="4">
        <f>'GHG &amp; CO2 EMISSIONS'!J133</f>
        <v>204.20161421820046</v>
      </c>
      <c r="H72" s="4">
        <f>'GHG &amp; CO2 EMISSIONS'!K133</f>
        <v>205.96036739446006</v>
      </c>
      <c r="I72" s="4">
        <f>'GHG &amp; CO2 EMISSIONS'!L133</f>
        <v>218.37239510140134</v>
      </c>
      <c r="J72" s="4">
        <f>'GHG &amp; CO2 EMISSIONS'!M133</f>
        <v>229.23433576237642</v>
      </c>
      <c r="K72" s="4">
        <f>'GHG &amp; CO2 EMISSIONS'!N133</f>
        <v>226.5620644887249</v>
      </c>
      <c r="L72" s="4">
        <f>'GHG &amp; CO2 EMISSIONS'!O133</f>
        <v>216.85582232698033</v>
      </c>
      <c r="M72" s="4">
        <f>'GHG &amp; CO2 EMISSIONS'!P133</f>
        <v>214.66710834290646</v>
      </c>
      <c r="N72" s="4">
        <f>'GHG &amp; CO2 EMISSIONS'!Q133</f>
        <v>220.01443603721168</v>
      </c>
      <c r="O72" s="4">
        <f>'GHG &amp; CO2 EMISSIONS'!R133</f>
        <v>229.34896518988467</v>
      </c>
      <c r="P72" s="4">
        <f>'GHG &amp; CO2 EMISSIONS'!S133</f>
        <v>229.38321834411843</v>
      </c>
      <c r="Q72" s="4">
        <f>'GHG &amp; CO2 EMISSIONS'!T133</f>
        <v>228.97193187680634</v>
      </c>
      <c r="R72" s="4">
        <f>'GHG &amp; CO2 EMISSIONS'!U133</f>
        <v>231.10050639850439</v>
      </c>
      <c r="S72" s="4">
        <f>'GHG &amp; CO2 EMISSIONS'!V133</f>
        <v>200.7687839071539</v>
      </c>
      <c r="T72" s="4">
        <f>'GHG &amp; CO2 EMISSIONS'!W133</f>
        <v>219.50781298127001</v>
      </c>
      <c r="U72" s="4">
        <f>'GHG &amp; CO2 EMISSIONS'!X133</f>
        <v>205.35447851668621</v>
      </c>
      <c r="V72" s="4">
        <f>'GHG &amp; CO2 EMISSIONS'!Y133</f>
        <v>190.80810266284001</v>
      </c>
      <c r="W72" s="4">
        <f>'GHG &amp; CO2 EMISSIONS'!Z133</f>
        <v>176.75864231492218</v>
      </c>
      <c r="X72" s="4">
        <f>'GHG &amp; CO2 EMISSIONS'!AA133</f>
        <v>185.29687728900529</v>
      </c>
      <c r="Y72" s="4">
        <f>'GHG &amp; CO2 EMISSIONS'!AB133</f>
        <v>192.51829802876188</v>
      </c>
      <c r="Z72" s="4">
        <f>'GHG &amp; CO2 EMISSIONS'!AC133</f>
        <v>161.21587238019629</v>
      </c>
      <c r="AA72" s="4">
        <f>'GHG &amp; CO2 EMISSIONS'!AD133</f>
        <v>159.69254817518876</v>
      </c>
      <c r="AB72" s="4">
        <f>'GHG &amp; CO2 EMISSIONS'!AE133</f>
        <v>149.68682275510824</v>
      </c>
      <c r="AC72" s="4">
        <f>'GHG &amp; CO2 EMISSIONS'!AF133</f>
        <v>155.51528924673778</v>
      </c>
      <c r="AD72" s="4">
        <f>'GHG &amp; CO2 EMISSIONS'!AG133</f>
        <v>142.61943810467477</v>
      </c>
      <c r="AE72" s="4">
        <f>'GHG &amp; CO2 EMISSIONS'!AH133</f>
        <v>148.69651882793781</v>
      </c>
      <c r="AF72" s="4">
        <f>'GHG &amp; CO2 EMISSIONS'!AI133</f>
        <v>141.62440932309215</v>
      </c>
      <c r="AG72" s="4">
        <f>'GHG &amp; CO2 EMISSIONS'!AJ133</f>
        <v>145.61785917330741</v>
      </c>
      <c r="AH72" s="4">
        <f>'GHG &amp; CO2 EMISSIONS'!AK133</f>
        <v>128.35224714499617</v>
      </c>
    </row>
    <row r="73" spans="1:34">
      <c r="A73" s="1" t="s">
        <v>75</v>
      </c>
      <c r="B73" s="4">
        <f>'GHG &amp; CO2 EMISSIONS'!E125</f>
        <v>2222.3484675293698</v>
      </c>
      <c r="C73" s="4">
        <f>'GHG &amp; CO2 EMISSIONS'!F125</f>
        <v>2103.4382291997345</v>
      </c>
      <c r="D73" s="4">
        <f>'GHG &amp; CO2 EMISSIONS'!G125</f>
        <v>2249.7000926132478</v>
      </c>
      <c r="E73" s="4">
        <f>'GHG &amp; CO2 EMISSIONS'!H125</f>
        <v>2400.5219160584102</v>
      </c>
      <c r="F73" s="4">
        <f>'GHG &amp; CO2 EMISSIONS'!I125</f>
        <v>2349.6644302557802</v>
      </c>
      <c r="G73" s="4">
        <f>'GHG &amp; CO2 EMISSIONS'!J125</f>
        <v>2469.3373440029955</v>
      </c>
      <c r="H73" s="4">
        <f>'GHG &amp; CO2 EMISSIONS'!K125</f>
        <v>2523.3970652709522</v>
      </c>
      <c r="I73" s="4">
        <f>'GHG &amp; CO2 EMISSIONS'!L125</f>
        <v>2618.7822272224917</v>
      </c>
      <c r="J73" s="4">
        <f>'GHG &amp; CO2 EMISSIONS'!M125</f>
        <v>2638.6930781982178</v>
      </c>
      <c r="K73" s="4">
        <f>'GHG &amp; CO2 EMISSIONS'!N125</f>
        <v>2841.3523652947147</v>
      </c>
      <c r="L73" s="4">
        <f>'GHG &amp; CO2 EMISSIONS'!O125</f>
        <v>2933.1524114005902</v>
      </c>
      <c r="M73" s="4">
        <f>'GHG &amp; CO2 EMISSIONS'!P125</f>
        <v>2865.4180112764584</v>
      </c>
      <c r="N73" s="4">
        <f>'GHG &amp; CO2 EMISSIONS'!Q125</f>
        <v>2992.4407449625005</v>
      </c>
      <c r="O73" s="4">
        <f>'GHG &amp; CO2 EMISSIONS'!R125</f>
        <v>2985.8810782803889</v>
      </c>
      <c r="P73" s="4">
        <f>'GHG &amp; CO2 EMISSIONS'!S125</f>
        <v>3107.6261514377452</v>
      </c>
      <c r="Q73" s="4">
        <f>'GHG &amp; CO2 EMISSIONS'!T125</f>
        <v>2976.86999518008</v>
      </c>
      <c r="R73" s="4">
        <f>'GHG &amp; CO2 EMISSIONS'!U125</f>
        <v>3154.8952859134743</v>
      </c>
      <c r="S73" s="4">
        <f>'GHG &amp; CO2 EMISSIONS'!V125</f>
        <v>3494.8020694799684</v>
      </c>
      <c r="T73" s="4">
        <f>'GHG &amp; CO2 EMISSIONS'!W125</f>
        <v>3811.9864751263149</v>
      </c>
      <c r="U73" s="4">
        <f>'GHG &amp; CO2 EMISSIONS'!X125</f>
        <v>3731.8019161017924</v>
      </c>
      <c r="V73" s="4">
        <f>'GHG &amp; CO2 EMISSIONS'!Y125</f>
        <v>3626.6041418597129</v>
      </c>
      <c r="W73" s="4">
        <f>'GHG &amp; CO2 EMISSIONS'!Z125</f>
        <v>3503.539645573248</v>
      </c>
      <c r="X73" s="4">
        <f>'GHG &amp; CO2 EMISSIONS'!AA125</f>
        <v>3498.5481122722108</v>
      </c>
      <c r="Y73" s="4">
        <f>'GHG &amp; CO2 EMISSIONS'!AB125</f>
        <v>3488.069326105554</v>
      </c>
      <c r="Z73" s="4">
        <f>'GHG &amp; CO2 EMISSIONS'!AC125</f>
        <v>3445.1154057527306</v>
      </c>
      <c r="AA73" s="4">
        <f>'GHG &amp; CO2 EMISSIONS'!AD125</f>
        <v>3541.1809200349417</v>
      </c>
      <c r="AB73" s="4">
        <f>'GHG &amp; CO2 EMISSIONS'!AE125</f>
        <v>3493.6750134407262</v>
      </c>
      <c r="AC73" s="4">
        <f>'GHG &amp; CO2 EMISSIONS'!AF125</f>
        <v>3610.9522889536865</v>
      </c>
      <c r="AD73" s="4">
        <f>'GHG &amp; CO2 EMISSIONS'!AG125</f>
        <v>3667.1023137449074</v>
      </c>
      <c r="AE73" s="4">
        <f>'GHG &amp; CO2 EMISSIONS'!AH125</f>
        <v>3556.0920210251138</v>
      </c>
      <c r="AF73" s="4">
        <f>'GHG &amp; CO2 EMISSIONS'!AI125</f>
        <v>3340.5657565370675</v>
      </c>
      <c r="AG73" s="4">
        <f>'GHG &amp; CO2 EMISSIONS'!AJ125</f>
        <v>3508.3076576957769</v>
      </c>
      <c r="AH73" s="4">
        <f>'GHG &amp; CO2 EMISSIONS'!AK125</f>
        <v>3613.2433131862254</v>
      </c>
    </row>
    <row r="74" spans="1:34">
      <c r="A74" s="1" t="s">
        <v>7</v>
      </c>
      <c r="B74" s="4">
        <f>'GHG &amp; CO2 EMISSIONS'!E165</f>
        <v>25497.218471806988</v>
      </c>
      <c r="C74" s="4">
        <f>'GHG &amp; CO2 EMISSIONS'!F165</f>
        <v>26175.920772445861</v>
      </c>
      <c r="D74" s="4">
        <f>'GHG &amp; CO2 EMISSIONS'!G165</f>
        <v>28162.451287760112</v>
      </c>
      <c r="E74" s="4">
        <f>'GHG &amp; CO2 EMISSIONS'!H165</f>
        <v>27754.738987452773</v>
      </c>
      <c r="F74" s="4">
        <f>'GHG &amp; CO2 EMISSIONS'!I165</f>
        <v>27895.36149798457</v>
      </c>
      <c r="G74" s="4">
        <f>'GHG &amp; CO2 EMISSIONS'!J165</f>
        <v>28000.621397763567</v>
      </c>
      <c r="H74" s="4">
        <f>'GHG &amp; CO2 EMISSIONS'!K165</f>
        <v>29300.678276564784</v>
      </c>
      <c r="I74" s="4">
        <f>'GHG &amp; CO2 EMISSIONS'!L165</f>
        <v>31274.490577009721</v>
      </c>
      <c r="J74" s="4">
        <f>'GHG &amp; CO2 EMISSIONS'!M165</f>
        <v>29853.02008895664</v>
      </c>
      <c r="K74" s="4">
        <f>'GHG &amp; CO2 EMISSIONS'!N165</f>
        <v>31460.673541874319</v>
      </c>
      <c r="L74" s="4">
        <f>'GHG &amp; CO2 EMISSIONS'!O165</f>
        <v>32241.038067609526</v>
      </c>
      <c r="M74" s="4">
        <f>'GHG &amp; CO2 EMISSIONS'!P165</f>
        <v>34378.747612392697</v>
      </c>
      <c r="N74" s="4">
        <f>'GHG &amp; CO2 EMISSIONS'!Q165</f>
        <v>34541.833996300586</v>
      </c>
      <c r="O74" s="4">
        <f>'GHG &amp; CO2 EMISSIONS'!R165</f>
        <v>36243.229868745693</v>
      </c>
      <c r="P74" s="4">
        <f>'GHG &amp; CO2 EMISSIONS'!S165</f>
        <v>35836.71177296184</v>
      </c>
      <c r="Q74" s="4">
        <f>'GHG &amp; CO2 EMISSIONS'!T165</f>
        <v>37425.184280089969</v>
      </c>
      <c r="R74" s="4">
        <f>'GHG &amp; CO2 EMISSIONS'!U165</f>
        <v>37329.748891865522</v>
      </c>
      <c r="S74" s="4">
        <f>'GHG &amp; CO2 EMISSIONS'!V165</f>
        <v>36408.521554116123</v>
      </c>
      <c r="T74" s="4">
        <f>'GHG &amp; CO2 EMISSIONS'!W165</f>
        <v>37506.352889262831</v>
      </c>
      <c r="U74" s="4">
        <f>'GHG &amp; CO2 EMISSIONS'!X165</f>
        <v>34617.447796634013</v>
      </c>
      <c r="V74" s="4">
        <f>'GHG &amp; CO2 EMISSIONS'!Y165</f>
        <v>34807.764414152814</v>
      </c>
      <c r="W74" s="4">
        <f>'GHG &amp; CO2 EMISSIONS'!Z165</f>
        <v>34262.130253528987</v>
      </c>
      <c r="X74" s="4">
        <f>'GHG &amp; CO2 EMISSIONS'!AA165</f>
        <v>35941.31931661495</v>
      </c>
      <c r="Y74" s="4">
        <f>'GHG &amp; CO2 EMISSIONS'!AB165</f>
        <v>35237.914141512359</v>
      </c>
      <c r="Z74" s="4">
        <f>'GHG &amp; CO2 EMISSIONS'!AC165</f>
        <v>35435.069162571373</v>
      </c>
      <c r="AA74" s="4">
        <f>'GHG &amp; CO2 EMISSIONS'!AD165</f>
        <v>35802.200171936383</v>
      </c>
      <c r="AB74" s="4">
        <f>'GHG &amp; CO2 EMISSIONS'!AE165</f>
        <v>34145.527579894304</v>
      </c>
      <c r="AC74" s="4">
        <f>'GHG &amp; CO2 EMISSIONS'!AF165</f>
        <v>35684.559591179146</v>
      </c>
      <c r="AD74" s="4">
        <f>'GHG &amp; CO2 EMISSIONS'!AG165</f>
        <v>35702.511381959332</v>
      </c>
      <c r="AE74" s="4">
        <f>'GHG &amp; CO2 EMISSIONS'!AH165</f>
        <v>36731.819753335469</v>
      </c>
      <c r="AF74" s="4">
        <f>'GHG &amp; CO2 EMISSIONS'!AI165</f>
        <v>34022.756576093372</v>
      </c>
      <c r="AG74" s="4">
        <f>'GHG &amp; CO2 EMISSIONS'!AJ165</f>
        <v>34322.605998405292</v>
      </c>
      <c r="AH74" s="4">
        <f>'GHG &amp; CO2 EMISSIONS'!AK165</f>
        <v>31610.088935629588</v>
      </c>
    </row>
    <row r="75" spans="1:34">
      <c r="A75" s="1" t="s">
        <v>80</v>
      </c>
      <c r="B75" s="4">
        <f>'GHG &amp; CO2 EMISSIONS'!E145</f>
        <v>44148.588656750471</v>
      </c>
      <c r="C75" s="4">
        <f>'GHG &amp; CO2 EMISSIONS'!F145</f>
        <v>46131.6712095658</v>
      </c>
      <c r="D75" s="4">
        <f>'GHG &amp; CO2 EMISSIONS'!G145</f>
        <v>46017.52904669819</v>
      </c>
      <c r="E75" s="4">
        <f>'GHG &amp; CO2 EMISSIONS'!H145</f>
        <v>43610.237127686378</v>
      </c>
      <c r="F75" s="4">
        <f>'GHG &amp; CO2 EMISSIONS'!I145</f>
        <v>42669.574904853471</v>
      </c>
      <c r="G75" s="4">
        <f>'GHG &amp; CO2 EMISSIONS'!J145</f>
        <v>43413.913292437828</v>
      </c>
      <c r="H75" s="4">
        <f>'GHG &amp; CO2 EMISSIONS'!K145</f>
        <v>44108.031476030235</v>
      </c>
      <c r="I75" s="4">
        <f>'GHG &amp; CO2 EMISSIONS'!L145</f>
        <v>43045.787583304729</v>
      </c>
      <c r="J75" s="4">
        <f>'GHG &amp; CO2 EMISSIONS'!M145</f>
        <v>44623.134088071471</v>
      </c>
      <c r="K75" s="4">
        <f>'GHG &amp; CO2 EMISSIONS'!N145</f>
        <v>44445.530738195906</v>
      </c>
      <c r="L75" s="4">
        <f>'GHG &amp; CO2 EMISSIONS'!O145</f>
        <v>43620.736429712284</v>
      </c>
      <c r="M75" s="4">
        <f>'GHG &amp; CO2 EMISSIONS'!P145</f>
        <v>45086.545453424522</v>
      </c>
      <c r="N75" s="4">
        <f>'GHG &amp; CO2 EMISSIONS'!Q145</f>
        <v>43466.809690800081</v>
      </c>
      <c r="O75" s="4">
        <f>'GHG &amp; CO2 EMISSIONS'!R145</f>
        <v>44649.641445712048</v>
      </c>
      <c r="P75" s="4">
        <f>'GHG &amp; CO2 EMISSIONS'!S145</f>
        <v>45232.801781082548</v>
      </c>
      <c r="Q75" s="4">
        <f>'GHG &amp; CO2 EMISSIONS'!T145</f>
        <v>45776.742295643111</v>
      </c>
      <c r="R75" s="4">
        <f>'GHG &amp; CO2 EMISSIONS'!U145</f>
        <v>45364.588759147111</v>
      </c>
      <c r="S75" s="4">
        <f>'GHG &amp; CO2 EMISSIONS'!V145</f>
        <v>43358.122944492126</v>
      </c>
      <c r="T75" s="4">
        <f>'GHG &amp; CO2 EMISSIONS'!W145</f>
        <v>44698.535826548279</v>
      </c>
      <c r="U75" s="4">
        <f>'GHG &amp; CO2 EMISSIONS'!X145</f>
        <v>43523.338055234672</v>
      </c>
      <c r="V75" s="4">
        <f>'GHG &amp; CO2 EMISSIONS'!Y145</f>
        <v>45034.102010938186</v>
      </c>
      <c r="W75" s="4">
        <f>'GHG &amp; CO2 EMISSIONS'!Z145</f>
        <v>40972.653078343079</v>
      </c>
      <c r="X75" s="4">
        <f>'GHG &amp; CO2 EMISSIONS'!AA145</f>
        <v>42240.525174697897</v>
      </c>
      <c r="Y75" s="4">
        <f>'GHG &amp; CO2 EMISSIONS'!AB145</f>
        <v>43171.428262574344</v>
      </c>
      <c r="Z75" s="4">
        <f>'GHG &amp; CO2 EMISSIONS'!AC145</f>
        <v>39221.0584001198</v>
      </c>
      <c r="AA75" s="4">
        <f>'GHG &amp; CO2 EMISSIONS'!AD145</f>
        <v>38718.969491679498</v>
      </c>
      <c r="AB75" s="4">
        <f>'GHG &amp; CO2 EMISSIONS'!AE145</f>
        <v>39172.086040867689</v>
      </c>
      <c r="AC75" s="4">
        <f>'GHG &amp; CO2 EMISSIONS'!AF145</f>
        <v>38164.797662969417</v>
      </c>
      <c r="AD75" s="4">
        <f>'GHG &amp; CO2 EMISSIONS'!AG145</f>
        <v>36859.041300101526</v>
      </c>
      <c r="AE75" s="4">
        <f>'GHG &amp; CO2 EMISSIONS'!AH145</f>
        <v>36720.794397804122</v>
      </c>
      <c r="AF75" s="4">
        <f>'GHG &amp; CO2 EMISSIONS'!AI145</f>
        <v>34228.229640718579</v>
      </c>
      <c r="AG75" s="4">
        <f>'GHG &amp; CO2 EMISSIONS'!AJ145</f>
        <v>35779.835094460999</v>
      </c>
      <c r="AH75" s="4">
        <f>'GHG &amp; CO2 EMISSIONS'!AK145</f>
        <v>32818.888627462955</v>
      </c>
    </row>
    <row r="76" spans="1:34">
      <c r="A76" s="1" t="s">
        <v>79</v>
      </c>
      <c r="B76" s="4">
        <f>'GHG &amp; CO2 EMISSIONS'!E141</f>
        <v>34536.451803992808</v>
      </c>
      <c r="C76" s="4">
        <f>'GHG &amp; CO2 EMISSIONS'!F141</f>
        <v>32951.274941361298</v>
      </c>
      <c r="D76" s="4">
        <f>'GHG &amp; CO2 EMISSIONS'!G141</f>
        <v>33787.693332460098</v>
      </c>
      <c r="E76" s="4">
        <f>'GHG &amp; CO2 EMISSIONS'!H141</f>
        <v>35268.429480309103</v>
      </c>
      <c r="F76" s="4">
        <f>'GHG &amp; CO2 EMISSIONS'!I141</f>
        <v>37143.588816907199</v>
      </c>
      <c r="G76" s="4">
        <f>'GHG &amp; CO2 EMISSIONS'!J141</f>
        <v>37692.404770684603</v>
      </c>
      <c r="H76" s="4">
        <f>'GHG &amp; CO2 EMISSIONS'!K141</f>
        <v>40748.614384422697</v>
      </c>
      <c r="I76" s="4">
        <f>'GHG &amp; CO2 EMISSIONS'!L141</f>
        <v>40836.915275199601</v>
      </c>
      <c r="J76" s="4">
        <f>'GHG &amp; CO2 EMISSIONS'!M141</f>
        <v>41032.281927313794</v>
      </c>
      <c r="K76" s="4">
        <f>'GHG &amp; CO2 EMISSIONS'!N141</f>
        <v>41764.236104724303</v>
      </c>
      <c r="L76" s="4">
        <f>'GHG &amp; CO2 EMISSIONS'!O141</f>
        <v>41225.161775293309</v>
      </c>
      <c r="M76" s="4">
        <f>'GHG &amp; CO2 EMISSIONS'!P141</f>
        <v>42568.568729468403</v>
      </c>
      <c r="N76" s="4">
        <f>'GHG &amp; CO2 EMISSIONS'!Q141</f>
        <v>41767.232770667099</v>
      </c>
      <c r="O76" s="4">
        <f>'GHG &amp; CO2 EMISSIONS'!R141</f>
        <v>43254.699553046506</v>
      </c>
      <c r="P76" s="4">
        <f>'GHG &amp; CO2 EMISSIONS'!S141</f>
        <v>43690.606299306899</v>
      </c>
      <c r="Q76" s="4">
        <f>'GHG &amp; CO2 EMISSIONS'!T141</f>
        <v>42850.484301412602</v>
      </c>
      <c r="R76" s="4">
        <f>'GHG &amp; CO2 EMISSIONS'!U141</f>
        <v>43511.581480449</v>
      </c>
      <c r="S76" s="4">
        <f>'GHG &amp; CO2 EMISSIONS'!V141</f>
        <v>45272.752013795493</v>
      </c>
      <c r="T76" s="4">
        <f>'GHG &amp; CO2 EMISSIONS'!W141</f>
        <v>44449.106260302302</v>
      </c>
      <c r="U76" s="4">
        <f>'GHG &amp; CO2 EMISSIONS'!X141</f>
        <v>42877.943046731394</v>
      </c>
      <c r="V76" s="4">
        <f>'GHG &amp; CO2 EMISSIONS'!Y141</f>
        <v>45444.898495685811</v>
      </c>
      <c r="W76" s="4">
        <f>'GHG &amp; CO2 EMISSIONS'!Z141</f>
        <v>44592.865511673495</v>
      </c>
      <c r="X76" s="4">
        <f>'GHG &amp; CO2 EMISSIONS'!AA141</f>
        <v>44081.791260935308</v>
      </c>
      <c r="Y76" s="4">
        <f>'GHG &amp; CO2 EMISSIONS'!AB141</f>
        <v>44358.673493074508</v>
      </c>
      <c r="Z76" s="4">
        <f>'GHG &amp; CO2 EMISSIONS'!AC141</f>
        <v>44772.234522594306</v>
      </c>
      <c r="AA76" s="4">
        <f>'GHG &amp; CO2 EMISSIONS'!AD141</f>
        <v>45318.996822959998</v>
      </c>
      <c r="AB76" s="4">
        <f>'GHG &amp; CO2 EMISSIONS'!AE141</f>
        <v>44511.089887675997</v>
      </c>
      <c r="AC76" s="4">
        <f>'GHG &amp; CO2 EMISSIONS'!AF141</f>
        <v>43998.003107173397</v>
      </c>
      <c r="AD76" s="4">
        <f>'GHG &amp; CO2 EMISSIONS'!AG141</f>
        <v>44232.046309638397</v>
      </c>
      <c r="AE76" s="4">
        <f>'GHG &amp; CO2 EMISSIONS'!AH141</f>
        <v>42631.052118389685</v>
      </c>
      <c r="AF76" s="4">
        <f>'GHG &amp; CO2 EMISSIONS'!AI141</f>
        <v>41056.177433971199</v>
      </c>
      <c r="AG76" s="4">
        <f>'GHG &amp; CO2 EMISSIONS'!AJ141</f>
        <v>40898.455642375506</v>
      </c>
      <c r="AH76" s="4">
        <f>'GHG &amp; CO2 EMISSIONS'!AK141</f>
        <v>40683.259507722003</v>
      </c>
    </row>
    <row r="77" spans="1:34">
      <c r="A77" s="1" t="s">
        <v>74</v>
      </c>
      <c r="B77" s="4">
        <f>'GHG &amp; CO2 EMISSIONS'!E121</f>
        <v>108458.87437568171</v>
      </c>
      <c r="C77" s="4">
        <f>'GHG &amp; CO2 EMISSIONS'!F121</f>
        <v>104185.95312757613</v>
      </c>
      <c r="D77" s="4">
        <f>'GHG &amp; CO2 EMISSIONS'!G121</f>
        <v>93596.916617197683</v>
      </c>
      <c r="E77" s="4">
        <f>'GHG &amp; CO2 EMISSIONS'!H121</f>
        <v>80674.476145638662</v>
      </c>
      <c r="F77" s="4">
        <f>'GHG &amp; CO2 EMISSIONS'!I121</f>
        <v>67989.831502797751</v>
      </c>
      <c r="G77" s="4">
        <f>'GHG &amp; CO2 EMISSIONS'!J121</f>
        <v>61014.526144292169</v>
      </c>
      <c r="H77" s="4">
        <f>'GHG &amp; CO2 EMISSIONS'!K121</f>
        <v>61843.565547113889</v>
      </c>
      <c r="I77" s="4">
        <f>'GHG &amp; CO2 EMISSIONS'!L121</f>
        <v>61697.459166075634</v>
      </c>
      <c r="J77" s="4">
        <f>'GHG &amp; CO2 EMISSIONS'!M121</f>
        <v>60184.026189106255</v>
      </c>
      <c r="K77" s="4">
        <f>'GHG &amp; CO2 EMISSIONS'!N121</f>
        <v>58075.778429496284</v>
      </c>
      <c r="L77" s="4">
        <f>'GHG &amp; CO2 EMISSIONS'!O121</f>
        <v>55014.468203414639</v>
      </c>
      <c r="M77" s="4">
        <f>'GHG &amp; CO2 EMISSIONS'!P121</f>
        <v>54104.689004604879</v>
      </c>
      <c r="N77" s="4">
        <f>'GHG &amp; CO2 EMISSIONS'!Q121</f>
        <v>53944.12030689665</v>
      </c>
      <c r="O77" s="4">
        <f>'GHG &amp; CO2 EMISSIONS'!R121</f>
        <v>55236.251084036026</v>
      </c>
      <c r="P77" s="4">
        <f>'GHG &amp; CO2 EMISSIONS'!S121</f>
        <v>58372.802042883108</v>
      </c>
      <c r="Q77" s="4">
        <f>'GHG &amp; CO2 EMISSIONS'!T121</f>
        <v>59396.208494433195</v>
      </c>
      <c r="R77" s="4">
        <f>'GHG &amp; CO2 EMISSIONS'!U121</f>
        <v>61809.494065719897</v>
      </c>
      <c r="S77" s="4">
        <f>'GHG &amp; CO2 EMISSIONS'!V121</f>
        <v>60275.662477554251</v>
      </c>
      <c r="T77" s="4">
        <f>'GHG &amp; CO2 EMISSIONS'!W121</f>
        <v>62931.135018346751</v>
      </c>
      <c r="U77" s="4">
        <f>'GHG &amp; CO2 EMISSIONS'!X121</f>
        <v>60628.340534143637</v>
      </c>
      <c r="V77" s="4">
        <f>'GHG &amp; CO2 EMISSIONS'!Y121</f>
        <v>62515.44147100416</v>
      </c>
      <c r="W77" s="4">
        <f>'GHG &amp; CO2 EMISSIONS'!Z121</f>
        <v>61353.235550442711</v>
      </c>
      <c r="X77" s="4">
        <f>'GHG &amp; CO2 EMISSIONS'!AA121</f>
        <v>62591.698925787641</v>
      </c>
      <c r="Y77" s="4">
        <f>'GHG &amp; CO2 EMISSIONS'!AB121</f>
        <v>64151.855762180297</v>
      </c>
      <c r="Z77" s="4">
        <f>'GHG &amp; CO2 EMISSIONS'!AC121</f>
        <v>63699.213368864177</v>
      </c>
      <c r="AA77" s="4">
        <f>'GHG &amp; CO2 EMISSIONS'!AD121</f>
        <v>58827.807536176639</v>
      </c>
      <c r="AB77" s="4">
        <f>'GHG &amp; CO2 EMISSIONS'!AE121</f>
        <v>58188.065283981312</v>
      </c>
      <c r="AC77" s="4">
        <f>'GHG &amp; CO2 EMISSIONS'!AF121</f>
        <v>59444.370761214108</v>
      </c>
      <c r="AD77" s="4">
        <f>'GHG &amp; CO2 EMISSIONS'!AG121</f>
        <v>62170.66964856851</v>
      </c>
      <c r="AE77" s="4">
        <f>'GHG &amp; CO2 EMISSIONS'!AH121</f>
        <v>62170.636288106391</v>
      </c>
      <c r="AF77" s="4">
        <f>'GHG &amp; CO2 EMISSIONS'!AI121</f>
        <v>59122.90346973054</v>
      </c>
      <c r="AG77" s="4">
        <f>'GHG &amp; CO2 EMISSIONS'!AJ121</f>
        <v>60861.080224311278</v>
      </c>
      <c r="AH77" s="4">
        <f>'GHG &amp; CO2 EMISSIONS'!AK121</f>
        <v>57120.549634794719</v>
      </c>
    </row>
    <row r="78" spans="1:34">
      <c r="A78" s="1" t="s">
        <v>82</v>
      </c>
      <c r="B78" s="4">
        <f>'GHG &amp; CO2 EMISSIONS'!E153</f>
        <v>706525.67497792176</v>
      </c>
      <c r="C78" s="4">
        <f>'GHG &amp; CO2 EMISSIONS'!F153</f>
        <v>633193.86911370012</v>
      </c>
      <c r="D78" s="4">
        <f>'GHG &amp; CO2 EMISSIONS'!G153</f>
        <v>589505.20649590483</v>
      </c>
      <c r="E78" s="4">
        <f>'GHG &amp; CO2 EMISSIONS'!H153</f>
        <v>510495.3921082493</v>
      </c>
      <c r="F78" s="4">
        <f>'GHG &amp; CO2 EMISSIONS'!I153</f>
        <v>419630.28244140372</v>
      </c>
      <c r="G78" s="4">
        <f>'GHG &amp; CO2 EMISSIONS'!J153</f>
        <v>390173.45864733576</v>
      </c>
      <c r="H78" s="4">
        <f>'GHG &amp; CO2 EMISSIONS'!K153</f>
        <v>351834.19495018176</v>
      </c>
      <c r="I78" s="4">
        <f>'GHG &amp; CO2 EMISSIONS'!L153</f>
        <v>340585.97253809718</v>
      </c>
      <c r="J78" s="4">
        <f>'GHG &amp; CO2 EMISSIONS'!M153</f>
        <v>328877.98786864162</v>
      </c>
      <c r="K78" s="4">
        <f>'GHG &amp; CO2 EMISSIONS'!N153</f>
        <v>298635.5569920002</v>
      </c>
      <c r="L78" s="4">
        <f>'GHG &amp; CO2 EMISSIONS'!O153</f>
        <v>285663.48825715861</v>
      </c>
      <c r="M78" s="4">
        <f>'GHG &amp; CO2 EMISSIONS'!P153</f>
        <v>303876.02583417878</v>
      </c>
      <c r="N78" s="4">
        <f>'GHG &amp; CO2 EMISSIONS'!Q153</f>
        <v>295900.92273148021</v>
      </c>
      <c r="O78" s="4">
        <f>'GHG &amp; CO2 EMISSIONS'!R153</f>
        <v>307245.35432022897</v>
      </c>
      <c r="P78" s="4">
        <f>'GHG &amp; CO2 EMISSIONS'!S153</f>
        <v>310625.75107547664</v>
      </c>
      <c r="Q78" s="4">
        <f>'GHG &amp; CO2 EMISSIONS'!T153</f>
        <v>313512.51455546409</v>
      </c>
      <c r="R78" s="4">
        <f>'GHG &amp; CO2 EMISSIONS'!U153</f>
        <v>333054.19170332397</v>
      </c>
      <c r="S78" s="4">
        <f>'GHG &amp; CO2 EMISSIONS'!V153</f>
        <v>336828.77977928304</v>
      </c>
      <c r="T78" s="4">
        <f>'GHG &amp; CO2 EMISSIONS'!W153</f>
        <v>325983.40139832982</v>
      </c>
      <c r="U78" s="4">
        <f>'GHG &amp; CO2 EMISSIONS'!X153</f>
        <v>277593.35890081344</v>
      </c>
      <c r="V78" s="4">
        <f>'GHG &amp; CO2 EMISSIONS'!Y153</f>
        <v>294365.78742607828</v>
      </c>
      <c r="W78" s="4">
        <f>'GHG &amp; CO2 EMISSIONS'!Z153</f>
        <v>308376.39392958395</v>
      </c>
      <c r="X78" s="4">
        <f>'GHG &amp; CO2 EMISSIONS'!AA153</f>
        <v>304429.89601162286</v>
      </c>
      <c r="Y78" s="4">
        <f>'GHG &amp; CO2 EMISSIONS'!AB153</f>
        <v>297540.22399170091</v>
      </c>
      <c r="Z78" s="4">
        <f>'GHG &amp; CO2 EMISSIONS'!AC153</f>
        <v>257703.07197414865</v>
      </c>
      <c r="AA78" s="4">
        <f>'GHG &amp; CO2 EMISSIONS'!AD153</f>
        <v>223849.80651023245</v>
      </c>
      <c r="AB78" s="4">
        <f>'GHG &amp; CO2 EMISSIONS'!AE153</f>
        <v>234105.64875195711</v>
      </c>
      <c r="AC78" s="4">
        <f>'GHG &amp; CO2 EMISSIONS'!AF153</f>
        <v>223287.75945171944</v>
      </c>
      <c r="AD78" s="4">
        <f>'GHG &amp; CO2 EMISSIONS'!AG153</f>
        <v>231899.9858564777</v>
      </c>
      <c r="AE78" s="4">
        <f>'GHG &amp; CO2 EMISSIONS'!AH153</f>
        <v>222187.89673774943</v>
      </c>
      <c r="AF78" s="4">
        <f>'GHG &amp; CO2 EMISSIONS'!AI153</f>
        <v>207100.65191141068</v>
      </c>
      <c r="AG78" s="4">
        <f>'GHG &amp; CO2 EMISSIONS'!AJ153</f>
        <v>210636.07048038385</v>
      </c>
      <c r="AH78" s="4">
        <f>'GHG &amp; CO2 EMISSIONS'!AK153</f>
        <v>142964.13453191161</v>
      </c>
    </row>
    <row r="79" spans="1:34">
      <c r="A79" s="1" t="s">
        <v>76</v>
      </c>
      <c r="B79" s="4">
        <f>'GHG &amp; CO2 EMISSIONS'!E129</f>
        <v>267405.35609501379</v>
      </c>
      <c r="C79" s="4">
        <f>'GHG &amp; CO2 EMISSIONS'!F129</f>
        <v>260420.50733344399</v>
      </c>
      <c r="D79" s="4">
        <f>'GHG &amp; CO2 EMISSIONS'!G129</f>
        <v>233523.39817007611</v>
      </c>
      <c r="E79" s="4">
        <f>'GHG &amp; CO2 EMISSIONS'!H129</f>
        <v>207558.70931605707</v>
      </c>
      <c r="F79" s="4">
        <f>'GHG &amp; CO2 EMISSIONS'!I129</f>
        <v>174671.11172623266</v>
      </c>
      <c r="G79" s="4">
        <f>'GHG &amp; CO2 EMISSIONS'!J129</f>
        <v>168467.98492597038</v>
      </c>
      <c r="H79" s="4">
        <f>'GHG &amp; CO2 EMISSIONS'!K129</f>
        <v>154715.70311893569</v>
      </c>
      <c r="I79" s="4">
        <f>'GHG &amp; CO2 EMISSIONS'!L129</f>
        <v>147293.12578947935</v>
      </c>
      <c r="J79" s="4">
        <f>'GHG &amp; CO2 EMISSIONS'!M129</f>
        <v>145621.86745158219</v>
      </c>
      <c r="K79" s="4">
        <f>'GHG &amp; CO2 EMISSIONS'!N129</f>
        <v>118761.62808400099</v>
      </c>
      <c r="L79" s="4">
        <f>'GHG &amp; CO2 EMISSIONS'!O129</f>
        <v>142196.98257234215</v>
      </c>
      <c r="M79" s="4">
        <f>'GHG &amp; CO2 EMISSIONS'!P129</f>
        <v>138036.49488030674</v>
      </c>
      <c r="N79" s="4">
        <f>'GHG &amp; CO2 EMISSIONS'!Q129</f>
        <v>156768.22356624354</v>
      </c>
      <c r="O79" s="4">
        <f>'GHG &amp; CO2 EMISSIONS'!R129</f>
        <v>175021.96618400919</v>
      </c>
      <c r="P79" s="4">
        <f>'GHG &amp; CO2 EMISSIONS'!S129</f>
        <v>185475.84372318868</v>
      </c>
      <c r="Q79" s="4">
        <f>'GHG &amp; CO2 EMISSIONS'!T129</f>
        <v>198448.55362719868</v>
      </c>
      <c r="R79" s="4">
        <f>'GHG &amp; CO2 EMISSIONS'!U129</f>
        <v>219633.14904426996</v>
      </c>
      <c r="S79" s="4">
        <f>'GHG &amp; CO2 EMISSIONS'!V129</f>
        <v>225712.39948813393</v>
      </c>
      <c r="T79" s="4">
        <f>'GHG &amp; CO2 EMISSIONS'!W129</f>
        <v>226102.39378163542</v>
      </c>
      <c r="U79" s="4">
        <f>'GHG &amp; CO2 EMISSIONS'!X129</f>
        <v>223189.22622978725</v>
      </c>
      <c r="V79" s="4">
        <f>'GHG &amp; CO2 EMISSIONS'!Y129</f>
        <v>248092.76871015166</v>
      </c>
      <c r="W79" s="4">
        <f>'GHG &amp; CO2 EMISSIONS'!Z129</f>
        <v>238156.9707009604</v>
      </c>
      <c r="X79" s="4">
        <f>'GHG &amp; CO2 EMISSIONS'!AA129</f>
        <v>245262.9016742502</v>
      </c>
      <c r="Y79" s="4">
        <f>'GHG &amp; CO2 EMISSIONS'!AB129</f>
        <v>253532.73254511459</v>
      </c>
      <c r="Z79" s="4">
        <f>'GHG &amp; CO2 EMISSIONS'!AC129</f>
        <v>299137.33938181377</v>
      </c>
      <c r="AA79" s="4">
        <f>'GHG &amp; CO2 EMISSIONS'!AD129</f>
        <v>303052.27007578209</v>
      </c>
      <c r="AB79" s="4">
        <f>'GHG &amp; CO2 EMISSIONS'!AE129</f>
        <v>301738.82139232202</v>
      </c>
      <c r="AC79" s="4">
        <f>'GHG &amp; CO2 EMISSIONS'!AF129</f>
        <v>317720.42704936734</v>
      </c>
      <c r="AD79" s="4">
        <f>'GHG &amp; CO2 EMISSIONS'!AG129</f>
        <v>329572.12509605876</v>
      </c>
      <c r="AE79" s="4">
        <f>'GHG &amp; CO2 EMISSIONS'!AH129</f>
        <v>296039.62227161881</v>
      </c>
      <c r="AF79" s="4">
        <f>'GHG &amp; CO2 EMISSIONS'!AI129</f>
        <v>281789.17932734115</v>
      </c>
      <c r="AG79" s="4">
        <f>'GHG &amp; CO2 EMISSIONS'!AJ129</f>
        <v>244903.72279712683</v>
      </c>
      <c r="AH79" s="4">
        <f>'GHG &amp; CO2 EMISSIONS'!AK129</f>
        <v>274345.56945064128</v>
      </c>
    </row>
    <row r="80" spans="1:34">
      <c r="A80" s="1" t="s">
        <v>81</v>
      </c>
      <c r="B80" s="4">
        <f>'GHG &amp; CO2 EMISSIONS'!E149</f>
        <v>154140.68321639043</v>
      </c>
      <c r="C80" s="4">
        <f>'GHG &amp; CO2 EMISSIONS'!F149</f>
        <v>160571.10785945531</v>
      </c>
      <c r="D80" s="4">
        <f>'GHG &amp; CO2 EMISSIONS'!G149</f>
        <v>166704.36252307371</v>
      </c>
      <c r="E80" s="4">
        <f>'GHG &amp; CO2 EMISSIONS'!H149</f>
        <v>173770.40818818417</v>
      </c>
      <c r="F80" s="4">
        <f>'GHG &amp; CO2 EMISSIONS'!I149</f>
        <v>170074.62399521432</v>
      </c>
      <c r="G80" s="4">
        <f>'GHG &amp; CO2 EMISSIONS'!J149</f>
        <v>184132.36829456512</v>
      </c>
      <c r="H80" s="4">
        <f>'GHG &amp; CO2 EMISSIONS'!K149</f>
        <v>202535.29607071052</v>
      </c>
      <c r="I80" s="4">
        <f>'GHG &amp; CO2 EMISSIONS'!L149</f>
        <v>214931.87925039389</v>
      </c>
      <c r="J80" s="4">
        <f>'GHG &amp; CO2 EMISSIONS'!M149</f>
        <v>214998.98890232769</v>
      </c>
      <c r="K80" s="4">
        <f>'GHG &amp; CO2 EMISSIONS'!N149</f>
        <v>210678.19753622459</v>
      </c>
      <c r="L80" s="4">
        <f>'GHG &amp; CO2 EMISSIONS'!O149</f>
        <v>232351.2868587735</v>
      </c>
      <c r="M80" s="4">
        <f>'GHG &amp; CO2 EMISSIONS'!P149</f>
        <v>216293.52328199698</v>
      </c>
      <c r="N80" s="4">
        <f>'GHG &amp; CO2 EMISSIONS'!Q149</f>
        <v>223724.43718543093</v>
      </c>
      <c r="O80" s="4">
        <f>'GHG &amp; CO2 EMISSIONS'!R149</f>
        <v>239233.7025703298</v>
      </c>
      <c r="P80" s="4">
        <f>'GHG &amp; CO2 EMISSIONS'!S149</f>
        <v>247182.69386602458</v>
      </c>
      <c r="Q80" s="4">
        <f>'GHG &amp; CO2 EMISSIONS'!T149</f>
        <v>266990.70911089156</v>
      </c>
      <c r="R80" s="4">
        <f>'GHG &amp; CO2 EMISSIONS'!U149</f>
        <v>284629.61546442995</v>
      </c>
      <c r="S80" s="4">
        <f>'GHG &amp; CO2 EMISSIONS'!V149</f>
        <v>315614.57768085343</v>
      </c>
      <c r="T80" s="4">
        <f>'GHG &amp; CO2 EMISSIONS'!W149</f>
        <v>311674.51397029322</v>
      </c>
      <c r="U80" s="4">
        <f>'GHG &amp; CO2 EMISSIONS'!X149</f>
        <v>317511.94546651642</v>
      </c>
      <c r="V80" s="4">
        <f>'GHG &amp; CO2 EMISSIONS'!Y149</f>
        <v>317555.16956761753</v>
      </c>
      <c r="W80" s="4">
        <f>'GHG &amp; CO2 EMISSIONS'!Z149</f>
        <v>342962.4325474677</v>
      </c>
      <c r="X80" s="4">
        <f>'GHG &amp; CO2 EMISSIONS'!AA149</f>
        <v>357442.5014981922</v>
      </c>
      <c r="Y80" s="4">
        <f>'GHG &amp; CO2 EMISSIONS'!AB149</f>
        <v>349194.09118378407</v>
      </c>
      <c r="Z80" s="4">
        <f>'GHG &amp; CO2 EMISSIONS'!AC149</f>
        <v>365651.62884227175</v>
      </c>
      <c r="AA80" s="4">
        <f>'GHG &amp; CO2 EMISSIONS'!AD149</f>
        <v>386321.66535475105</v>
      </c>
      <c r="AB80" s="4">
        <f>'GHG &amp; CO2 EMISSIONS'!AE149</f>
        <v>404647.96877319086</v>
      </c>
      <c r="AC80" s="4">
        <f>'GHG &amp; CO2 EMISSIONS'!AF149</f>
        <v>429350.28354358405</v>
      </c>
      <c r="AD80" s="4">
        <f>'GHG &amp; CO2 EMISSIONS'!AG149</f>
        <v>422146.31600151671</v>
      </c>
      <c r="AE80" s="4">
        <f>'GHG &amp; CO2 EMISSIONS'!AH149</f>
        <v>404300.91745389509</v>
      </c>
      <c r="AF80" s="4">
        <f>'GHG &amp; CO2 EMISSIONS'!AI149</f>
        <v>414377.83826285682</v>
      </c>
      <c r="AG80" s="4">
        <f>'GHG &amp; CO2 EMISSIONS'!AJ149</f>
        <v>455248.36736534763</v>
      </c>
      <c r="AH80" s="4">
        <f>'GHG &amp; CO2 EMISSIONS'!AK149</f>
        <v>441422.79428925313</v>
      </c>
    </row>
    <row r="81" spans="1:34">
      <c r="A81" s="1" t="s">
        <v>106</v>
      </c>
      <c r="B81" s="4">
        <f>'GHG &amp; CO2 EMISSIONS'!E117</f>
        <v>278160</v>
      </c>
      <c r="C81" s="4">
        <f>'GHG &amp; CO2 EMISSIONS'!F117</f>
        <v>279534</v>
      </c>
      <c r="D81" s="4">
        <f>'GHG &amp; CO2 EMISSIONS'!G117</f>
        <v>284529</v>
      </c>
      <c r="E81" s="4">
        <f>'GHG &amp; CO2 EMISSIONS'!H117</f>
        <v>288874</v>
      </c>
      <c r="F81" s="4">
        <f>'GHG &amp; CO2 EMISSIONS'!I117</f>
        <v>293701</v>
      </c>
      <c r="G81" s="4">
        <f>'GHG &amp; CO2 EMISSIONS'!J117</f>
        <v>305056</v>
      </c>
      <c r="H81" s="4">
        <f>'GHG &amp; CO2 EMISSIONS'!K117</f>
        <v>311941</v>
      </c>
      <c r="I81" s="4">
        <f>'GHG &amp; CO2 EMISSIONS'!L117</f>
        <v>320333</v>
      </c>
      <c r="J81" s="4">
        <f>'GHG &amp; CO2 EMISSIONS'!M117</f>
        <v>334136</v>
      </c>
      <c r="K81" s="4">
        <f>'GHG &amp; CO2 EMISSIONS'!N117</f>
        <v>343959</v>
      </c>
      <c r="L81" s="4">
        <f>'GHG &amp; CO2 EMISSIONS'!O117</f>
        <v>350008</v>
      </c>
      <c r="M81" s="4">
        <f>'GHG &amp; CO2 EMISSIONS'!P117</f>
        <v>357784</v>
      </c>
      <c r="N81" s="4">
        <f>'GHG &amp; CO2 EMISSIONS'!Q117</f>
        <v>362537</v>
      </c>
      <c r="O81" s="4">
        <f>'GHG &amp; CO2 EMISSIONS'!R117</f>
        <v>369630</v>
      </c>
      <c r="P81" s="4">
        <f>'GHG &amp; CO2 EMISSIONS'!S117</f>
        <v>383159</v>
      </c>
      <c r="Q81" s="4">
        <f>'GHG &amp; CO2 EMISSIONS'!T117</f>
        <v>386176</v>
      </c>
      <c r="R81" s="4">
        <f>'GHG &amp; CO2 EMISSIONS'!U117</f>
        <v>392360</v>
      </c>
      <c r="S81" s="4">
        <f>'GHG &amp; CO2 EMISSIONS'!V117</f>
        <v>399475</v>
      </c>
      <c r="T81" s="4">
        <f>'GHG &amp; CO2 EMISSIONS'!W117</f>
        <v>404840</v>
      </c>
      <c r="U81" s="4">
        <f>'GHG &amp; CO2 EMISSIONS'!X117</f>
        <v>407094</v>
      </c>
      <c r="V81" s="4">
        <f>'GHG &amp; CO2 EMISSIONS'!Y117</f>
        <v>405131</v>
      </c>
      <c r="W81" s="4">
        <f>'GHG &amp; CO2 EMISSIONS'!Z117</f>
        <v>403858</v>
      </c>
      <c r="X81" s="4">
        <f>'GHG &amp; CO2 EMISSIONS'!AA117</f>
        <v>406197</v>
      </c>
      <c r="Y81" s="4">
        <f>'GHG &amp; CO2 EMISSIONS'!AB117</f>
        <v>399068</v>
      </c>
      <c r="Z81" s="4">
        <f>'GHG &amp; CO2 EMISSIONS'!AC117</f>
        <v>392729</v>
      </c>
      <c r="AA81" s="4">
        <f>'GHG &amp; CO2 EMISSIONS'!AD117</f>
        <v>401497</v>
      </c>
      <c r="AB81" s="4">
        <f>'GHG &amp; CO2 EMISSIONS'!AE117</f>
        <v>410388</v>
      </c>
      <c r="AC81" s="4">
        <f>'GHG &amp; CO2 EMISSIONS'!AF117</f>
        <v>413818</v>
      </c>
      <c r="AD81" s="4">
        <f>'GHG &amp; CO2 EMISSIONS'!AG117</f>
        <v>415591</v>
      </c>
      <c r="AE81" s="4">
        <f>'GHG &amp; CO2 EMISSIONS'!AH117</f>
        <v>415770</v>
      </c>
      <c r="AF81" s="4">
        <f>'GHG &amp; CO2 EMISSIONS'!AI117</f>
        <v>399184</v>
      </c>
      <c r="AG81" s="4">
        <f>'GHG &amp; CO2 EMISSIONS'!AJ117</f>
        <v>389020</v>
      </c>
      <c r="AH81" s="4">
        <f>'GHG &amp; CO2 EMISSIONS'!AK117</f>
        <v>384362</v>
      </c>
    </row>
    <row r="82" spans="1:34">
      <c r="A82" s="1" t="s">
        <v>108</v>
      </c>
      <c r="B82" s="4">
        <f>'GHG &amp; CO2 EMISSIONS'!E173</f>
        <v>458014.93552474678</v>
      </c>
      <c r="C82" s="4">
        <f>'GHG &amp; CO2 EMISSIONS'!F173</f>
        <v>449756.12114344432</v>
      </c>
      <c r="D82" s="4">
        <f>'GHG &amp; CO2 EMISSIONS'!G173</f>
        <v>463496.74963858596</v>
      </c>
      <c r="E82" s="4">
        <f>'GHG &amp; CO2 EMISSIONS'!H173</f>
        <v>464160.01275739941</v>
      </c>
      <c r="F82" s="4">
        <f>'GHG &amp; CO2 EMISSIONS'!I173</f>
        <v>478630.55286119349</v>
      </c>
      <c r="G82" s="4">
        <f>'GHG &amp; CO2 EMISSIONS'!J173</f>
        <v>491413.65436887252</v>
      </c>
      <c r="H82" s="4">
        <f>'GHG &amp; CO2 EMISSIONS'!K173</f>
        <v>507728.67642064445</v>
      </c>
      <c r="I82" s="4">
        <f>'GHG &amp; CO2 EMISSIONS'!L173</f>
        <v>522021.92346206005</v>
      </c>
      <c r="J82" s="4">
        <f>'GHG &amp; CO2 EMISSIONS'!M173</f>
        <v>529635.74513397925</v>
      </c>
      <c r="K82" s="4">
        <f>'GHG &amp; CO2 EMISSIONS'!N173</f>
        <v>543865.61090489267</v>
      </c>
      <c r="L82" s="4">
        <f>'GHG &amp; CO2 EMISSIONS'!O173</f>
        <v>566261.3626986345</v>
      </c>
      <c r="M82" s="4">
        <f>'GHG &amp; CO2 EMISSIONS'!P173</f>
        <v>558360.49086101481</v>
      </c>
      <c r="N82" s="4">
        <f>'GHG &amp; CO2 EMISSIONS'!Q173</f>
        <v>563728.4932470466</v>
      </c>
      <c r="O82" s="4">
        <f>'GHG &amp; CO2 EMISSIONS'!R173</f>
        <v>580792.40091160266</v>
      </c>
      <c r="P82" s="4">
        <f>'GHG &amp; CO2 EMISSIONS'!S173</f>
        <v>579162.80135955138</v>
      </c>
      <c r="Q82" s="4">
        <f>'GHG &amp; CO2 EMISSIONS'!T173</f>
        <v>572854.82164759981</v>
      </c>
      <c r="R82" s="4">
        <f>'GHG &amp; CO2 EMISSIONS'!U173</f>
        <v>568173.23418784444</v>
      </c>
      <c r="S82" s="4">
        <f>'GHG &amp; CO2 EMISSIONS'!V173</f>
        <v>591888.68625188642</v>
      </c>
      <c r="T82" s="4">
        <f>'GHG &amp; CO2 EMISSIONS'!W173</f>
        <v>575769.90531276911</v>
      </c>
      <c r="U82" s="4">
        <f>'GHG &amp; CO2 EMISSIONS'!X173</f>
        <v>542810.70657176338</v>
      </c>
      <c r="V82" s="4">
        <f>'GHG &amp; CO2 EMISSIONS'!Y173</f>
        <v>554734.25614216086</v>
      </c>
      <c r="W82" s="4">
        <f>'GHG &amp; CO2 EMISSIONS'!Z173</f>
        <v>563320.36941680522</v>
      </c>
      <c r="X82" s="4">
        <f>'GHG &amp; CO2 EMISSIONS'!AA173</f>
        <v>564221.19243368693</v>
      </c>
      <c r="Y82" s="4">
        <f>'GHG &amp; CO2 EMISSIONS'!AB173</f>
        <v>568853.79743076675</v>
      </c>
      <c r="Z82" s="4">
        <f>'GHG &amp; CO2 EMISSIONS'!AC173</f>
        <v>566468.85508718225</v>
      </c>
      <c r="AA82" s="4">
        <f>'GHG &amp; CO2 EMISSIONS'!AD173</f>
        <v>565644.08148966345</v>
      </c>
      <c r="AB82" s="4">
        <f>'GHG &amp; CO2 EMISSIONS'!AE173</f>
        <v>558871.64786614699</v>
      </c>
      <c r="AC82" s="4">
        <f>'GHG &amp; CO2 EMISSIONS'!AF173</f>
        <v>569602.98819103092</v>
      </c>
      <c r="AD82" s="4">
        <f>'GHG &amp; CO2 EMISSIONS'!AG173</f>
        <v>579078.841669749</v>
      </c>
      <c r="AE82" s="4">
        <f>'GHG &amp; CO2 EMISSIONS'!AH173</f>
        <v>582024.98160077934</v>
      </c>
      <c r="AF82" s="4">
        <f>'GHG &amp; CO2 EMISSIONS'!AI173</f>
        <v>526581.62753486237</v>
      </c>
      <c r="AG82" s="4">
        <f>'GHG &amp; CO2 EMISSIONS'!AJ173</f>
        <v>540311.63330928981</v>
      </c>
      <c r="AH82" s="4">
        <f>'GHG &amp; CO2 EMISSIONS'!AK173</f>
        <v>550611.61159179604</v>
      </c>
    </row>
    <row r="83" spans="1:34">
      <c r="A83" s="1" t="s">
        <v>105</v>
      </c>
      <c r="B83" s="4">
        <f>'GHG &amp; CO2 EMISSIONS'!E161</f>
        <v>1157373.6612948417</v>
      </c>
      <c r="C83" s="4">
        <f>'GHG &amp; CO2 EMISSIONS'!F161</f>
        <v>1169070.538282963</v>
      </c>
      <c r="D83" s="4">
        <f>'GHG &amp; CO2 EMISSIONS'!G161</f>
        <v>1178852.0163191382</v>
      </c>
      <c r="E83" s="4">
        <f>'GHG &amp; CO2 EMISSIONS'!H161</f>
        <v>1171862.3804400214</v>
      </c>
      <c r="F83" s="4">
        <f>'GHG &amp; CO2 EMISSIONS'!I161</f>
        <v>1226887.1013408254</v>
      </c>
      <c r="G83" s="4">
        <f>'GHG &amp; CO2 EMISSIONS'!J161</f>
        <v>1239225.93434464</v>
      </c>
      <c r="H83" s="4">
        <f>'GHG &amp; CO2 EMISSIONS'!K161</f>
        <v>1251737.6568749512</v>
      </c>
      <c r="I83" s="4">
        <f>'GHG &amp; CO2 EMISSIONS'!L161</f>
        <v>1244449.3860267708</v>
      </c>
      <c r="J83" s="4">
        <f>'GHG &amp; CO2 EMISSIONS'!M161</f>
        <v>1204602.5165230667</v>
      </c>
      <c r="K83" s="4">
        <f>'GHG &amp; CO2 EMISSIONS'!N161</f>
        <v>1241233.8256277232</v>
      </c>
      <c r="L83" s="4">
        <f>'GHG &amp; CO2 EMISSIONS'!O161</f>
        <v>1263950.9604737498</v>
      </c>
      <c r="M83" s="4">
        <f>'GHG &amp; CO2 EMISSIONS'!P161</f>
        <v>1249355.1085405855</v>
      </c>
      <c r="N83" s="4">
        <f>'GHG &amp; CO2 EMISSIONS'!Q161</f>
        <v>1278980.9878582866</v>
      </c>
      <c r="O83" s="4">
        <f>'GHG &amp; CO2 EMISSIONS'!R161</f>
        <v>1287481.5493205127</v>
      </c>
      <c r="P83" s="4">
        <f>'GHG &amp; CO2 EMISSIONS'!S161</f>
        <v>1282872.0338385412</v>
      </c>
      <c r="Q83" s="4">
        <f>'GHG &amp; CO2 EMISSIONS'!T161</f>
        <v>1290333.4473998232</v>
      </c>
      <c r="R83" s="4">
        <f>'GHG &amp; CO2 EMISSIONS'!U161</f>
        <v>1267269.0063349127</v>
      </c>
      <c r="S83" s="4">
        <f>'GHG &amp; CO2 EMISSIONS'!V161</f>
        <v>1302996.4320647877</v>
      </c>
      <c r="T83" s="4">
        <f>'GHG &amp; CO2 EMISSIONS'!W161</f>
        <v>1232180.5729677649</v>
      </c>
      <c r="U83" s="4">
        <f>'GHG &amp; CO2 EMISSIONS'!X161</f>
        <v>1163365.7495647243</v>
      </c>
      <c r="V83" s="4">
        <f>'GHG &amp; CO2 EMISSIONS'!Y161</f>
        <v>1214785.3784805574</v>
      </c>
      <c r="W83" s="4">
        <f>'GHG &amp; CO2 EMISSIONS'!Z161</f>
        <v>1264803.1606841439</v>
      </c>
      <c r="X83" s="4">
        <f>'GHG &amp; CO2 EMISSIONS'!AA161</f>
        <v>1305969.5076752538</v>
      </c>
      <c r="Y83" s="4">
        <f>'GHG &amp; CO2 EMISSIONS'!AB161</f>
        <v>1315319.8122312906</v>
      </c>
      <c r="Z83" s="4">
        <f>'GHG &amp; CO2 EMISSIONS'!AC161</f>
        <v>1263765.9744515095</v>
      </c>
      <c r="AA83" s="4">
        <f>'GHG &amp; CO2 EMISSIONS'!AD161</f>
        <v>1223194.8238392819</v>
      </c>
      <c r="AB83" s="4">
        <f>'GHG &amp; CO2 EMISSIONS'!AE161</f>
        <v>1203177.5492311174</v>
      </c>
      <c r="AC83" s="4">
        <f>'GHG &amp; CO2 EMISSIONS'!AF161</f>
        <v>1187523.9079826421</v>
      </c>
      <c r="AD83" s="4">
        <f>'GHG &amp; CO2 EMISSIONS'!AG161</f>
        <v>1142499.2917036791</v>
      </c>
      <c r="AE83" s="4">
        <f>'GHG &amp; CO2 EMISSIONS'!AH161</f>
        <v>1105461.5833546899</v>
      </c>
      <c r="AF83" s="4">
        <f>'GHG &amp; CO2 EMISSIONS'!AI161</f>
        <v>1040475.8641844646</v>
      </c>
      <c r="AG83" s="4">
        <f>'GHG &amp; CO2 EMISSIONS'!AJ161</f>
        <v>1061855.4950656199</v>
      </c>
      <c r="AH83" s="4">
        <f>'GHG &amp; CO2 EMISSIONS'!AK161</f>
        <v>1034861.0742171708</v>
      </c>
    </row>
    <row r="84" spans="1:34">
      <c r="A84" s="1" t="s">
        <v>84</v>
      </c>
      <c r="B84" s="4">
        <f>'GHG &amp; CO2 EMISSIONS'!E169</f>
        <v>2534638.085183613</v>
      </c>
      <c r="C84" s="4">
        <f>'GHG &amp; CO2 EMISSIONS'!F169</f>
        <v>2405960.4043792002</v>
      </c>
      <c r="D84" s="4">
        <f>'GHG &amp; CO2 EMISSIONS'!G169</f>
        <v>1965325.1182081089</v>
      </c>
      <c r="E84" s="4">
        <f>'GHG &amp; CO2 EMISSIONS'!H169</f>
        <v>1866015.6303622497</v>
      </c>
      <c r="F84" s="4">
        <f>'GHG &amp; CO2 EMISSIONS'!I169</f>
        <v>1646861.0778358676</v>
      </c>
      <c r="G84" s="4">
        <f>'GHG &amp; CO2 EMISSIONS'!J169</f>
        <v>1618323.9412290324</v>
      </c>
      <c r="H84" s="4">
        <f>'GHG &amp; CO2 EMISSIONS'!K169</f>
        <v>1586265.4577589876</v>
      </c>
      <c r="I84" s="4">
        <f>'GHG &amp; CO2 EMISSIONS'!L169</f>
        <v>1481066.4085384416</v>
      </c>
      <c r="J84" s="4">
        <f>'GHG &amp; CO2 EMISSIONS'!M169</f>
        <v>1464425.1237385527</v>
      </c>
      <c r="K84" s="4">
        <f>'GHG &amp; CO2 EMISSIONS'!N169</f>
        <v>1493204.9948452166</v>
      </c>
      <c r="L84" s="4">
        <f>'GHG &amp; CO2 EMISSIONS'!O169</f>
        <v>1478086.8698581592</v>
      </c>
      <c r="M84" s="4">
        <f>'GHG &amp; CO2 EMISSIONS'!P169</f>
        <v>1515324.8527618302</v>
      </c>
      <c r="N84" s="4">
        <f>'GHG &amp; CO2 EMISSIONS'!Q169</f>
        <v>1505779.7397898182</v>
      </c>
      <c r="O84" s="4">
        <f>'GHG &amp; CO2 EMISSIONS'!R169</f>
        <v>1536315.8110392331</v>
      </c>
      <c r="P84" s="4">
        <f>'GHG &amp; CO2 EMISSIONS'!S169</f>
        <v>1542790.6061639695</v>
      </c>
      <c r="Q84" s="4">
        <f>'GHG &amp; CO2 EMISSIONS'!T169</f>
        <v>1561910.6917456912</v>
      </c>
      <c r="R84" s="4">
        <f>'GHG &amp; CO2 EMISSIONS'!U169</f>
        <v>1622152.0171722574</v>
      </c>
      <c r="S84" s="4">
        <f>'GHG &amp; CO2 EMISSIONS'!V169</f>
        <v>1622969.7578581851</v>
      </c>
      <c r="T84" s="4">
        <f>'GHG &amp; CO2 EMISSIONS'!W169</f>
        <v>1651191.5525614505</v>
      </c>
      <c r="U84" s="4">
        <f>'GHG &amp; CO2 EMISSIONS'!X169</f>
        <v>1544428.7246118153</v>
      </c>
      <c r="V84" s="4">
        <f>'GHG &amp; CO2 EMISSIONS'!Y169</f>
        <v>1632325.4749298736</v>
      </c>
      <c r="W84" s="4">
        <f>'GHG &amp; CO2 EMISSIONS'!Z169</f>
        <v>1684492.232681015</v>
      </c>
      <c r="X84" s="4">
        <f>'GHG &amp; CO2 EMISSIONS'!AA169</f>
        <v>1699944.7348021739</v>
      </c>
      <c r="Y84" s="4">
        <f>'GHG &amp; CO2 EMISSIONS'!AB169</f>
        <v>1638418.1451412498</v>
      </c>
      <c r="Z84" s="4">
        <f>'GHG &amp; CO2 EMISSIONS'!AC169</f>
        <v>1637734.1474585615</v>
      </c>
      <c r="AA84" s="4">
        <f>'GHG &amp; CO2 EMISSIONS'!AD169</f>
        <v>1635820.885622662</v>
      </c>
      <c r="AB84" s="4">
        <f>'GHG &amp; CO2 EMISSIONS'!AE169</f>
        <v>1631762.6164978051</v>
      </c>
      <c r="AC84" s="4">
        <f>'GHG &amp; CO2 EMISSIONS'!AF169</f>
        <v>1662522.572903208</v>
      </c>
      <c r="AD84" s="4">
        <f>'GHG &amp; CO2 EMISSIONS'!AG169</f>
        <v>1710549.6280213722</v>
      </c>
      <c r="AE84" s="4">
        <f>'GHG &amp; CO2 EMISSIONS'!AH169</f>
        <v>1702599.4695157488</v>
      </c>
      <c r="AF84" s="4">
        <f>'GHG &amp; CO2 EMISSIONS'!AI169</f>
        <v>1629546.8816099388</v>
      </c>
      <c r="AG84" s="4">
        <f>'GHG &amp; CO2 EMISSIONS'!AJ169</f>
        <v>1711217.0638064989</v>
      </c>
      <c r="AH84" s="4">
        <f>'GHG &amp; CO2 EMISSIONS'!AK169</f>
        <v>1658923.0690453025</v>
      </c>
    </row>
    <row r="85" spans="1:34" ht="30">
      <c r="A85" s="1" t="s">
        <v>156</v>
      </c>
      <c r="B85" s="4">
        <f>'GHG &amp; CO2 EMISSIONS'!E5</f>
        <v>3873023.3309339033</v>
      </c>
      <c r="C85" s="4">
        <f>'GHG &amp; CO2 EMISSIONS'!F5</f>
        <v>3807938.7912400202</v>
      </c>
      <c r="D85" s="4">
        <f>'GHG &amp; CO2 EMISSIONS'!G5</f>
        <v>3681371.0765948086</v>
      </c>
      <c r="E85" s="4">
        <f>'GHG &amp; CO2 EMISSIONS'!H5</f>
        <v>3612170.8536726907</v>
      </c>
      <c r="F85" s="4">
        <f>'GHG &amp; CO2 EMISSIONS'!I5</f>
        <v>3593763.4414307312</v>
      </c>
      <c r="G85" s="4">
        <f>'GHG &amp; CO2 EMISSIONS'!J5</f>
        <v>3640341.98842332</v>
      </c>
      <c r="H85" s="4">
        <f>'GHG &amp; CO2 EMISSIONS'!K5</f>
        <v>3725281.0003728131</v>
      </c>
      <c r="I85" s="4">
        <f>'GHG &amp; CO2 EMISSIONS'!L5</f>
        <v>3659125.4671813394</v>
      </c>
      <c r="J85" s="4">
        <f>'GHG &amp; CO2 EMISSIONS'!M5</f>
        <v>3649833.3754430539</v>
      </c>
      <c r="K85" s="4">
        <f>'GHG &amp; CO2 EMISSIONS'!N5</f>
        <v>3594787.0037151575</v>
      </c>
      <c r="L85" s="4">
        <f>'GHG &amp; CO2 EMISSIONS'!O5</f>
        <v>3606301.5966402353</v>
      </c>
      <c r="M85" s="4">
        <f>'GHG &amp; CO2 EMISSIONS'!P5</f>
        <v>3663404.2415952953</v>
      </c>
      <c r="N85" s="4">
        <f>'GHG &amp; CO2 EMISSIONS'!Q5</f>
        <v>3664291.9554574536</v>
      </c>
      <c r="O85" s="4">
        <f>'GHG &amp; CO2 EMISSIONS'!R5</f>
        <v>3743213.3787790379</v>
      </c>
      <c r="P85" s="4">
        <f>'GHG &amp; CO2 EMISSIONS'!S5</f>
        <v>3750816.2632212588</v>
      </c>
      <c r="Q85" s="4">
        <f>'GHG &amp; CO2 EMISSIONS'!T5</f>
        <v>3742796.9393666019</v>
      </c>
      <c r="R85" s="4">
        <f>'GHG &amp; CO2 EMISSIONS'!U5</f>
        <v>3759891.1983414041</v>
      </c>
      <c r="S85" s="4">
        <f>'GHG &amp; CO2 EMISSIONS'!V5</f>
        <v>3710709.639908799</v>
      </c>
      <c r="T85" s="4">
        <f>'GHG &amp; CO2 EMISSIONS'!W5</f>
        <v>3634251.3148067677</v>
      </c>
      <c r="U85" s="4">
        <f>'GHG &amp; CO2 EMISSIONS'!X5</f>
        <v>3339331.7106164955</v>
      </c>
      <c r="V85" s="4">
        <f>'GHG &amp; CO2 EMISSIONS'!Y5</f>
        <v>3432970.2685692119</v>
      </c>
      <c r="W85" s="4">
        <f>'GHG &amp; CO2 EMISSIONS'!Z5</f>
        <v>3335770.6019856283</v>
      </c>
      <c r="X85" s="4">
        <f>'GHG &amp; CO2 EMISSIONS'!AA5</f>
        <v>3266586.5480191614</v>
      </c>
      <c r="Y85" s="4">
        <f>'GHG &amp; CO2 EMISSIONS'!AB5</f>
        <v>3177910.411238587</v>
      </c>
      <c r="Z85" s="4">
        <f>'GHG &amp; CO2 EMISSIONS'!AC5</f>
        <v>3042303.2882573451</v>
      </c>
      <c r="AA85" s="4">
        <f>'GHG &amp; CO2 EMISSIONS'!AD5</f>
        <v>3101672.9847513721</v>
      </c>
      <c r="AB85" s="4">
        <f>'GHG &amp; CO2 EMISSIONS'!AE5</f>
        <v>3099257.9562930437</v>
      </c>
      <c r="AC85" s="4">
        <f>'GHG &amp; CO2 EMISSIONS'!AF5</f>
        <v>3122783.9231626331</v>
      </c>
      <c r="AD85" s="4">
        <f>'GHG &amp; CO2 EMISSIONS'!AG5</f>
        <v>3055340.8104139124</v>
      </c>
      <c r="AE85" s="4">
        <f>'GHG &amp; CO2 EMISSIONS'!AH5</f>
        <v>2908385.334441151</v>
      </c>
      <c r="AF85" s="4">
        <f>'GHG &amp; CO2 EMISSIONS'!AI5</f>
        <v>2629904.5727267321</v>
      </c>
      <c r="AG85" s="4">
        <f>'GHG &amp; CO2 EMISSIONS'!AJ5</f>
        <v>2808290.8878538297</v>
      </c>
      <c r="AH85" s="4">
        <f>'GHG &amp; CO2 EMISSIONS'!AK5</f>
        <v>2740590.0108404695</v>
      </c>
    </row>
    <row r="86" spans="1:34">
      <c r="A86" s="1" t="s">
        <v>83</v>
      </c>
      <c r="B86" s="4">
        <f>'GHG &amp; CO2 EMISSIONS'!E177</f>
        <v>5131649.9179338422</v>
      </c>
      <c r="C86" s="4">
        <f>'GHG &amp; CO2 EMISSIONS'!F177</f>
        <v>5076301.3728953777</v>
      </c>
      <c r="D86" s="4">
        <f>'GHG &amp; CO2 EMISSIONS'!G177</f>
        <v>5178730.8103493061</v>
      </c>
      <c r="E86" s="4">
        <f>'GHG &amp; CO2 EMISSIONS'!H177</f>
        <v>5279479.6070834426</v>
      </c>
      <c r="F86" s="4">
        <f>'GHG &amp; CO2 EMISSIONS'!I177</f>
        <v>5361823.1471951883</v>
      </c>
      <c r="G86" s="4">
        <f>'GHG &amp; CO2 EMISSIONS'!J177</f>
        <v>5425799.2483278252</v>
      </c>
      <c r="H86" s="4">
        <f>'GHG &amp; CO2 EMISSIONS'!K177</f>
        <v>5601058.0610044273</v>
      </c>
      <c r="I86" s="4">
        <f>'GHG &amp; CO2 EMISSIONS'!L177</f>
        <v>5673108.9554237751</v>
      </c>
      <c r="J86" s="4">
        <f>'GHG &amp; CO2 EMISSIONS'!M177</f>
        <v>5736325.2530561415</v>
      </c>
      <c r="K86" s="4">
        <f>'GHG &amp; CO2 EMISSIONS'!N177</f>
        <v>5800249.574243417</v>
      </c>
      <c r="L86" s="4">
        <f>'GHG &amp; CO2 EMISSIONS'!O177</f>
        <v>6023128.1481773667</v>
      </c>
      <c r="M86" s="4">
        <f>'GHG &amp; CO2 EMISSIONS'!P177</f>
        <v>5903534.2323353216</v>
      </c>
      <c r="N86" s="4">
        <f>'GHG &amp; CO2 EMISSIONS'!Q177</f>
        <v>5947794.8097726032</v>
      </c>
      <c r="O86" s="4">
        <f>'GHG &amp; CO2 EMISSIONS'!R177</f>
        <v>6006415.9388180533</v>
      </c>
      <c r="P86" s="4">
        <f>'GHG &amp; CO2 EMISSIONS'!S177</f>
        <v>6111521.3921528356</v>
      </c>
      <c r="Q86" s="4">
        <f>'GHG &amp; CO2 EMISSIONS'!T177</f>
        <v>6126864.1132818833</v>
      </c>
      <c r="R86" s="4">
        <f>'GHG &amp; CO2 EMISSIONS'!U177</f>
        <v>6045302.9943539565</v>
      </c>
      <c r="S86" s="4">
        <f>'GHG &amp; CO2 EMISSIONS'!V177</f>
        <v>6121520.898451956</v>
      </c>
      <c r="T86" s="4">
        <f>'GHG &amp; CO2 EMISSIONS'!W177</f>
        <v>5919210.1388680004</v>
      </c>
      <c r="U86" s="4">
        <f>'GHG &amp; CO2 EMISSIONS'!X177</f>
        <v>5486088.7614141153</v>
      </c>
      <c r="V86" s="4">
        <f>'GHG &amp; CO2 EMISSIONS'!Y177</f>
        <v>5668742.1789052505</v>
      </c>
      <c r="W86" s="4">
        <f>'GHG &amp; CO2 EMISSIONS'!Z177</f>
        <v>5540330.9081888823</v>
      </c>
      <c r="X86" s="4">
        <f>'GHG &amp; CO2 EMISSIONS'!AA177</f>
        <v>5332810.8172207158</v>
      </c>
      <c r="Y86" s="4">
        <f>'GHG &amp; CO2 EMISSIONS'!AB177</f>
        <v>5473655.6944413669</v>
      </c>
      <c r="Z86" s="4">
        <f>'GHG &amp; CO2 EMISSIONS'!AC177</f>
        <v>5529884.0736858258</v>
      </c>
      <c r="AA86" s="4">
        <f>'GHG &amp; CO2 EMISSIONS'!AD177</f>
        <v>5368292.857288844</v>
      </c>
      <c r="AB86" s="4">
        <f>'GHG &amp; CO2 EMISSIONS'!AE177</f>
        <v>5246402.9250260228</v>
      </c>
      <c r="AC86" s="4">
        <f>'GHG &amp; CO2 EMISSIONS'!AF177</f>
        <v>5196539.8320305049</v>
      </c>
      <c r="AD86" s="4">
        <f>'GHG &amp; CO2 EMISSIONS'!AG177</f>
        <v>5362191.2282171389</v>
      </c>
      <c r="AE86" s="4">
        <f>'GHG &amp; CO2 EMISSIONS'!AH177</f>
        <v>5234488.2400557771</v>
      </c>
      <c r="AF86" s="4">
        <f>'GHG &amp; CO2 EMISSIONS'!AI177</f>
        <v>4688969.2072321847</v>
      </c>
      <c r="AG86" s="4">
        <f>'GHG &amp; CO2 EMISSIONS'!AJ177</f>
        <v>5017202.0794459097</v>
      </c>
      <c r="AH86" s="4">
        <f>'GHG &amp; CO2 EMISSIONS'!AK177</f>
        <v>5053018.6889002668</v>
      </c>
    </row>
    <row r="87" spans="1:34">
      <c r="A87" s="1" t="s">
        <v>5</v>
      </c>
      <c r="B87" s="145">
        <f>'GHG &amp; CO2 EMISSIONS'!E157</f>
        <v>603662.86089401203</v>
      </c>
      <c r="C87" s="145">
        <f>'GHG &amp; CO2 EMISSIONS'!F157</f>
        <v>611170.45411533839</v>
      </c>
      <c r="D87" s="145">
        <f>'GHG &amp; CO2 EMISSIONS'!G157</f>
        <v>595536.71973988833</v>
      </c>
      <c r="E87" s="145">
        <f>'GHG &amp; CO2 EMISSIONS'!H157</f>
        <v>581505.91995838704</v>
      </c>
      <c r="F87" s="145">
        <f>'GHG &amp; CO2 EMISSIONS'!I157</f>
        <v>575528.19820604555</v>
      </c>
      <c r="G87" s="145">
        <f>'GHG &amp; CO2 EMISSIONS'!J157</f>
        <v>567695.72765364638</v>
      </c>
      <c r="H87" s="145">
        <f>'GHG &amp; CO2 EMISSIONS'!K157</f>
        <v>588361.67277779325</v>
      </c>
      <c r="I87" s="145">
        <f>'GHG &amp; CO2 EMISSIONS'!L157</f>
        <v>564927.33421193471</v>
      </c>
      <c r="J87" s="145">
        <f>'GHG &amp; CO2 EMISSIONS'!M157</f>
        <v>570226.87033369159</v>
      </c>
      <c r="K87" s="145">
        <f>'GHG &amp; CO2 EMISSIONS'!N157</f>
        <v>562709.98641600937</v>
      </c>
      <c r="L87" s="145">
        <f>'GHG &amp; CO2 EMISSIONS'!O157</f>
        <v>570519.29919362662</v>
      </c>
      <c r="M87" s="145">
        <f>'GHG &amp; CO2 EMISSIONS'!P157</f>
        <v>579604.93655515008</v>
      </c>
      <c r="N87" s="145">
        <f>'GHG &amp; CO2 EMISSIONS'!Q157</f>
        <v>562226.38493685366</v>
      </c>
      <c r="O87" s="145">
        <f>'GHG &amp; CO2 EMISSIONS'!R157</f>
        <v>573068.27212889376</v>
      </c>
      <c r="P87" s="145">
        <f>'GHG &amp; CO2 EMISSIONS'!S157</f>
        <v>575184.62450261693</v>
      </c>
      <c r="Q87" s="145">
        <f>'GHG &amp; CO2 EMISSIONS'!T157</f>
        <v>571973.99725599319</v>
      </c>
      <c r="R87" s="145">
        <f>'GHG &amp; CO2 EMISSIONS'!U157</f>
        <v>569571.15793579398</v>
      </c>
      <c r="S87" s="145">
        <f>'GHG &amp; CO2 EMISSIONS'!V157</f>
        <v>561356.48269712063</v>
      </c>
      <c r="T87" s="145">
        <f>'GHG &amp; CO2 EMISSIONS'!W157</f>
        <v>546975.89881896065</v>
      </c>
      <c r="U87" s="145">
        <f>'GHG &amp; CO2 EMISSIONS'!X157</f>
        <v>495985.96158726077</v>
      </c>
      <c r="V87" s="145">
        <f>'GHG &amp; CO2 EMISSIONS'!Y157</f>
        <v>513873.32129260059</v>
      </c>
      <c r="W87" s="145">
        <f>'GHG &amp; CO2 EMISSIONS'!Z157</f>
        <v>471402.35442996892</v>
      </c>
      <c r="X87" s="145">
        <f>'GHG &amp; CO2 EMISSIONS'!AA157</f>
        <v>489094.47984958481</v>
      </c>
      <c r="Y87" s="145">
        <f>'GHG &amp; CO2 EMISSIONS'!AB157</f>
        <v>479097.57717529993</v>
      </c>
      <c r="Z87" s="145">
        <f>'GHG &amp; CO2 EMISSIONS'!AC157</f>
        <v>440088.27210238972</v>
      </c>
      <c r="AA87" s="145">
        <f>'GHG &amp; CO2 EMISSIONS'!AD157</f>
        <v>423780.8846190261</v>
      </c>
      <c r="AB87" s="145">
        <f>'GHG &amp; CO2 EMISSIONS'!AE157</f>
        <v>399133.94634387537</v>
      </c>
      <c r="AC87" s="145">
        <f>'GHG &amp; CO2 EMISSIONS'!AF157</f>
        <v>387451.76422946923</v>
      </c>
      <c r="AD87" s="145">
        <f>'GHG &amp; CO2 EMISSIONS'!AG157</f>
        <v>381411.20293273032</v>
      </c>
      <c r="AE87" s="145">
        <f>'GHG &amp; CO2 EMISSIONS'!AH157</f>
        <v>367820.14076715353</v>
      </c>
      <c r="AF87" s="145">
        <f>'GHG &amp; CO2 EMISSIONS'!AI157</f>
        <v>328150.70657017239</v>
      </c>
      <c r="AG87" s="145">
        <f>'GHG &amp; CO2 EMISSIONS'!AJ157</f>
        <v>346506.56426406465</v>
      </c>
      <c r="AH87" s="145">
        <f>'GHG &amp; CO2 EMISSIONS'!AK157</f>
        <v>333535.006327604</v>
      </c>
    </row>
    <row r="89" spans="1:34" ht="20.25">
      <c r="A89" s="119" t="s">
        <v>138</v>
      </c>
      <c r="B89" s="120"/>
      <c r="C89" s="121"/>
      <c r="D89" s="121"/>
      <c r="E89" s="121"/>
      <c r="F89" s="121"/>
      <c r="G89" s="121"/>
    </row>
    <row r="90" spans="1:34">
      <c r="B90" s="3">
        <v>1990</v>
      </c>
      <c r="C90" s="3">
        <v>1991</v>
      </c>
      <c r="D90" s="3">
        <v>1992</v>
      </c>
      <c r="E90" s="3">
        <v>1993</v>
      </c>
      <c r="F90" s="3">
        <v>1994</v>
      </c>
      <c r="G90" s="3">
        <v>1995</v>
      </c>
      <c r="H90" s="3">
        <v>1996</v>
      </c>
      <c r="I90" s="3">
        <v>1997</v>
      </c>
      <c r="J90" s="3">
        <v>1998</v>
      </c>
      <c r="K90" s="3">
        <v>1999</v>
      </c>
      <c r="L90" s="3">
        <v>2000</v>
      </c>
      <c r="M90" s="3">
        <v>2001</v>
      </c>
      <c r="N90" s="3">
        <v>2002</v>
      </c>
      <c r="O90" s="3">
        <v>2003</v>
      </c>
      <c r="P90" s="3">
        <v>2004</v>
      </c>
      <c r="Q90" s="3">
        <v>2005</v>
      </c>
      <c r="R90" s="3">
        <v>2006</v>
      </c>
      <c r="S90" s="3">
        <v>2007</v>
      </c>
      <c r="T90" s="3">
        <v>2008</v>
      </c>
      <c r="U90" s="3">
        <v>2009</v>
      </c>
      <c r="V90" s="3">
        <v>2010</v>
      </c>
      <c r="W90" s="3">
        <v>2011</v>
      </c>
      <c r="X90" s="3">
        <v>2012</v>
      </c>
      <c r="Y90" s="3">
        <v>2013</v>
      </c>
      <c r="Z90" s="3">
        <v>2014</v>
      </c>
      <c r="AA90" s="3">
        <v>2015</v>
      </c>
      <c r="AB90" s="3">
        <v>2016</v>
      </c>
      <c r="AC90" s="3">
        <v>2017</v>
      </c>
      <c r="AD90" s="3">
        <v>2018</v>
      </c>
      <c r="AE90" s="3">
        <v>2019</v>
      </c>
      <c r="AF90" s="3">
        <v>2020</v>
      </c>
      <c r="AG90" s="3">
        <v>2021</v>
      </c>
      <c r="AH90" s="3">
        <v>2022</v>
      </c>
    </row>
    <row r="91" spans="1:34">
      <c r="A91" s="1" t="s">
        <v>78</v>
      </c>
      <c r="B91" s="4">
        <f>'GHG &amp; CO2 EMISSIONS'!E138</f>
        <v>96.862763553138862</v>
      </c>
      <c r="C91" s="4">
        <f>'GHG &amp; CO2 EMISSIONS'!F138</f>
        <v>97.643884038361421</v>
      </c>
      <c r="D91" s="4">
        <f>'GHG &amp; CO2 EMISSIONS'!G138</f>
        <v>103.20957007325745</v>
      </c>
      <c r="E91" s="4">
        <f>'GHG &amp; CO2 EMISSIONS'!H138</f>
        <v>102.15327372188716</v>
      </c>
      <c r="F91" s="4">
        <f>'GHG &amp; CO2 EMISSIONS'!I138</f>
        <v>102.92326258761611</v>
      </c>
      <c r="G91" s="4">
        <f>'GHG &amp; CO2 EMISSIONS'!J138</f>
        <v>99.728647499005717</v>
      </c>
      <c r="H91" s="4">
        <f>'GHG &amp; CO2 EMISSIONS'!K138</f>
        <v>103.14413545981733</v>
      </c>
      <c r="I91" s="4">
        <f>'GHG &amp; CO2 EMISSIONS'!L138</f>
        <v>101.45216812465841</v>
      </c>
      <c r="J91" s="4">
        <f>'GHG &amp; CO2 EMISSIONS'!M138</f>
        <v>100.29713034832064</v>
      </c>
      <c r="K91" s="4">
        <f>'GHG &amp; CO2 EMISSIONS'!N138</f>
        <v>100.8789994266249</v>
      </c>
      <c r="L91" s="4">
        <f>'GHG &amp; CO2 EMISSIONS'!O138</f>
        <v>98.56334838063627</v>
      </c>
      <c r="M91" s="4">
        <f>'GHG &amp; CO2 EMISSIONS'!P138</f>
        <v>98.111889207725568</v>
      </c>
      <c r="N91" s="4">
        <f>'GHG &amp; CO2 EMISSIONS'!Q138</f>
        <v>97.806793003566142</v>
      </c>
      <c r="O91" s="4">
        <f>'GHG &amp; CO2 EMISSIONS'!R138</f>
        <v>95.161623733499724</v>
      </c>
      <c r="P91" s="4">
        <f>'GHG &amp; CO2 EMISSIONS'!S138</f>
        <v>90.066474520083915</v>
      </c>
      <c r="Q91" s="4">
        <f>'GHG &amp; CO2 EMISSIONS'!T138</f>
        <v>87.897127489093236</v>
      </c>
      <c r="R91" s="4">
        <f>'GHG &amp; CO2 EMISSIONS'!U138</f>
        <v>82.320780671543517</v>
      </c>
      <c r="S91" s="4">
        <f>'GHG &amp; CO2 EMISSIONS'!V138</f>
        <v>80.918142811870453</v>
      </c>
      <c r="T91" s="4">
        <f>'GHG &amp; CO2 EMISSIONS'!W138</f>
        <v>80.52690362024029</v>
      </c>
      <c r="U91" s="4">
        <f>'GHG &amp; CO2 EMISSIONS'!X138</f>
        <v>77.391125624850247</v>
      </c>
      <c r="V91" s="4">
        <f>'GHG &amp; CO2 EMISSIONS'!Y138</f>
        <v>74.959623680937852</v>
      </c>
      <c r="W91" s="4">
        <f>'GHG &amp; CO2 EMISSIONS'!Z138</f>
        <v>73.345912233922689</v>
      </c>
      <c r="X91" s="4">
        <f>'GHG &amp; CO2 EMISSIONS'!AA138</f>
        <v>76.880228976504071</v>
      </c>
      <c r="Y91" s="4">
        <f>'GHG &amp; CO2 EMISSIONS'!AB138</f>
        <v>78.127303748409844</v>
      </c>
      <c r="Z91" s="4">
        <f>'GHG &amp; CO2 EMISSIONS'!AC138</f>
        <v>73.728859260918497</v>
      </c>
      <c r="AA91" s="4">
        <f>'GHG &amp; CO2 EMISSIONS'!AD138</f>
        <v>76.226829121416429</v>
      </c>
      <c r="AB91" s="4">
        <f>'GHG &amp; CO2 EMISSIONS'!AE138</f>
        <v>75.321401663014129</v>
      </c>
      <c r="AC91" s="4">
        <f>'GHG &amp; CO2 EMISSIONS'!AF138</f>
        <v>73.217619663768829</v>
      </c>
      <c r="AD91" s="4">
        <f>'GHG &amp; CO2 EMISSIONS'!AG138</f>
        <v>74.682882264743355</v>
      </c>
      <c r="AE91" s="4">
        <f>'GHG &amp; CO2 EMISSIONS'!AH138</f>
        <v>70.949988137088013</v>
      </c>
      <c r="AF91" s="4">
        <f>'GHG &amp; CO2 EMISSIONS'!AI138</f>
        <v>60.577978373136602</v>
      </c>
      <c r="AG91" s="4">
        <f>'GHG &amp; CO2 EMISSIONS'!AJ138</f>
        <v>64.435036422232614</v>
      </c>
      <c r="AH91" s="4">
        <f>'GHG &amp; CO2 EMISSIONS'!AK138</f>
        <v>57.372103935026765</v>
      </c>
    </row>
    <row r="92" spans="1:34">
      <c r="A92" s="1" t="s">
        <v>77</v>
      </c>
      <c r="B92" s="4">
        <f>'GHG &amp; CO2 EMISSIONS'!E134</f>
        <v>205.58454976702802</v>
      </c>
      <c r="C92" s="4">
        <f>'GHG &amp; CO2 EMISSIONS'!F134</f>
        <v>196.72047242405367</v>
      </c>
      <c r="D92" s="4">
        <f>'GHG &amp; CO2 EMISSIONS'!G134</f>
        <v>208.57655878902892</v>
      </c>
      <c r="E92" s="4">
        <f>'GHG &amp; CO2 EMISSIONS'!H134</f>
        <v>213.28611485904264</v>
      </c>
      <c r="F92" s="4">
        <f>'GHG &amp; CO2 EMISSIONS'!I134</f>
        <v>219.20116855183483</v>
      </c>
      <c r="G92" s="4">
        <f>'GHG &amp; CO2 EMISSIONS'!J134</f>
        <v>208.46983598970232</v>
      </c>
      <c r="H92" s="4">
        <f>'GHG &amp; CO2 EMISSIONS'!K134</f>
        <v>201.67221059982424</v>
      </c>
      <c r="I92" s="4">
        <f>'GHG &amp; CO2 EMISSIONS'!L134</f>
        <v>230.88979262080827</v>
      </c>
      <c r="J92" s="4">
        <f>'GHG &amp; CO2 EMISSIONS'!M134</f>
        <v>233.57184197489894</v>
      </c>
      <c r="K92" s="4">
        <f>'GHG &amp; CO2 EMISSIONS'!N134</f>
        <v>229.52331789324793</v>
      </c>
      <c r="L92" s="4">
        <f>'GHG &amp; CO2 EMISSIONS'!O134</f>
        <v>245.90539220593087</v>
      </c>
      <c r="M92" s="4">
        <f>'GHG &amp; CO2 EMISSIONS'!P134</f>
        <v>219.8073712805338</v>
      </c>
      <c r="N92" s="4">
        <f>'GHG &amp; CO2 EMISSIONS'!Q134</f>
        <v>225.87751266437988</v>
      </c>
      <c r="O92" s="4">
        <f>'GHG &amp; CO2 EMISSIONS'!R134</f>
        <v>235.87073177756645</v>
      </c>
      <c r="P92" s="4">
        <f>'GHG &amp; CO2 EMISSIONS'!S134</f>
        <v>238.05256548579754</v>
      </c>
      <c r="Q92" s="4">
        <f>'GHG &amp; CO2 EMISSIONS'!T134</f>
        <v>237.60708825919696</v>
      </c>
      <c r="R92" s="4">
        <f>'GHG &amp; CO2 EMISSIONS'!U134</f>
        <v>244.571151001868</v>
      </c>
      <c r="S92" s="4">
        <f>'GHG &amp; CO2 EMISSIONS'!V134</f>
        <v>223.45479078501606</v>
      </c>
      <c r="T92" s="4">
        <f>'GHG &amp; CO2 EMISSIONS'!W134</f>
        <v>244.26326686692573</v>
      </c>
      <c r="U92" s="4">
        <f>'GHG &amp; CO2 EMISSIONS'!X134</f>
        <v>226.51659948272976</v>
      </c>
      <c r="V92" s="4">
        <f>'GHG &amp; CO2 EMISSIONS'!Y134</f>
        <v>210.34665825989777</v>
      </c>
      <c r="W92" s="4">
        <f>'GHG &amp; CO2 EMISSIONS'!Z134</f>
        <v>199.96373773564881</v>
      </c>
      <c r="X92" s="4">
        <f>'GHG &amp; CO2 EMISSIONS'!AA134</f>
        <v>208.62663594691816</v>
      </c>
      <c r="Y92" s="4">
        <f>'GHG &amp; CO2 EMISSIONS'!AB134</f>
        <v>208.0106816623196</v>
      </c>
      <c r="Z92" s="4">
        <f>'GHG &amp; CO2 EMISSIONS'!AC134</f>
        <v>176.46611454018935</v>
      </c>
      <c r="AA92" s="4">
        <f>'GHG &amp; CO2 EMISSIONS'!AD134</f>
        <v>171.67527530941234</v>
      </c>
      <c r="AB92" s="4">
        <f>'GHG &amp; CO2 EMISSIONS'!AE134</f>
        <v>159.5393173416393</v>
      </c>
      <c r="AC92" s="4">
        <f>'GHG &amp; CO2 EMISSIONS'!AF134</f>
        <v>166.60562982889778</v>
      </c>
      <c r="AD92" s="4">
        <f>'GHG &amp; CO2 EMISSIONS'!AG134</f>
        <v>164.57007558728048</v>
      </c>
      <c r="AE92" s="4">
        <f>'GHG &amp; CO2 EMISSIONS'!AH134</f>
        <v>160.26630710303905</v>
      </c>
      <c r="AF92" s="4">
        <f>'GHG &amp; CO2 EMISSIONS'!AI134</f>
        <v>142.77786224946951</v>
      </c>
      <c r="AG92" s="4">
        <f>'GHG &amp; CO2 EMISSIONS'!AJ134</f>
        <v>142.14220593751131</v>
      </c>
      <c r="AH92" s="4">
        <f>'GHG &amp; CO2 EMISSIONS'!AK134</f>
        <v>126.85825749061858</v>
      </c>
    </row>
    <row r="93" spans="1:34">
      <c r="A93" s="1" t="s">
        <v>7</v>
      </c>
      <c r="B93" s="4">
        <f>'GHG &amp; CO2 EMISSIONS'!E166</f>
        <v>804.19490472746838</v>
      </c>
      <c r="C93" s="4">
        <f>'GHG &amp; CO2 EMISSIONS'!F166</f>
        <v>-378.37059401035367</v>
      </c>
      <c r="D93" s="4">
        <f>'GHG &amp; CO2 EMISSIONS'!G166</f>
        <v>2344.3273685670974</v>
      </c>
      <c r="E93" s="4">
        <f>'GHG &amp; CO2 EMISSIONS'!H166</f>
        <v>1506.9620187038781</v>
      </c>
      <c r="F93" s="4">
        <f>'GHG &amp; CO2 EMISSIONS'!I166</f>
        <v>2319.7289953898908</v>
      </c>
      <c r="G93" s="4">
        <f>'GHG &amp; CO2 EMISSIONS'!J166</f>
        <v>3848.128605617665</v>
      </c>
      <c r="H93" s="4">
        <f>'GHG &amp; CO2 EMISSIONS'!K166</f>
        <v>5894.0808967502053</v>
      </c>
      <c r="I93" s="4">
        <f>'GHG &amp; CO2 EMISSIONS'!L166</f>
        <v>7205.7819823602731</v>
      </c>
      <c r="J93" s="4">
        <f>'GHG &amp; CO2 EMISSIONS'!M166</f>
        <v>5145.8432197129005</v>
      </c>
      <c r="K93" s="4">
        <f>'GHG &amp; CO2 EMISSIONS'!N166</f>
        <v>4345.3953710550959</v>
      </c>
      <c r="L93" s="4">
        <f>'GHG &amp; CO2 EMISSIONS'!O166</f>
        <v>4446.7517624986467</v>
      </c>
      <c r="M93" s="4">
        <f>'GHG &amp; CO2 EMISSIONS'!P166</f>
        <v>6316.3158994714722</v>
      </c>
      <c r="N93" s="4">
        <f>'GHG &amp; CO2 EMISSIONS'!Q166</f>
        <v>8036.2522989608842</v>
      </c>
      <c r="O93" s="4">
        <f>'GHG &amp; CO2 EMISSIONS'!R166</f>
        <v>8983.1379307113566</v>
      </c>
      <c r="P93" s="4">
        <f>'GHG &amp; CO2 EMISSIONS'!S166</f>
        <v>8808.7108088529531</v>
      </c>
      <c r="Q93" s="4">
        <f>'GHG &amp; CO2 EMISSIONS'!T166</f>
        <v>12700.364983438085</v>
      </c>
      <c r="R93" s="4">
        <f>'GHG &amp; CO2 EMISSIONS'!U166</f>
        <v>14712.281927053875</v>
      </c>
      <c r="S93" s="4">
        <f>'GHG &amp; CO2 EMISSIONS'!V166</f>
        <v>15839.393649512516</v>
      </c>
      <c r="T93" s="4">
        <f>'GHG &amp; CO2 EMISSIONS'!W166</f>
        <v>8310.4031111584409</v>
      </c>
      <c r="U93" s="4">
        <f>'GHG &amp; CO2 EMISSIONS'!X166</f>
        <v>6556.8195556117171</v>
      </c>
      <c r="V93" s="4">
        <f>'GHG &amp; CO2 EMISSIONS'!Y166</f>
        <v>5820.6851076443563</v>
      </c>
      <c r="W93" s="4">
        <f>'GHG &amp; CO2 EMISSIONS'!Z166</f>
        <v>5147.1696895709101</v>
      </c>
      <c r="X93" s="4">
        <f>'GHG &amp; CO2 EMISSIONS'!AA166</f>
        <v>10049.84988987611</v>
      </c>
      <c r="Y93" s="4">
        <f>'GHG &amp; CO2 EMISSIONS'!AB166</f>
        <v>9314.1284288712304</v>
      </c>
      <c r="Z93" s="4">
        <f>'GHG &amp; CO2 EMISSIONS'!AC166</f>
        <v>9575.1523425953128</v>
      </c>
      <c r="AA93" s="4">
        <f>'GHG &amp; CO2 EMISSIONS'!AD166</f>
        <v>9865.6317079050932</v>
      </c>
      <c r="AB93" s="4">
        <f>'GHG &amp; CO2 EMISSIONS'!AE166</f>
        <v>8832.9339424128157</v>
      </c>
      <c r="AC93" s="4">
        <f>'GHG &amp; CO2 EMISSIONS'!AF166</f>
        <v>11889.485468258314</v>
      </c>
      <c r="AD93" s="4">
        <f>'GHG &amp; CO2 EMISSIONS'!AG166</f>
        <v>12973.511322762126</v>
      </c>
      <c r="AE93" s="4">
        <f>'GHG &amp; CO2 EMISSIONS'!AH166</f>
        <v>14806.004284417348</v>
      </c>
      <c r="AF93" s="4">
        <f>'GHG &amp; CO2 EMISSIONS'!AI166</f>
        <v>12618.067728962036</v>
      </c>
      <c r="AG93" s="4">
        <f>'GHG &amp; CO2 EMISSIONS'!AJ166</f>
        <v>13551.358778690934</v>
      </c>
      <c r="AH93" s="4">
        <f>'GHG &amp; CO2 EMISSIONS'!AK166</f>
        <v>12019.144996010771</v>
      </c>
    </row>
    <row r="94" spans="1:34">
      <c r="A94" s="1" t="s">
        <v>75</v>
      </c>
      <c r="B94" s="4">
        <f>'GHG &amp; CO2 EMISSIONS'!E126</f>
        <v>8174.4056690151119</v>
      </c>
      <c r="C94" s="4">
        <f>'GHG &amp; CO2 EMISSIONS'!F126</f>
        <v>8056.6014334438551</v>
      </c>
      <c r="D94" s="4">
        <f>'GHG &amp; CO2 EMISSIONS'!G126</f>
        <v>8192.8557738643794</v>
      </c>
      <c r="E94" s="4">
        <f>'GHG &amp; CO2 EMISSIONS'!H126</f>
        <v>8351.694374853445</v>
      </c>
      <c r="F94" s="4">
        <f>'GHG &amp; CO2 EMISSIONS'!I126</f>
        <v>8292.5126528964338</v>
      </c>
      <c r="G94" s="4">
        <f>'GHG &amp; CO2 EMISSIONS'!J126</f>
        <v>8398.015455782177</v>
      </c>
      <c r="H94" s="4">
        <f>'GHG &amp; CO2 EMISSIONS'!K126</f>
        <v>8443.572133179754</v>
      </c>
      <c r="I94" s="4">
        <f>'GHG &amp; CO2 EMISSIONS'!L126</f>
        <v>8533.5003290554487</v>
      </c>
      <c r="J94" s="4">
        <f>'GHG &amp; CO2 EMISSIONS'!M126</f>
        <v>8554.1335248824507</v>
      </c>
      <c r="K94" s="4">
        <f>'GHG &amp; CO2 EMISSIONS'!N126</f>
        <v>8763.4803632070525</v>
      </c>
      <c r="L94" s="4">
        <f>'GHG &amp; CO2 EMISSIONS'!O126</f>
        <v>8865.8860410250818</v>
      </c>
      <c r="M94" s="4">
        <f>'GHG &amp; CO2 EMISSIONS'!P126</f>
        <v>8809.0519759454419</v>
      </c>
      <c r="N94" s="4">
        <f>'GHG &amp; CO2 EMISSIONS'!Q126</f>
        <v>8952.6449459858813</v>
      </c>
      <c r="O94" s="4">
        <f>'GHG &amp; CO2 EMISSIONS'!R126</f>
        <v>8943.8897564101735</v>
      </c>
      <c r="P94" s="4">
        <f>'GHG &amp; CO2 EMISSIONS'!S126</f>
        <v>9065.1225376649891</v>
      </c>
      <c r="Q94" s="4">
        <f>'GHG &amp; CO2 EMISSIONS'!T126</f>
        <v>8933.3930389385769</v>
      </c>
      <c r="R94" s="4">
        <f>'GHG &amp; CO2 EMISSIONS'!U126</f>
        <v>9151.7692887157682</v>
      </c>
      <c r="S94" s="4">
        <f>'GHG &amp; CO2 EMISSIONS'!V126</f>
        <v>9403.9924903146566</v>
      </c>
      <c r="T94" s="4">
        <f>'GHG &amp; CO2 EMISSIONS'!W126</f>
        <v>9763.7960342511742</v>
      </c>
      <c r="U94" s="4">
        <f>'GHG &amp; CO2 EMISSIONS'!X126</f>
        <v>9730.1899373332744</v>
      </c>
      <c r="V94" s="4">
        <f>'GHG &amp; CO2 EMISSIONS'!Y126</f>
        <v>9606.6814331592395</v>
      </c>
      <c r="W94" s="4">
        <f>'GHG &amp; CO2 EMISSIONS'!Z126</f>
        <v>9463.5796358044863</v>
      </c>
      <c r="X94" s="4">
        <f>'GHG &amp; CO2 EMISSIONS'!AA126</f>
        <v>9464.8324132711459</v>
      </c>
      <c r="Y94" s="4">
        <f>'GHG &amp; CO2 EMISSIONS'!AB126</f>
        <v>9454.8936819798364</v>
      </c>
      <c r="Z94" s="4">
        <f>'GHG &amp; CO2 EMISSIONS'!AC126</f>
        <v>9406.3704361558976</v>
      </c>
      <c r="AA94" s="4">
        <f>'GHG &amp; CO2 EMISSIONS'!AD126</f>
        <v>9493.4959983174776</v>
      </c>
      <c r="AB94" s="4">
        <f>'GHG &amp; CO2 EMISSIONS'!AE126</f>
        <v>9427.5605637253593</v>
      </c>
      <c r="AC94" s="4">
        <f>'GHG &amp; CO2 EMISSIONS'!AF126</f>
        <v>9517.3780815977916</v>
      </c>
      <c r="AD94" s="4">
        <f>'GHG &amp; CO2 EMISSIONS'!AG126</f>
        <v>9561.0323188737639</v>
      </c>
      <c r="AE94" s="4">
        <f>'GHG &amp; CO2 EMISSIONS'!AH126</f>
        <v>9462.8739053600766</v>
      </c>
      <c r="AF94" s="4">
        <f>'GHG &amp; CO2 EMISSIONS'!AI126</f>
        <v>9265.7896233878637</v>
      </c>
      <c r="AG94" s="4">
        <f>'GHG &amp; CO2 EMISSIONS'!AJ126</f>
        <v>9431.0733344894215</v>
      </c>
      <c r="AH94" s="4">
        <f>'GHG &amp; CO2 EMISSIONS'!AK126</f>
        <v>9541.9791294024326</v>
      </c>
    </row>
    <row r="95" spans="1:34">
      <c r="A95" s="1" t="s">
        <v>74</v>
      </c>
      <c r="B95" s="4">
        <f>'GHG &amp; CO2 EMISSIONS'!E122</f>
        <v>88600.470209013176</v>
      </c>
      <c r="C95" s="4">
        <f>'GHG &amp; CO2 EMISSIONS'!F122</f>
        <v>82014.713894240733</v>
      </c>
      <c r="D95" s="4">
        <f>'GHG &amp; CO2 EMISSIONS'!G122</f>
        <v>71744.335150528859</v>
      </c>
      <c r="E95" s="4">
        <f>'GHG &amp; CO2 EMISSIONS'!H122</f>
        <v>64693.481212303806</v>
      </c>
      <c r="F95" s="4">
        <f>'GHG &amp; CO2 EMISSIONS'!I122</f>
        <v>42716.663102795392</v>
      </c>
      <c r="G95" s="4">
        <f>'GHG &amp; CO2 EMISSIONS'!J122</f>
        <v>35011.933344289726</v>
      </c>
      <c r="H95" s="4">
        <f>'GHG &amp; CO2 EMISSIONS'!K122</f>
        <v>36500.384413778171</v>
      </c>
      <c r="I95" s="4">
        <f>'GHG &amp; CO2 EMISSIONS'!L122</f>
        <v>37256.089899406688</v>
      </c>
      <c r="J95" s="4">
        <f>'GHG &amp; CO2 EMISSIONS'!M122</f>
        <v>37271.294689104099</v>
      </c>
      <c r="K95" s="4">
        <f>'GHG &amp; CO2 EMISSIONS'!N122</f>
        <v>29244.589829493587</v>
      </c>
      <c r="L95" s="4">
        <f>'GHG &amp; CO2 EMISSIONS'!O122</f>
        <v>24987.943470078506</v>
      </c>
      <c r="M95" s="4">
        <f>'GHG &amp; CO2 EMISSIONS'!P122</f>
        <v>25280.705571268867</v>
      </c>
      <c r="N95" s="4">
        <f>'GHG &amp; CO2 EMISSIONS'!Q122</f>
        <v>26670.940273560722</v>
      </c>
      <c r="O95" s="4">
        <f>'GHG &amp; CO2 EMISSIONS'!R122</f>
        <v>30626.983150700362</v>
      </c>
      <c r="P95" s="4">
        <f>'GHG &amp; CO2 EMISSIONS'!S122</f>
        <v>31320.164042880569</v>
      </c>
      <c r="Q95" s="4">
        <f>'GHG &amp; CO2 EMISSIONS'!T122</f>
        <v>30686.066327763841</v>
      </c>
      <c r="R95" s="4">
        <f>'GHG &amp; CO2 EMISSIONS'!U122</f>
        <v>30323.511699050283</v>
      </c>
      <c r="S95" s="4">
        <f>'GHG &amp; CO2 EMISSIONS'!V122</f>
        <v>26736.933677551118</v>
      </c>
      <c r="T95" s="4">
        <f>'GHG &amp; CO2 EMISSIONS'!W122</f>
        <v>29386.025718343619</v>
      </c>
      <c r="U95" s="4">
        <f>'GHG &amp; CO2 EMISSIONS'!X122</f>
        <v>23133.510200806813</v>
      </c>
      <c r="V95" s="4">
        <f>'GHG &amp; CO2 EMISSIONS'!Y122</f>
        <v>21640.613404333715</v>
      </c>
      <c r="W95" s="4">
        <f>'GHG &amp; CO2 EMISSIONS'!Z122</f>
        <v>21467.215683772352</v>
      </c>
      <c r="X95" s="4">
        <f>'GHG &amp; CO2 EMISSIONS'!AA122</f>
        <v>24356.166725784089</v>
      </c>
      <c r="Y95" s="4">
        <f>'GHG &amp; CO2 EMISSIONS'!AB122</f>
        <v>23857.907828843228</v>
      </c>
      <c r="Z95" s="4">
        <f>'GHG &amp; CO2 EMISSIONS'!AC122</f>
        <v>24283.748202193841</v>
      </c>
      <c r="AA95" s="4">
        <f>'GHG &amp; CO2 EMISSIONS'!AD122</f>
        <v>21773.289402839808</v>
      </c>
      <c r="AB95" s="4">
        <f>'GHG &amp; CO2 EMISSIONS'!AE122</f>
        <v>25546.619817311603</v>
      </c>
      <c r="AC95" s="4">
        <f>'GHG &amp; CO2 EMISSIONS'!AF122</f>
        <v>31993.853827878207</v>
      </c>
      <c r="AD95" s="4">
        <f>'GHG &amp; CO2 EMISSIONS'!AG122</f>
        <v>33305.475415232468</v>
      </c>
      <c r="AE95" s="4">
        <f>'GHG &amp; CO2 EMISSIONS'!AH122</f>
        <v>37607.132588104047</v>
      </c>
      <c r="AF95" s="4">
        <f>'GHG &amp; CO2 EMISSIONS'!AI122</f>
        <v>32046.547769727975</v>
      </c>
      <c r="AG95" s="4">
        <f>'GHG &amp; CO2 EMISSIONS'!AJ122</f>
        <v>28367.549190974925</v>
      </c>
      <c r="AH95" s="4">
        <f>'GHG &amp; CO2 EMISSIONS'!AK122</f>
        <v>25020.929934791755</v>
      </c>
    </row>
    <row r="96" spans="1:34">
      <c r="A96" s="1" t="s">
        <v>80</v>
      </c>
      <c r="B96" s="4">
        <f>'GHG &amp; CO2 EMISSIONS'!E146</f>
        <v>41101.096524178625</v>
      </c>
      <c r="C96" s="4">
        <f>'GHG &amp; CO2 EMISSIONS'!F146</f>
        <v>40048.89895828232</v>
      </c>
      <c r="D96" s="4">
        <f>'GHG &amp; CO2 EMISSIONS'!G146</f>
        <v>41550.409534367056</v>
      </c>
      <c r="E96" s="4">
        <f>'GHG &amp; CO2 EMISSIONS'!H146</f>
        <v>38240.024522207284</v>
      </c>
      <c r="F96" s="4">
        <f>'GHG &amp; CO2 EMISSIONS'!I146</f>
        <v>39650.54563593131</v>
      </c>
      <c r="G96" s="4">
        <f>'GHG &amp; CO2 EMISSIONS'!J146</f>
        <v>39036.733489456012</v>
      </c>
      <c r="H96" s="4">
        <f>'GHG &amp; CO2 EMISSIONS'!K146</f>
        <v>37795.037123454538</v>
      </c>
      <c r="I96" s="4">
        <f>'GHG &amp; CO2 EMISSIONS'!L146</f>
        <v>39043.123216954722</v>
      </c>
      <c r="J96" s="4">
        <f>'GHG &amp; CO2 EMISSIONS'!M146</f>
        <v>41397.334476328841</v>
      </c>
      <c r="K96" s="4">
        <f>'GHG &amp; CO2 EMISSIONS'!N146</f>
        <v>42628.263898754711</v>
      </c>
      <c r="L96" s="4">
        <f>'GHG &amp; CO2 EMISSIONS'!O146</f>
        <v>47970.96872931187</v>
      </c>
      <c r="M96" s="4">
        <f>'GHG &amp; CO2 EMISSIONS'!P146</f>
        <v>44282.858308141513</v>
      </c>
      <c r="N96" s="4">
        <f>'GHG &amp; CO2 EMISSIONS'!Q146</f>
        <v>40863.634183973962</v>
      </c>
      <c r="O96" s="4">
        <f>'GHG &amp; CO2 EMISSIONS'!R146</f>
        <v>42635.996512359816</v>
      </c>
      <c r="P96" s="4">
        <f>'GHG &amp; CO2 EMISSIONS'!S146</f>
        <v>41741.867389819832</v>
      </c>
      <c r="Q96" s="4">
        <f>'GHG &amp; CO2 EMISSIONS'!T146</f>
        <v>42506.030415039131</v>
      </c>
      <c r="R96" s="4">
        <f>'GHG &amp; CO2 EMISSIONS'!U146</f>
        <v>44792.763437582274</v>
      </c>
      <c r="S96" s="4">
        <f>'GHG &amp; CO2 EMISSIONS'!V146</f>
        <v>42480.345918365085</v>
      </c>
      <c r="T96" s="4">
        <f>'GHG &amp; CO2 EMISSIONS'!W146</f>
        <v>42590.81240400915</v>
      </c>
      <c r="U96" s="4">
        <f>'GHG &amp; CO2 EMISSIONS'!X146</f>
        <v>41071.538927800248</v>
      </c>
      <c r="V96" s="4">
        <f>'GHG &amp; CO2 EMISSIONS'!Y146</f>
        <v>41855.837841838009</v>
      </c>
      <c r="W96" s="4">
        <f>'GHG &amp; CO2 EMISSIONS'!Z146</f>
        <v>39770.706206662202</v>
      </c>
      <c r="X96" s="4">
        <f>'GHG &amp; CO2 EMISSIONS'!AA146</f>
        <v>40537.163072015581</v>
      </c>
      <c r="Y96" s="4">
        <f>'GHG &amp; CO2 EMISSIONS'!AB146</f>
        <v>41300.983470254687</v>
      </c>
      <c r="Z96" s="4">
        <f>'GHG &amp; CO2 EMISSIONS'!AC146</f>
        <v>38456.161112955058</v>
      </c>
      <c r="AA96" s="4">
        <f>'GHG &amp; CO2 EMISSIONS'!AD146</f>
        <v>37114.257431099853</v>
      </c>
      <c r="AB96" s="4">
        <f>'GHG &amp; CO2 EMISSIONS'!AE146</f>
        <v>37068.15272051761</v>
      </c>
      <c r="AC96" s="4">
        <f>'GHG &amp; CO2 EMISSIONS'!AF146</f>
        <v>36771.916001628546</v>
      </c>
      <c r="AD96" s="4">
        <f>'GHG &amp; CO2 EMISSIONS'!AG146</f>
        <v>36913.189753476683</v>
      </c>
      <c r="AE96" s="4">
        <f>'GHG &amp; CO2 EMISSIONS'!AH146</f>
        <v>36030.866707978857</v>
      </c>
      <c r="AF96" s="4">
        <f>'GHG &amp; CO2 EMISSIONS'!AI146</f>
        <v>33516.484167836657</v>
      </c>
      <c r="AG96" s="4">
        <f>'GHG &amp; CO2 EMISSIONS'!AJ146</f>
        <v>34443.997588833539</v>
      </c>
      <c r="AH96" s="4">
        <f>'GHG &amp; CO2 EMISSIONS'!AK146</f>
        <v>33183.45087530381</v>
      </c>
    </row>
    <row r="97" spans="1:34">
      <c r="A97" s="1" t="s">
        <v>79</v>
      </c>
      <c r="B97" s="4">
        <f>'GHG &amp; CO2 EMISSIONS'!E142</f>
        <v>22348.77252917425</v>
      </c>
      <c r="C97" s="4">
        <f>'GHG &amp; CO2 EMISSIONS'!F142</f>
        <v>19703.03027623349</v>
      </c>
      <c r="D97" s="4">
        <f>'GHG &amp; CO2 EMISSIONS'!G142</f>
        <v>21034.311487798252</v>
      </c>
      <c r="E97" s="4">
        <f>'GHG &amp; CO2 EMISSIONS'!H142</f>
        <v>21621.896848269702</v>
      </c>
      <c r="F97" s="4">
        <f>'GHG &amp; CO2 EMISSIONS'!I142</f>
        <v>24674.411561306384</v>
      </c>
      <c r="G97" s="4">
        <f>'GHG &amp; CO2 EMISSIONS'!J142</f>
        <v>22745.798201472302</v>
      </c>
      <c r="H97" s="4">
        <f>'GHG &amp; CO2 EMISSIONS'!K142</f>
        <v>30219.828434470604</v>
      </c>
      <c r="I97" s="4">
        <f>'GHG &amp; CO2 EMISSIONS'!L142</f>
        <v>27478.898582418577</v>
      </c>
      <c r="J97" s="4">
        <f>'GHG &amp; CO2 EMISSIONS'!M142</f>
        <v>26394.485005188384</v>
      </c>
      <c r="K97" s="4">
        <f>'GHG &amp; CO2 EMISSIONS'!N142</f>
        <v>21738.100180616602</v>
      </c>
      <c r="L97" s="4">
        <f>'GHG &amp; CO2 EMISSIONS'!O142</f>
        <v>23824.844290812682</v>
      </c>
      <c r="M97" s="4">
        <f>'GHG &amp; CO2 EMISSIONS'!P142</f>
        <v>20402.399153788258</v>
      </c>
      <c r="N97" s="4">
        <f>'GHG &amp; CO2 EMISSIONS'!Q142</f>
        <v>18215.192471761242</v>
      </c>
      <c r="O97" s="4">
        <f>'GHG &amp; CO2 EMISSIONS'!R142</f>
        <v>20483.391396676692</v>
      </c>
      <c r="P97" s="4">
        <f>'GHG &amp; CO2 EMISSIONS'!S142</f>
        <v>20411.34043149032</v>
      </c>
      <c r="Q97" s="4">
        <f>'GHG &amp; CO2 EMISSIONS'!T142</f>
        <v>17610.521394738491</v>
      </c>
      <c r="R97" s="4">
        <f>'GHG &amp; CO2 EMISSIONS'!U142</f>
        <v>23146.360567203188</v>
      </c>
      <c r="S97" s="4">
        <f>'GHG &amp; CO2 EMISSIONS'!V142</f>
        <v>23382.90161436619</v>
      </c>
      <c r="T97" s="4">
        <f>'GHG &amp; CO2 EMISSIONS'!W142</f>
        <v>17599.635635521256</v>
      </c>
      <c r="U97" s="4">
        <f>'GHG &amp; CO2 EMISSIONS'!X142</f>
        <v>17440.035242302092</v>
      </c>
      <c r="V97" s="4">
        <f>'GHG &amp; CO2 EMISSIONS'!Y142</f>
        <v>18708.759600714999</v>
      </c>
      <c r="W97" s="4">
        <f>'GHG &amp; CO2 EMISSIONS'!Z142</f>
        <v>18586.562858475339</v>
      </c>
      <c r="X97" s="4">
        <f>'GHG &amp; CO2 EMISSIONS'!AA142</f>
        <v>18985.747801430189</v>
      </c>
      <c r="Y97" s="4">
        <f>'GHG &amp; CO2 EMISSIONS'!AB142</f>
        <v>22708.712333096792</v>
      </c>
      <c r="Z97" s="4">
        <f>'GHG &amp; CO2 EMISSIONS'!AC142</f>
        <v>25464.299776765914</v>
      </c>
      <c r="AA97" s="4">
        <f>'GHG &amp; CO2 EMISSIONS'!AD142</f>
        <v>29818.485151606979</v>
      </c>
      <c r="AB97" s="4">
        <f>'GHG &amp; CO2 EMISSIONS'!AE142</f>
        <v>30363.528892945291</v>
      </c>
      <c r="AC97" s="4">
        <f>'GHG &amp; CO2 EMISSIONS'!AF142</f>
        <v>27572.034419536416</v>
      </c>
      <c r="AD97" s="4">
        <f>'GHG &amp; CO2 EMISSIONS'!AG142</f>
        <v>30766.751664831521</v>
      </c>
      <c r="AE97" s="4">
        <f>'GHG &amp; CO2 EMISSIONS'!AH142</f>
        <v>33420.122946078023</v>
      </c>
      <c r="AF97" s="4">
        <f>'GHG &amp; CO2 EMISSIONS'!AI142</f>
        <v>24481.775895129911</v>
      </c>
      <c r="AG97" s="4">
        <f>'GHG &amp; CO2 EMISSIONS'!AJ142</f>
        <v>28693.019318818529</v>
      </c>
      <c r="AH97" s="4">
        <f>'GHG &amp; CO2 EMISSIONS'!AK142</f>
        <v>26481.439215265516</v>
      </c>
    </row>
    <row r="98" spans="1:34">
      <c r="A98" s="1" t="s">
        <v>82</v>
      </c>
      <c r="B98" s="4">
        <f>'GHG &amp; CO2 EMISSIONS'!E154</f>
        <v>659261.64757352171</v>
      </c>
      <c r="C98" s="4">
        <f>'GHG &amp; CO2 EMISSIONS'!F154</f>
        <v>578166.46554473927</v>
      </c>
      <c r="D98" s="4">
        <f>'GHG &amp; CO2 EMISSIONS'!G154</f>
        <v>535990.68998824817</v>
      </c>
      <c r="E98" s="4">
        <f>'GHG &amp; CO2 EMISSIONS'!H154</f>
        <v>462943.92250105581</v>
      </c>
      <c r="F98" s="4">
        <f>'GHG &amp; CO2 EMISSIONS'!I154</f>
        <v>370133.44189573015</v>
      </c>
      <c r="G98" s="4">
        <f>'GHG &amp; CO2 EMISSIONS'!J154</f>
        <v>344574.63415848266</v>
      </c>
      <c r="H98" s="4">
        <f>'GHG &amp; CO2 EMISSIONS'!K154</f>
        <v>312592.20198265644</v>
      </c>
      <c r="I98" s="4">
        <f>'GHG &amp; CO2 EMISSIONS'!L154</f>
        <v>307252.62444121391</v>
      </c>
      <c r="J98" s="4">
        <f>'GHG &amp; CO2 EMISSIONS'!M154</f>
        <v>291311.71486939763</v>
      </c>
      <c r="K98" s="4">
        <f>'GHG &amp; CO2 EMISSIONS'!N154</f>
        <v>259081.90358043078</v>
      </c>
      <c r="L98" s="4">
        <f>'GHG &amp; CO2 EMISSIONS'!O154</f>
        <v>252575.08262025067</v>
      </c>
      <c r="M98" s="4">
        <f>'GHG &amp; CO2 EMISSIONS'!P154</f>
        <v>279142.16753250366</v>
      </c>
      <c r="N98" s="4">
        <f>'GHG &amp; CO2 EMISSIONS'!Q154</f>
        <v>273500.94136251888</v>
      </c>
      <c r="O98" s="4">
        <f>'GHG &amp; CO2 EMISSIONS'!R154</f>
        <v>275197.93339339615</v>
      </c>
      <c r="P98" s="4">
        <f>'GHG &amp; CO2 EMISSIONS'!S154</f>
        <v>292041.57915403653</v>
      </c>
      <c r="Q98" s="4">
        <f>'GHG &amp; CO2 EMISSIONS'!T154</f>
        <v>295486.29961476545</v>
      </c>
      <c r="R98" s="4">
        <f>'GHG &amp; CO2 EMISSIONS'!U154</f>
        <v>310967.04677888699</v>
      </c>
      <c r="S98" s="4">
        <f>'GHG &amp; CO2 EMISSIONS'!V154</f>
        <v>313475.04480365751</v>
      </c>
      <c r="T98" s="4">
        <f>'GHG &amp; CO2 EMISSIONS'!W154</f>
        <v>315625.4925450625</v>
      </c>
      <c r="U98" s="4">
        <f>'GHG &amp; CO2 EMISSIONS'!X154</f>
        <v>262006.93257553739</v>
      </c>
      <c r="V98" s="4">
        <f>'GHG &amp; CO2 EMISSIONS'!Y154</f>
        <v>273529.10625313636</v>
      </c>
      <c r="W98" s="4">
        <f>'GHG &amp; CO2 EMISSIONS'!Z154</f>
        <v>301574.22650090558</v>
      </c>
      <c r="X98" s="4">
        <f>'GHG &amp; CO2 EMISSIONS'!AA154</f>
        <v>293829.60338372615</v>
      </c>
      <c r="Y98" s="4">
        <f>'GHG &amp; CO2 EMISSIONS'!AB154</f>
        <v>299225.99094033806</v>
      </c>
      <c r="Z98" s="4">
        <f>'GHG &amp; CO2 EMISSIONS'!AC154</f>
        <v>260540.4834712056</v>
      </c>
      <c r="AA98" s="4">
        <f>'GHG &amp; CO2 EMISSIONS'!AD154</f>
        <v>228043.97049344683</v>
      </c>
      <c r="AB98" s="4">
        <f>'GHG &amp; CO2 EMISSIONS'!AE154</f>
        <v>240248.26602232381</v>
      </c>
      <c r="AC98" s="4">
        <f>'GHG &amp; CO2 EMISSIONS'!AF154</f>
        <v>220831.75726235969</v>
      </c>
      <c r="AD98" s="4">
        <f>'GHG &amp; CO2 EMISSIONS'!AG154</f>
        <v>239069.11365151344</v>
      </c>
      <c r="AE98" s="4">
        <f>'GHG &amp; CO2 EMISSIONS'!AH154</f>
        <v>227299.56515219677</v>
      </c>
      <c r="AF98" s="4">
        <f>'GHG &amp; CO2 EMISSIONS'!AI154</f>
        <v>191204.99040454888</v>
      </c>
      <c r="AG98" s="4">
        <f>'GHG &amp; CO2 EMISSIONS'!AJ154</f>
        <v>205439.82893854106</v>
      </c>
      <c r="AH98" s="4">
        <f>'GHG &amp; CO2 EMISSIONS'!AK154</f>
        <v>127732.85702847769</v>
      </c>
    </row>
    <row r="99" spans="1:34">
      <c r="A99" s="1" t="s">
        <v>76</v>
      </c>
      <c r="B99" s="4">
        <f>'GHG &amp; CO2 EMISSIONS'!E130</f>
        <v>262589.04276168003</v>
      </c>
      <c r="C99" s="4">
        <f>'GHG &amp; CO2 EMISSIONS'!F130</f>
        <v>255790.27733344358</v>
      </c>
      <c r="D99" s="4">
        <f>'GHG &amp; CO2 EMISSIONS'!G130</f>
        <v>229086.25483674236</v>
      </c>
      <c r="E99" s="4">
        <f>'GHG &amp; CO2 EMISSIONS'!H130</f>
        <v>203309.40931605667</v>
      </c>
      <c r="F99" s="4">
        <f>'GHG &amp; CO2 EMISSIONS'!I130</f>
        <v>179367.26839289974</v>
      </c>
      <c r="G99" s="4">
        <f>'GHG &amp; CO2 EMISSIONS'!J130</f>
        <v>182110.70559263829</v>
      </c>
      <c r="H99" s="4">
        <f>'GHG &amp; CO2 EMISSIONS'!K130</f>
        <v>177304.20311893773</v>
      </c>
      <c r="I99" s="4">
        <f>'GHG &amp; CO2 EMISSIONS'!L130</f>
        <v>178825.65245614888</v>
      </c>
      <c r="J99" s="4">
        <f>'GHG &amp; CO2 EMISSIONS'!M130</f>
        <v>186103.33411825253</v>
      </c>
      <c r="K99" s="4">
        <f>'GHG &amp; CO2 EMISSIONS'!N130</f>
        <v>155893.70475067102</v>
      </c>
      <c r="L99" s="4">
        <f>'GHG &amp; CO2 EMISSIONS'!O130</f>
        <v>175982.63923901189</v>
      </c>
      <c r="M99" s="4">
        <f>'GHG &amp; CO2 EMISSIONS'!P130</f>
        <v>171408.89621364311</v>
      </c>
      <c r="N99" s="4">
        <f>'GHG &amp; CO2 EMISSIONS'!Q130</f>
        <v>189726.9772329132</v>
      </c>
      <c r="O99" s="4">
        <f>'GHG &amp; CO2 EMISSIONS'!R130</f>
        <v>207567.66618401214</v>
      </c>
      <c r="P99" s="4">
        <f>'GHG &amp; CO2 EMISSIONS'!S130</f>
        <v>224215.38705652553</v>
      </c>
      <c r="Q99" s="4">
        <f>'GHG &amp; CO2 EMISSIONS'!T130</f>
        <v>243382.09796053611</v>
      </c>
      <c r="R99" s="4">
        <f>'GHG &amp; CO2 EMISSIONS'!U130</f>
        <v>270730.23537760793</v>
      </c>
      <c r="S99" s="4">
        <f>'GHG &amp; CO2 EMISSIONS'!V130</f>
        <v>274637.20948813838</v>
      </c>
      <c r="T99" s="4">
        <f>'GHG &amp; CO2 EMISSIONS'!W130</f>
        <v>272854.59378163965</v>
      </c>
      <c r="U99" s="4">
        <f>'GHG &amp; CO2 EMISSIONS'!X130</f>
        <v>265297.92289645772</v>
      </c>
      <c r="V99" s="4">
        <f>'GHG &amp; CO2 EMISSIONS'!Y130</f>
        <v>285899.95204348845</v>
      </c>
      <c r="W99" s="4">
        <f>'GHG &amp; CO2 EMISSIONS'!Z130</f>
        <v>264228.20636762946</v>
      </c>
      <c r="X99" s="4">
        <f>'GHG &amp; CO2 EMISSIONS'!AA130</f>
        <v>259755.32834091817</v>
      </c>
      <c r="Y99" s="4">
        <f>'GHG &amp; CO2 EMISSIONS'!AB130</f>
        <v>256495.03254511487</v>
      </c>
      <c r="Z99" s="4">
        <f>'GHG &amp; CO2 EMISSIONS'!AC130</f>
        <v>305704.81604848104</v>
      </c>
      <c r="AA99" s="4">
        <f>'GHG &amp; CO2 EMISSIONS'!AD130</f>
        <v>313477.18640911637</v>
      </c>
      <c r="AB99" s="4">
        <f>'GHG &amp; CO2 EMISSIONS'!AE130</f>
        <v>315811.63472565665</v>
      </c>
      <c r="AC99" s="4">
        <f>'GHG &amp; CO2 EMISSIONS'!AF130</f>
        <v>335557.44038270228</v>
      </c>
      <c r="AD99" s="4">
        <f>'GHG &amp; CO2 EMISSIONS'!AG130</f>
        <v>351146.1317627274</v>
      </c>
      <c r="AE99" s="4">
        <f>'GHG &amp; CO2 EMISSIONS'!AH130</f>
        <v>315164.73560495389</v>
      </c>
      <c r="AF99" s="4">
        <f>'GHG &amp; CO2 EMISSIONS'!AI130</f>
        <v>297752.82299400924</v>
      </c>
      <c r="AG99" s="4">
        <f>'GHG &amp; CO2 EMISSIONS'!AJ130</f>
        <v>249480.85946379392</v>
      </c>
      <c r="AH99" s="4">
        <f>'GHG &amp; CO2 EMISSIONS'!AK130</f>
        <v>278292.07611730829</v>
      </c>
    </row>
    <row r="100" spans="1:34">
      <c r="A100" s="1" t="s">
        <v>81</v>
      </c>
      <c r="B100" s="4">
        <f>'GHG &amp; CO2 EMISSIONS'!E150</f>
        <v>87568.376569147717</v>
      </c>
      <c r="C100" s="4">
        <f>'GHG &amp; CO2 EMISSIONS'!F150</f>
        <v>93070.735045485766</v>
      </c>
      <c r="D100" s="4">
        <f>'GHG &amp; CO2 EMISSIONS'!G150</f>
        <v>99116.917933367513</v>
      </c>
      <c r="E100" s="4">
        <f>'GHG &amp; CO2 EMISSIONS'!H150</f>
        <v>106949.17736993641</v>
      </c>
      <c r="F100" s="4">
        <f>'GHG &amp; CO2 EMISSIONS'!I150</f>
        <v>101667.29130433807</v>
      </c>
      <c r="G100" s="4">
        <f>'GHG &amp; CO2 EMISSIONS'!J150</f>
        <v>116108.41128433486</v>
      </c>
      <c r="H100" s="4">
        <f>'GHG &amp; CO2 EMISSIONS'!K150</f>
        <v>135099.5894196493</v>
      </c>
      <c r="I100" s="4">
        <f>'GHG &amp; CO2 EMISSIONS'!L150</f>
        <v>144409.18266009426</v>
      </c>
      <c r="J100" s="4">
        <f>'GHG &amp; CO2 EMISSIONS'!M150</f>
        <v>144333.80148544375</v>
      </c>
      <c r="K100" s="4">
        <f>'GHG &amp; CO2 EMISSIONS'!N150</f>
        <v>139392.11373007152</v>
      </c>
      <c r="L100" s="4">
        <f>'GHG &amp; CO2 EMISSIONS'!O150</f>
        <v>163915.42353887123</v>
      </c>
      <c r="M100" s="4">
        <f>'GHG &amp; CO2 EMISSIONS'!P150</f>
        <v>145481.04816225069</v>
      </c>
      <c r="N100" s="4">
        <f>'GHG &amp; CO2 EMISSIONS'!Q150</f>
        <v>154262.16551938915</v>
      </c>
      <c r="O100" s="4">
        <f>'GHG &amp; CO2 EMISSIONS'!R150</f>
        <v>167859.99158169513</v>
      </c>
      <c r="P100" s="4">
        <f>'GHG &amp; CO2 EMISSIONS'!S150</f>
        <v>177177.71653727669</v>
      </c>
      <c r="Q100" s="4">
        <f>'GHG &amp; CO2 EMISSIONS'!T150</f>
        <v>194724.3883888406</v>
      </c>
      <c r="R100" s="4">
        <f>'GHG &amp; CO2 EMISSIONS'!U150</f>
        <v>212924.35977244034</v>
      </c>
      <c r="S100" s="4">
        <f>'GHG &amp; CO2 EMISSIONS'!V150</f>
        <v>243520.35478855768</v>
      </c>
      <c r="T100" s="4">
        <f>'GHG &amp; CO2 EMISSIONS'!W150</f>
        <v>243455.00212882581</v>
      </c>
      <c r="U100" s="4">
        <f>'GHG &amp; CO2 EMISSIONS'!X150</f>
        <v>246677.37638307235</v>
      </c>
      <c r="V100" s="4">
        <f>'GHG &amp; CO2 EMISSIONS'!Y150</f>
        <v>245436.83175915043</v>
      </c>
      <c r="W100" s="4">
        <f>'GHG &amp; CO2 EMISSIONS'!Z150</f>
        <v>267337.33773339516</v>
      </c>
      <c r="X100" s="4">
        <f>'GHG &amp; CO2 EMISSIONS'!AA150</f>
        <v>283874.26553644746</v>
      </c>
      <c r="Y100" s="4">
        <f>'GHG &amp; CO2 EMISSIONS'!AB150</f>
        <v>272630.47881748562</v>
      </c>
      <c r="Z100" s="4">
        <f>'GHG &amp; CO2 EMISSIONS'!AC150</f>
        <v>288739.19765086233</v>
      </c>
      <c r="AA100" s="4">
        <f>'GHG &amp; CO2 EMISSIONS'!AD150</f>
        <v>313402.04036712676</v>
      </c>
      <c r="AB100" s="4">
        <f>'GHG &amp; CO2 EMISSIONS'!AE150</f>
        <v>330781.57869668928</v>
      </c>
      <c r="AC100" s="4">
        <f>'GHG &amp; CO2 EMISSIONS'!AF150</f>
        <v>353190.01081671583</v>
      </c>
      <c r="AD100" s="4">
        <f>'GHG &amp; CO2 EMISSIONS'!AG150</f>
        <v>351687.57078043203</v>
      </c>
      <c r="AE100" s="4">
        <f>'GHG &amp; CO2 EMISSIONS'!AH150</f>
        <v>339887.10676988639</v>
      </c>
      <c r="AF100" s="4">
        <f>'GHG &amp; CO2 EMISSIONS'!AI150</f>
        <v>356519.13782412134</v>
      </c>
      <c r="AG100" s="4">
        <f>'GHG &amp; CO2 EMISSIONS'!AJ150</f>
        <v>406152.84269016725</v>
      </c>
      <c r="AH100" s="4">
        <f>'GHG &amp; CO2 EMISSIONS'!AK150</f>
        <v>385185.31164616998</v>
      </c>
    </row>
    <row r="101" spans="1:34">
      <c r="A101" s="1" t="s">
        <v>106</v>
      </c>
      <c r="B101" s="4">
        <f>'GHG &amp; CO2 EMISSIONS'!E118</f>
        <v>431510</v>
      </c>
      <c r="C101" s="4">
        <f>'GHG &amp; CO2 EMISSIONS'!F118</f>
        <v>413318</v>
      </c>
      <c r="D101" s="4">
        <f>'GHG &amp; CO2 EMISSIONS'!G118</f>
        <v>375937</v>
      </c>
      <c r="E101" s="4">
        <f>'GHG &amp; CO2 EMISSIONS'!H118</f>
        <v>359755</v>
      </c>
      <c r="F101" s="4">
        <f>'GHG &amp; CO2 EMISSIONS'!I118</f>
        <v>354738</v>
      </c>
      <c r="G101" s="4">
        <f>'GHG &amp; CO2 EMISSIONS'!J118</f>
        <v>345200</v>
      </c>
      <c r="H101" s="4">
        <f>'GHG &amp; CO2 EMISSIONS'!K118</f>
        <v>345876</v>
      </c>
      <c r="I101" s="4">
        <f>'GHG &amp; CO2 EMISSIONS'!L118</f>
        <v>340403</v>
      </c>
      <c r="J101" s="4">
        <f>'GHG &amp; CO2 EMISSIONS'!M118</f>
        <v>357127</v>
      </c>
      <c r="K101" s="4">
        <f>'GHG &amp; CO2 EMISSIONS'!N118</f>
        <v>379961</v>
      </c>
      <c r="L101" s="4">
        <f>'GHG &amp; CO2 EMISSIONS'!O118</f>
        <v>393288</v>
      </c>
      <c r="M101" s="4">
        <f>'GHG &amp; CO2 EMISSIONS'!P118</f>
        <v>410626</v>
      </c>
      <c r="N101" s="4">
        <f>'GHG &amp; CO2 EMISSIONS'!Q118</f>
        <v>415879</v>
      </c>
      <c r="O101" s="4">
        <f>'GHG &amp; CO2 EMISSIONS'!R118</f>
        <v>423081</v>
      </c>
      <c r="P101" s="4">
        <f>'GHG &amp; CO2 EMISSIONS'!S118</f>
        <v>406361</v>
      </c>
      <c r="Q101" s="4">
        <f>'GHG &amp; CO2 EMISSIONS'!T118</f>
        <v>437317</v>
      </c>
      <c r="R101" s="4">
        <f>'GHG &amp; CO2 EMISSIONS'!U118</f>
        <v>473020</v>
      </c>
      <c r="S101" s="4">
        <f>'GHG &amp; CO2 EMISSIONS'!V118</f>
        <v>453220</v>
      </c>
      <c r="T101" s="4">
        <f>'GHG &amp; CO2 EMISSIONS'!W118</f>
        <v>445086</v>
      </c>
      <c r="U101" s="4">
        <f>'GHG &amp; CO2 EMISSIONS'!X118</f>
        <v>438634</v>
      </c>
      <c r="V101" s="4">
        <f>'GHG &amp; CO2 EMISSIONS'!Y118</f>
        <v>442716</v>
      </c>
      <c r="W101" s="4">
        <f>'GHG &amp; CO2 EMISSIONS'!Z118</f>
        <v>407763</v>
      </c>
      <c r="X101" s="4">
        <f>'GHG &amp; CO2 EMISSIONS'!AA118</f>
        <v>385962</v>
      </c>
      <c r="Y101" s="4">
        <f>'GHG &amp; CO2 EMISSIONS'!AB118</f>
        <v>389542</v>
      </c>
      <c r="Z101" s="4">
        <f>'GHG &amp; CO2 EMISSIONS'!AC118</f>
        <v>372215</v>
      </c>
      <c r="AA101" s="4">
        <f>'GHG &amp; CO2 EMISSIONS'!AD118</f>
        <v>368260</v>
      </c>
      <c r="AB101" s="4">
        <f>'GHG &amp; CO2 EMISSIONS'!AE118</f>
        <v>327830</v>
      </c>
      <c r="AC101" s="4">
        <f>'GHG &amp; CO2 EMISSIONS'!AF118</f>
        <v>362225</v>
      </c>
      <c r="AD101" s="4">
        <f>'GHG &amp; CO2 EMISSIONS'!AG118</f>
        <v>337302</v>
      </c>
      <c r="AE101" s="4">
        <f>'GHG &amp; CO2 EMISSIONS'!AH118</f>
        <v>333157</v>
      </c>
      <c r="AF101" s="4">
        <f>'GHG &amp; CO2 EMISSIONS'!AI118</f>
        <v>320425</v>
      </c>
      <c r="AG101" s="4">
        <f>'GHG &amp; CO2 EMISSIONS'!AJ118</f>
        <v>283374</v>
      </c>
      <c r="AH101" s="4">
        <f>'GHG &amp; CO2 EMISSIONS'!AK118</f>
        <v>278682</v>
      </c>
    </row>
    <row r="102" spans="1:34">
      <c r="A102" s="1" t="s">
        <v>108</v>
      </c>
      <c r="B102" s="4">
        <f>'GHG &amp; CO2 EMISSIONS'!E174</f>
        <v>506039.30675705505</v>
      </c>
      <c r="C102" s="4">
        <f>'GHG &amp; CO2 EMISSIONS'!F174</f>
        <v>490864.01679897099</v>
      </c>
      <c r="D102" s="4">
        <f>'GHG &amp; CO2 EMISSIONS'!G174</f>
        <v>515704.25924163294</v>
      </c>
      <c r="E102" s="4">
        <f>'GHG &amp; CO2 EMISSIONS'!H174</f>
        <v>529556.49831429438</v>
      </c>
      <c r="F102" s="4">
        <f>'GHG &amp; CO2 EMISSIONS'!I174</f>
        <v>531986.02757305384</v>
      </c>
      <c r="G102" s="4">
        <f>'GHG &amp; CO2 EMISSIONS'!J174</f>
        <v>555122.59594327363</v>
      </c>
      <c r="H102" s="4">
        <f>'GHG &amp; CO2 EMISSIONS'!K174</f>
        <v>561809.48863362486</v>
      </c>
      <c r="I102" s="4">
        <f>'GHG &amp; CO2 EMISSIONS'!L174</f>
        <v>574644.12631624762</v>
      </c>
      <c r="J102" s="4">
        <f>'GHG &amp; CO2 EMISSIONS'!M174</f>
        <v>575528.13453145674</v>
      </c>
      <c r="K102" s="4">
        <f>'GHG &amp; CO2 EMISSIONS'!N174</f>
        <v>593975.25990873971</v>
      </c>
      <c r="L102" s="4">
        <f>'GHG &amp; CO2 EMISSIONS'!O174</f>
        <v>622157.25757266476</v>
      </c>
      <c r="M102" s="4">
        <f>'GHG &amp; CO2 EMISSIONS'!P174</f>
        <v>597027.67396679905</v>
      </c>
      <c r="N102" s="4">
        <f>'GHG &amp; CO2 EMISSIONS'!Q174</f>
        <v>632077.11363523966</v>
      </c>
      <c r="O102" s="4">
        <f>'GHG &amp; CO2 EMISSIONS'!R174</f>
        <v>645867.35005741939</v>
      </c>
      <c r="P102" s="4">
        <f>'GHG &amp; CO2 EMISSIONS'!S174</f>
        <v>641073.57771808608</v>
      </c>
      <c r="Q102" s="4">
        <f>'GHG &amp; CO2 EMISSIONS'!T174</f>
        <v>637490.48532000114</v>
      </c>
      <c r="R102" s="4">
        <f>'GHG &amp; CO2 EMISSIONS'!U174</f>
        <v>614057.65674812219</v>
      </c>
      <c r="S102" s="4">
        <f>'GHG &amp; CO2 EMISSIONS'!V174</f>
        <v>636519.88641337096</v>
      </c>
      <c r="T102" s="4">
        <f>'GHG &amp; CO2 EMISSIONS'!W174</f>
        <v>613843.18519676349</v>
      </c>
      <c r="U102" s="4">
        <f>'GHG &amp; CO2 EMISSIONS'!X174</f>
        <v>552845.07535976905</v>
      </c>
      <c r="V102" s="4">
        <f>'GHG &amp; CO2 EMISSIONS'!Y174</f>
        <v>593041.78971899138</v>
      </c>
      <c r="W102" s="4">
        <f>'GHG &amp; CO2 EMISSIONS'!Z174</f>
        <v>604263.13527437556</v>
      </c>
      <c r="X102" s="4">
        <f>'GHG &amp; CO2 EMISSIONS'!AA174</f>
        <v>589861.72041566647</v>
      </c>
      <c r="Y102" s="4">
        <f>'GHG &amp; CO2 EMISSIONS'!AB174</f>
        <v>596729.69378464576</v>
      </c>
      <c r="Z102" s="4">
        <f>'GHG &amp; CO2 EMISSIONS'!AC174</f>
        <v>570872.15627951559</v>
      </c>
      <c r="AA102" s="4">
        <f>'GHG &amp; CO2 EMISSIONS'!AD174</f>
        <v>607613.03865702427</v>
      </c>
      <c r="AB102" s="4">
        <f>'GHG &amp; CO2 EMISSIONS'!AE174</f>
        <v>584530.64776475623</v>
      </c>
      <c r="AC102" s="4">
        <f>'GHG &amp; CO2 EMISSIONS'!AF174</f>
        <v>587469.98842661898</v>
      </c>
      <c r="AD102" s="4">
        <f>'GHG &amp; CO2 EMISSIONS'!AG174</f>
        <v>600920.22572056798</v>
      </c>
      <c r="AE102" s="4">
        <f>'GHG &amp; CO2 EMISSIONS'!AH174</f>
        <v>594686.71676036203</v>
      </c>
      <c r="AF102" s="4">
        <f>'GHG &amp; CO2 EMISSIONS'!AI174</f>
        <v>551339.42180727818</v>
      </c>
      <c r="AG102" s="4">
        <f>'GHG &amp; CO2 EMISSIONS'!AJ174</f>
        <v>552920.88461287506</v>
      </c>
      <c r="AH102" s="4">
        <f>'GHG &amp; CO2 EMISSIONS'!AK174</f>
        <v>601179.87736172485</v>
      </c>
    </row>
    <row r="103" spans="1:34">
      <c r="A103" s="1" t="s">
        <v>105</v>
      </c>
      <c r="B103" s="4">
        <f>'GHG &amp; CO2 EMISSIONS'!E162</f>
        <v>1083678.1591756663</v>
      </c>
      <c r="C103" s="4">
        <f>'GHG &amp; CO2 EMISSIONS'!F162</f>
        <v>1089827.8542042135</v>
      </c>
      <c r="D103" s="4">
        <f>'GHG &amp; CO2 EMISSIONS'!G162</f>
        <v>1095825.8277016839</v>
      </c>
      <c r="E103" s="4">
        <f>'GHG &amp; CO2 EMISSIONS'!H162</f>
        <v>1085608.3751414602</v>
      </c>
      <c r="F103" s="4">
        <f>'GHG &amp; CO2 EMISSIONS'!I162</f>
        <v>1140728.1930217713</v>
      </c>
      <c r="G103" s="4">
        <f>'GHG &amp; CO2 EMISSIONS'!J162</f>
        <v>1153351.1437192126</v>
      </c>
      <c r="H103" s="4">
        <f>'GHG &amp; CO2 EMISSIONS'!K162</f>
        <v>1164688.8872728245</v>
      </c>
      <c r="I103" s="4">
        <f>'GHG &amp; CO2 EMISSIONS'!L162</f>
        <v>1156595.7457021989</v>
      </c>
      <c r="J103" s="4">
        <f>'GHG &amp; CO2 EMISSIONS'!M162</f>
        <v>1116649.4477444473</v>
      </c>
      <c r="K103" s="4">
        <f>'GHG &amp; CO2 EMISSIONS'!N162</f>
        <v>1153827.5027686309</v>
      </c>
      <c r="L103" s="4">
        <f>'GHG &amp; CO2 EMISSIONS'!O162</f>
        <v>1175482.3116314183</v>
      </c>
      <c r="M103" s="4">
        <f>'GHG &amp; CO2 EMISSIONS'!P162</f>
        <v>1160175.6133769453</v>
      </c>
      <c r="N103" s="4">
        <f>'GHG &amp; CO2 EMISSIONS'!Q162</f>
        <v>1188163.1058178495</v>
      </c>
      <c r="O103" s="4">
        <f>'GHG &amp; CO2 EMISSIONS'!R162</f>
        <v>1186910.8306431491</v>
      </c>
      <c r="P103" s="4">
        <f>'GHG &amp; CO2 EMISSIONS'!S162</f>
        <v>1185659.3821127189</v>
      </c>
      <c r="Q103" s="4">
        <f>'GHG &amp; CO2 EMISSIONS'!T162</f>
        <v>1198740.596739793</v>
      </c>
      <c r="R103" s="4">
        <f>'GHG &amp; CO2 EMISSIONS'!U162</f>
        <v>1180280.0184829098</v>
      </c>
      <c r="S103" s="4">
        <f>'GHG &amp; CO2 EMISSIONS'!V162</f>
        <v>1220701.9062014411</v>
      </c>
      <c r="T103" s="4">
        <f>'GHG &amp; CO2 EMISSIONS'!W162</f>
        <v>1154523.0216927656</v>
      </c>
      <c r="U103" s="4">
        <f>'GHG &amp; CO2 EMISSIONS'!X162</f>
        <v>1088317.5571118754</v>
      </c>
      <c r="V103" s="4">
        <f>'GHG &amp; CO2 EMISSIONS'!Y162</f>
        <v>1135460.7078147677</v>
      </c>
      <c r="W103" s="4">
        <f>'GHG &amp; CO2 EMISSIONS'!Z162</f>
        <v>1186529.2132593929</v>
      </c>
      <c r="X103" s="4">
        <f>'GHG &amp; CO2 EMISSIONS'!AA162</f>
        <v>1224805.2261132605</v>
      </c>
      <c r="Y103" s="4">
        <f>'GHG &amp; CO2 EMISSIONS'!AB162</f>
        <v>1241424.9365978243</v>
      </c>
      <c r="Z103" s="4">
        <f>'GHG &amp; CO2 EMISSIONS'!AC162</f>
        <v>1193509.7384712072</v>
      </c>
      <c r="AA103" s="4">
        <f>'GHG &amp; CO2 EMISSIONS'!AD162</f>
        <v>1158831.272597465</v>
      </c>
      <c r="AB103" s="4">
        <f>'GHG &amp; CO2 EMISSIONS'!AE162</f>
        <v>1142676.6108972083</v>
      </c>
      <c r="AC103" s="4">
        <f>'GHG &amp; CO2 EMISSIONS'!AF162</f>
        <v>1123503.6764523429</v>
      </c>
      <c r="AD103" s="4">
        <f>'GHG &amp; CO2 EMISSIONS'!AG162</f>
        <v>1079185.3200052709</v>
      </c>
      <c r="AE103" s="4">
        <f>'GHG &amp; CO2 EMISSIONS'!AH162</f>
        <v>1047718.8485552778</v>
      </c>
      <c r="AF103" s="4">
        <f>'GHG &amp; CO2 EMISSIONS'!AI162</f>
        <v>981690.46975684073</v>
      </c>
      <c r="AG103" s="4">
        <f>'GHG &amp; CO2 EMISSIONS'!AJ162</f>
        <v>1003093.5783694166</v>
      </c>
      <c r="AH103" s="4">
        <f>'GHG &amp; CO2 EMISSIONS'!AK162</f>
        <v>981200.91634440213</v>
      </c>
    </row>
    <row r="104" spans="1:34">
      <c r="A104" s="1" t="s">
        <v>84</v>
      </c>
      <c r="B104" s="4">
        <f>'GHG &amp; CO2 EMISSIONS'!E170</f>
        <v>1975406.4090171738</v>
      </c>
      <c r="C104" s="4">
        <f>'GHG &amp; CO2 EMISSIONS'!F170</f>
        <v>1779137.5779415022</v>
      </c>
      <c r="D104" s="4">
        <f>'GHG &amp; CO2 EMISSIONS'!G170</f>
        <v>1293763.8982735896</v>
      </c>
      <c r="E104" s="4">
        <f>'GHG &amp; CO2 EMISSIONS'!H170</f>
        <v>993751.43801366794</v>
      </c>
      <c r="F104" s="4">
        <f>'GHG &amp; CO2 EMISSIONS'!I170</f>
        <v>616442.39500674023</v>
      </c>
      <c r="G104" s="4">
        <f>'GHG &amp; CO2 EMISSIONS'!J170</f>
        <v>493022.31185521325</v>
      </c>
      <c r="H104" s="4">
        <f>'GHG &amp; CO2 EMISSIONS'!K170</f>
        <v>423483.19694275269</v>
      </c>
      <c r="I104" s="4">
        <f>'GHG &amp; CO2 EMISSIONS'!L170</f>
        <v>257732.69748257101</v>
      </c>
      <c r="J104" s="4">
        <f>'GHG &amp; CO2 EMISSIONS'!M170</f>
        <v>201356.38053765241</v>
      </c>
      <c r="K104" s="4">
        <f>'GHG &amp; CO2 EMISSIONS'!N170</f>
        <v>160234.31159789232</v>
      </c>
      <c r="L104" s="4">
        <f>'GHG &amp; CO2 EMISSIONS'!O170</f>
        <v>166700.17074568849</v>
      </c>
      <c r="M104" s="4">
        <f>'GHG &amp; CO2 EMISSIONS'!P170</f>
        <v>80741.062374222092</v>
      </c>
      <c r="N104" s="4">
        <f>'GHG &amp; CO2 EMISSIONS'!Q170</f>
        <v>30101.439768899698</v>
      </c>
      <c r="O104" s="4">
        <f>'GHG &amp; CO2 EMISSIONS'!R170</f>
        <v>-30233.826499137562</v>
      </c>
      <c r="P104" s="4">
        <f>'GHG &amp; CO2 EMISSIONS'!S170</f>
        <v>-172318.87826842512</v>
      </c>
      <c r="Q104" s="4">
        <f>'GHG &amp; CO2 EMISSIONS'!T170</f>
        <v>-152342.3304030695</v>
      </c>
      <c r="R104" s="4">
        <f>'GHG &amp; CO2 EMISSIONS'!U170</f>
        <v>-15427.947799919872</v>
      </c>
      <c r="S104" s="4">
        <f>'GHG &amp; CO2 EMISSIONS'!V170</f>
        <v>-118714.20046606427</v>
      </c>
      <c r="T104" s="4">
        <f>'GHG &amp; CO2 EMISSIONS'!W170</f>
        <v>-37375.508861718699</v>
      </c>
      <c r="U104" s="4">
        <f>'GHG &amp; CO2 EMISSIONS'!X170</f>
        <v>-201654.7223780246</v>
      </c>
      <c r="V104" s="4">
        <f>'GHG &amp; CO2 EMISSIONS'!Y170</f>
        <v>-174961.4133522911</v>
      </c>
      <c r="W104" s="4">
        <f>'GHG &amp; CO2 EMISSIONS'!Z170</f>
        <v>239897.31569598918</v>
      </c>
      <c r="X104" s="4">
        <f>'GHG &amp; CO2 EMISSIONS'!AA170</f>
        <v>650485.80788306543</v>
      </c>
      <c r="Y104" s="4">
        <f>'GHG &amp; CO2 EMISSIONS'!AB170</f>
        <v>226086.60430725361</v>
      </c>
      <c r="Z104" s="4">
        <f>'GHG &amp; CO2 EMISSIONS'!AC170</f>
        <v>356197.81605830556</v>
      </c>
      <c r="AA104" s="4">
        <f>'GHG &amp; CO2 EMISSIONS'!AD170</f>
        <v>390344.77231054357</v>
      </c>
      <c r="AB104" s="4">
        <f>'GHG &amp; CO2 EMISSIONS'!AE170</f>
        <v>484584.92132448219</v>
      </c>
      <c r="AC104" s="4">
        <f>'GHG &amp; CO2 EMISSIONS'!AF170</f>
        <v>437838.18760507414</v>
      </c>
      <c r="AD104" s="4">
        <f>'GHG &amp; CO2 EMISSIONS'!AG170</f>
        <v>594303.59962425451</v>
      </c>
      <c r="AE104" s="4">
        <f>'GHG &amp; CO2 EMISSIONS'!AH170</f>
        <v>733885.98548629531</v>
      </c>
      <c r="AF104" s="4">
        <f>'GHG &amp; CO2 EMISSIONS'!AI170</f>
        <v>409382.63124771975</v>
      </c>
      <c r="AG104" s="4">
        <f>'GHG &amp; CO2 EMISSIONS'!AJ170</f>
        <v>703864.10242710088</v>
      </c>
      <c r="AH104" s="4">
        <f>'GHG &amp; CO2 EMISSIONS'!AK170</f>
        <v>413174.45053673326</v>
      </c>
    </row>
    <row r="105" spans="1:34" ht="30">
      <c r="A105" s="1" t="s">
        <v>156</v>
      </c>
      <c r="B105" s="4">
        <f>'GHG &amp; CO2 EMISSIONS'!E6</f>
        <v>3627466.9048564783</v>
      </c>
      <c r="C105" s="4">
        <f>'GHG &amp; CO2 EMISSIONS'!F6</f>
        <v>3464021.1826447691</v>
      </c>
      <c r="D105" s="4">
        <f>'GHG &amp; CO2 EMISSIONS'!G6</f>
        <v>3365178.1477964963</v>
      </c>
      <c r="E105" s="4">
        <f>'GHG &amp; CO2 EMISSIONS'!H6</f>
        <v>3282183.6547343913</v>
      </c>
      <c r="F105" s="4">
        <f>'GHG &amp; CO2 EMISSIONS'!I6</f>
        <v>3269916.5994308731</v>
      </c>
      <c r="G105" s="4">
        <f>'GHG &amp; CO2 EMISSIONS'!J6</f>
        <v>3293996.1970242313</v>
      </c>
      <c r="H105" s="4">
        <f>'GHG &amp; CO2 EMISSIONS'!K6</f>
        <v>3352484.3842393374</v>
      </c>
      <c r="I105" s="4">
        <f>'GHG &amp; CO2 EMISSIONS'!L6</f>
        <v>3294148.7611091472</v>
      </c>
      <c r="J105" s="4">
        <f>'GHG &amp; CO2 EMISSIONS'!M6</f>
        <v>3273961.320958762</v>
      </c>
      <c r="K105" s="4">
        <f>'GHG &amp; CO2 EMISSIONS'!N6</f>
        <v>3207405.6179119549</v>
      </c>
      <c r="L105" s="4">
        <f>'GHG &amp; CO2 EMISSIONS'!O6</f>
        <v>3268524.643456256</v>
      </c>
      <c r="M105" s="4">
        <f>'GHG &amp; CO2 EMISSIONS'!P6</f>
        <v>3279032.5417442489</v>
      </c>
      <c r="N105" s="4">
        <f>'GHG &amp; CO2 EMISSIONS'!Q6</f>
        <v>3311172.2588812243</v>
      </c>
      <c r="O105" s="4">
        <f>'GHG &amp; CO2 EMISSIONS'!R6</f>
        <v>3399845.6505031316</v>
      </c>
      <c r="P105" s="4">
        <f>'GHG &amp; CO2 EMISSIONS'!S6</f>
        <v>3372837.8870822252</v>
      </c>
      <c r="Q105" s="4">
        <f>'GHG &amp; CO2 EMISSIONS'!T6</f>
        <v>3368146.2346299342</v>
      </c>
      <c r="R105" s="4">
        <f>'GHG &amp; CO2 EMISSIONS'!U6</f>
        <v>3381141.3745696507</v>
      </c>
      <c r="S105" s="4">
        <f>'GHG &amp; CO2 EMISSIONS'!V6</f>
        <v>3380379.2901851418</v>
      </c>
      <c r="T105" s="4">
        <f>'GHG &amp; CO2 EMISSIONS'!W6</f>
        <v>3257010.0871259635</v>
      </c>
      <c r="U105" s="4">
        <f>'GHG &amp; CO2 EMISSIONS'!X6</f>
        <v>2964679.9437220157</v>
      </c>
      <c r="V105" s="4">
        <f>'GHG &amp; CO2 EMISSIONS'!Y6</f>
        <v>3056367.8636230635</v>
      </c>
      <c r="W105" s="4">
        <f>'GHG &amp; CO2 EMISSIONS'!Z6</f>
        <v>2965653.9879263211</v>
      </c>
      <c r="X105" s="4">
        <f>'GHG &amp; CO2 EMISSIONS'!AA6</f>
        <v>2901048.6797953933</v>
      </c>
      <c r="Y105" s="4">
        <f>'GHG &amp; CO2 EMISSIONS'!AB6</f>
        <v>2805829.7931401506</v>
      </c>
      <c r="Z105" s="4">
        <f>'GHG &amp; CO2 EMISSIONS'!AC6</f>
        <v>2686444.1423318875</v>
      </c>
      <c r="AA105" s="4">
        <f>'GHG &amp; CO2 EMISSIONS'!AD6</f>
        <v>2752771.4689760483</v>
      </c>
      <c r="AB105" s="4">
        <f>'GHG &amp; CO2 EMISSIONS'!AE6</f>
        <v>2755099.1658572238</v>
      </c>
      <c r="AC105" s="4">
        <f>'GHG &amp; CO2 EMISSIONS'!AF6</f>
        <v>2846057.4834386972</v>
      </c>
      <c r="AD105" s="4">
        <f>'GHG &amp; CO2 EMISSIONS'!AG6</f>
        <v>2774184.8788484028</v>
      </c>
      <c r="AE105" s="4">
        <f>'GHG &amp; CO2 EMISSIONS'!AH6</f>
        <v>2642188.0750595271</v>
      </c>
      <c r="AF105" s="4">
        <f>'GHG &amp; CO2 EMISSIONS'!AI6</f>
        <v>2363937.6089436309</v>
      </c>
      <c r="AG105" s="4">
        <f>'GHG &amp; CO2 EMISSIONS'!AJ6</f>
        <v>2541511.418458127</v>
      </c>
      <c r="AH105" s="4">
        <f>'GHG &amp; CO2 EMISSIONS'!AK6</f>
        <v>2477871.1719774883</v>
      </c>
    </row>
    <row r="106" spans="1:34">
      <c r="A106" s="1" t="s">
        <v>83</v>
      </c>
      <c r="B106" s="4">
        <f>'GHG &amp; CO2 EMISSIONS'!E178</f>
        <v>4096971.4653060297</v>
      </c>
      <c r="C106" s="4">
        <f>'GHG &amp; CO2 EMISSIONS'!F178</f>
        <v>4030711.6151476419</v>
      </c>
      <c r="D106" s="4">
        <f>'GHG &amp; CO2 EMISSIONS'!G178</f>
        <v>4117600.6004296774</v>
      </c>
      <c r="E106" s="4">
        <f>'GHG &amp; CO2 EMISSIONS'!H178</f>
        <v>4233771.3591422653</v>
      </c>
      <c r="F106" s="4">
        <f>'GHG &amp; CO2 EMISSIONS'!I178</f>
        <v>4299170.6797823906</v>
      </c>
      <c r="G106" s="4">
        <f>'GHG &amp; CO2 EMISSIONS'!J178</f>
        <v>4392036.9793988075</v>
      </c>
      <c r="H106" s="4">
        <f>'GHG &amp; CO2 EMISSIONS'!K178</f>
        <v>4533242.4327330673</v>
      </c>
      <c r="I106" s="4">
        <f>'GHG &amp; CO2 EMISSIONS'!L178</f>
        <v>4634830.9509111205</v>
      </c>
      <c r="J106" s="4">
        <f>'GHG &amp; CO2 EMISSIONS'!M178</f>
        <v>4685861.4177436456</v>
      </c>
      <c r="K106" s="4">
        <f>'GHG &amp; CO2 EMISSIONS'!N178</f>
        <v>4773904.6877538003</v>
      </c>
      <c r="L106" s="4">
        <f>'GHG &amp; CO2 EMISSIONS'!O178</f>
        <v>4976358.9775897637</v>
      </c>
      <c r="M106" s="4">
        <f>'GHG &amp; CO2 EMISSIONS'!P178</f>
        <v>4867406.6257021371</v>
      </c>
      <c r="N106" s="4">
        <f>'GHG &amp; CO2 EMISSIONS'!Q178</f>
        <v>4956044.4732357254</v>
      </c>
      <c r="O106" s="4">
        <f>'GHG &amp; CO2 EMISSIONS'!R178</f>
        <v>4986591.5966010662</v>
      </c>
      <c r="P106" s="4">
        <f>'GHG &amp; CO2 EMISSIONS'!S178</f>
        <v>5174663.1317794267</v>
      </c>
      <c r="Q106" s="4">
        <f>'GHG &amp; CO2 EMISSIONS'!T178</f>
        <v>5150286.1664341316</v>
      </c>
      <c r="R106" s="4">
        <f>'GHG &amp; CO2 EMISSIONS'!U178</f>
        <v>5031451.0077294959</v>
      </c>
      <c r="S106" s="4">
        <f>'GHG &amp; CO2 EMISSIONS'!V178</f>
        <v>5155265.7214950668</v>
      </c>
      <c r="T106" s="4">
        <f>'GHG &amp; CO2 EMISSIONS'!W178</f>
        <v>4946140.2842590772</v>
      </c>
      <c r="U106" s="4">
        <f>'GHG &amp; CO2 EMISSIONS'!X178</f>
        <v>4571073.8100196831</v>
      </c>
      <c r="V106" s="4">
        <f>'GHG &amp; CO2 EMISSIONS'!Y178</f>
        <v>4727173.4682388529</v>
      </c>
      <c r="W106" s="4">
        <f>'GHG &amp; CO2 EMISSIONS'!Z178</f>
        <v>4538479.1474057436</v>
      </c>
      <c r="X106" s="4">
        <f>'GHG &amp; CO2 EMISSIONS'!AA178</f>
        <v>4341504.7670758702</v>
      </c>
      <c r="Y106" s="4">
        <f>'GHG &amp; CO2 EMISSIONS'!AB178</f>
        <v>4524295.9010299779</v>
      </c>
      <c r="Z106" s="4">
        <f>'GHG &amp; CO2 EMISSIONS'!AC178</f>
        <v>4549515.4758482687</v>
      </c>
      <c r="AA106" s="4">
        <f>'GHG &amp; CO2 EMISSIONS'!AD178</f>
        <v>4472086.3017035155</v>
      </c>
      <c r="AB106" s="4">
        <f>'GHG &amp; CO2 EMISSIONS'!AE178</f>
        <v>4272635.7317269221</v>
      </c>
      <c r="AC106" s="4">
        <f>'GHG &amp; CO2 EMISSIONS'!AF178</f>
        <v>4204656.2251248611</v>
      </c>
      <c r="AD106" s="4">
        <f>'GHG &amp; CO2 EMISSIONS'!AG178</f>
        <v>4383903.756448823</v>
      </c>
      <c r="AE106" s="4">
        <f>'GHG &amp; CO2 EMISSIONS'!AH178</f>
        <v>4312880.8107896736</v>
      </c>
      <c r="AF106" s="4">
        <f>'GHG &amp; CO2 EMISSIONS'!AI178</f>
        <v>3716203.7491012323</v>
      </c>
      <c r="AG106" s="4">
        <f>'GHG &amp; CO2 EMISSIONS'!AJ178</f>
        <v>4033783.8986624405</v>
      </c>
      <c r="AH106" s="4">
        <f>'GHG &amp; CO2 EMISSIONS'!AK178</f>
        <v>4131226.9255022826</v>
      </c>
    </row>
    <row r="107" spans="1:34">
      <c r="A107" s="1" t="s">
        <v>5</v>
      </c>
      <c r="B107" s="145">
        <f>'GHG &amp; CO2 EMISSIONS'!E158</f>
        <v>606965.86465709098</v>
      </c>
      <c r="C107" s="145">
        <f>'GHG &amp; CO2 EMISSIONS'!F158</f>
        <v>613983.37291909242</v>
      </c>
      <c r="D107" s="145">
        <f>'GHG &amp; CO2 EMISSIONS'!G158</f>
        <v>597538.58829106716</v>
      </c>
      <c r="E107" s="145">
        <f>'GHG &amp; CO2 EMISSIONS'!H158</f>
        <v>582943.98640801059</v>
      </c>
      <c r="F107" s="145">
        <f>'GHG &amp; CO2 EMISSIONS'!I158</f>
        <v>576588.51903708756</v>
      </c>
      <c r="G107" s="145">
        <f>'GHG &amp; CO2 EMISSIONS'!J158</f>
        <v>568777.25675062463</v>
      </c>
      <c r="H107" s="145">
        <f>'GHG &amp; CO2 EMISSIONS'!K158</f>
        <v>588472.95165455597</v>
      </c>
      <c r="I107" s="145">
        <f>'GHG &amp; CO2 EMISSIONS'!L158</f>
        <v>564494.50990620116</v>
      </c>
      <c r="J107" s="145">
        <f>'GHG &amp; CO2 EMISSIONS'!M158</f>
        <v>569039.72810241289</v>
      </c>
      <c r="K107" s="145">
        <f>'GHG &amp; CO2 EMISSIONS'!N158</f>
        <v>561691.25128014351</v>
      </c>
      <c r="L107" s="145">
        <f>'GHG &amp; CO2 EMISSIONS'!O158</f>
        <v>569253.66544111155</v>
      </c>
      <c r="M107" s="145">
        <f>'GHG &amp; CO2 EMISSIONS'!P158</f>
        <v>577731.94642587891</v>
      </c>
      <c r="N107" s="145">
        <f>'GHG &amp; CO2 EMISSIONS'!Q158</f>
        <v>559553.35874280054</v>
      </c>
      <c r="O107" s="145">
        <f>'GHG &amp; CO2 EMISSIONS'!R158</f>
        <v>570215.29762400733</v>
      </c>
      <c r="P107" s="145">
        <f>'GHG &amp; CO2 EMISSIONS'!S158</f>
        <v>571554.30783686414</v>
      </c>
      <c r="Q107" s="145">
        <f>'GHG &amp; CO2 EMISSIONS'!T158</f>
        <v>567982.9977046909</v>
      </c>
      <c r="R107" s="145">
        <f>'GHG &amp; CO2 EMISSIONS'!U158</f>
        <v>565199.84378520399</v>
      </c>
      <c r="S107" s="145">
        <f>'GHG &amp; CO2 EMISSIONS'!V158</f>
        <v>556636.17452189268</v>
      </c>
      <c r="T107" s="145">
        <f>'GHG &amp; CO2 EMISSIONS'!W158</f>
        <v>541457.15526131564</v>
      </c>
      <c r="U107" s="145">
        <f>'GHG &amp; CO2 EMISSIONS'!X158</f>
        <v>490401.91848926217</v>
      </c>
      <c r="V107" s="145">
        <f>'GHG &amp; CO2 EMISSIONS'!Y158</f>
        <v>508207.92614396662</v>
      </c>
      <c r="W107" s="145">
        <f>'GHG &amp; CO2 EMISSIONS'!Z158</f>
        <v>465113.9009295638</v>
      </c>
      <c r="X107" s="145">
        <f>'GHG &amp; CO2 EMISSIONS'!AA158</f>
        <v>483009.29506256373</v>
      </c>
      <c r="Y107" s="145">
        <f>'GHG &amp; CO2 EMISSIONS'!AB158</f>
        <v>472909.72084907844</v>
      </c>
      <c r="Z107" s="145">
        <f>'GHG &amp; CO2 EMISSIONS'!AC158</f>
        <v>433539.26434826409</v>
      </c>
      <c r="AA107" s="145">
        <f>'GHG &amp; CO2 EMISSIONS'!AD158</f>
        <v>417393.68516015238</v>
      </c>
      <c r="AB107" s="145">
        <f>'GHG &amp; CO2 EMISSIONS'!AE158</f>
        <v>392801.27679250442</v>
      </c>
      <c r="AC107" s="145">
        <f>'GHG &amp; CO2 EMISSIONS'!AF158</f>
        <v>380873.22127761459</v>
      </c>
      <c r="AD107" s="145">
        <f>'GHG &amp; CO2 EMISSIONS'!AG158</f>
        <v>375333.62064994185</v>
      </c>
      <c r="AE107" s="145">
        <f>'GHG &amp; CO2 EMISSIONS'!AH158</f>
        <v>362093.83101027005</v>
      </c>
      <c r="AF107" s="145">
        <f>'GHG &amp; CO2 EMISSIONS'!AI158</f>
        <v>321931.18227907008</v>
      </c>
      <c r="AG107" s="145">
        <f>'GHG &amp; CO2 EMISSIONS'!AJ158</f>
        <v>340055.61156689364</v>
      </c>
      <c r="AH107" s="145">
        <f>'GHG &amp; CO2 EMISSIONS'!AK158</f>
        <v>327309.86258391174</v>
      </c>
    </row>
    <row r="109" spans="1:34" ht="20.25">
      <c r="A109" s="119" t="s">
        <v>136</v>
      </c>
      <c r="B109" s="120"/>
      <c r="C109" s="121"/>
      <c r="D109" s="121"/>
      <c r="E109" s="121"/>
      <c r="F109" s="121"/>
      <c r="G109" s="121"/>
    </row>
    <row r="110" spans="1:34">
      <c r="B110" s="3">
        <v>1990</v>
      </c>
      <c r="C110" s="3">
        <v>1991</v>
      </c>
      <c r="D110" s="3">
        <v>1992</v>
      </c>
      <c r="E110" s="3">
        <v>1993</v>
      </c>
      <c r="F110" s="3">
        <v>1994</v>
      </c>
      <c r="G110" s="3">
        <v>1995</v>
      </c>
      <c r="H110" s="3">
        <v>1996</v>
      </c>
      <c r="I110" s="3">
        <v>1997</v>
      </c>
      <c r="J110" s="3">
        <v>1998</v>
      </c>
      <c r="K110" s="3">
        <v>1999</v>
      </c>
      <c r="L110" s="3">
        <v>2000</v>
      </c>
      <c r="M110" s="3">
        <v>2001</v>
      </c>
      <c r="N110" s="3">
        <v>2002</v>
      </c>
      <c r="O110" s="3">
        <v>2003</v>
      </c>
      <c r="P110" s="3">
        <v>2004</v>
      </c>
      <c r="Q110" s="3">
        <v>2005</v>
      </c>
      <c r="R110" s="3">
        <v>2006</v>
      </c>
      <c r="S110" s="3">
        <v>2007</v>
      </c>
      <c r="T110" s="3">
        <v>2008</v>
      </c>
      <c r="U110" s="3">
        <v>2009</v>
      </c>
      <c r="V110" s="3">
        <v>2010</v>
      </c>
      <c r="W110" s="3">
        <v>2011</v>
      </c>
      <c r="X110" s="3">
        <v>2012</v>
      </c>
      <c r="Y110" s="3">
        <v>2013</v>
      </c>
      <c r="Z110" s="3">
        <v>2014</v>
      </c>
      <c r="AA110" s="3">
        <v>2015</v>
      </c>
      <c r="AB110" s="3">
        <v>2016</v>
      </c>
      <c r="AC110" s="3">
        <v>2017</v>
      </c>
      <c r="AD110" s="3">
        <v>2018</v>
      </c>
      <c r="AE110" s="3">
        <v>2019</v>
      </c>
      <c r="AF110" s="3">
        <v>2020</v>
      </c>
      <c r="AG110" s="3">
        <v>2021</v>
      </c>
      <c r="AH110" s="3">
        <v>2022</v>
      </c>
    </row>
    <row r="111" spans="1:34" ht="30">
      <c r="A111" s="1" t="s">
        <v>156</v>
      </c>
    </row>
    <row r="112" spans="1:34">
      <c r="A112" s="1" t="s">
        <v>106</v>
      </c>
    </row>
    <row r="113" spans="1:1">
      <c r="A113" s="1" t="s">
        <v>74</v>
      </c>
    </row>
    <row r="114" spans="1:1">
      <c r="A114" s="1" t="s">
        <v>75</v>
      </c>
    </row>
    <row r="115" spans="1:1">
      <c r="A115" s="1" t="s">
        <v>76</v>
      </c>
    </row>
    <row r="116" spans="1:1">
      <c r="A116" s="1" t="s">
        <v>77</v>
      </c>
    </row>
    <row r="117" spans="1:1">
      <c r="A117" s="1" t="s">
        <v>78</v>
      </c>
    </row>
    <row r="118" spans="1:1">
      <c r="A118" s="1" t="s">
        <v>79</v>
      </c>
    </row>
    <row r="119" spans="1:1">
      <c r="A119" s="1" t="s">
        <v>80</v>
      </c>
    </row>
    <row r="120" spans="1:1">
      <c r="A120" s="1" t="s">
        <v>81</v>
      </c>
    </row>
    <row r="121" spans="1:1">
      <c r="A121" s="1" t="s">
        <v>82</v>
      </c>
    </row>
    <row r="122" spans="1:1">
      <c r="A122" s="1" t="s">
        <v>105</v>
      </c>
    </row>
    <row r="123" spans="1:1">
      <c r="A123" s="1" t="s">
        <v>7</v>
      </c>
    </row>
    <row r="124" spans="1:1">
      <c r="A124" s="1" t="s">
        <v>84</v>
      </c>
    </row>
    <row r="125" spans="1:1">
      <c r="A125" s="1" t="s">
        <v>108</v>
      </c>
    </row>
    <row r="126" spans="1:1">
      <c r="A126" s="1" t="s">
        <v>83</v>
      </c>
    </row>
    <row r="127" spans="1:1">
      <c r="A127" s="1" t="s">
        <v>5</v>
      </c>
    </row>
  </sheetData>
  <sortState xmlns:xlrd2="http://schemas.microsoft.com/office/spreadsheetml/2017/richdata2" ref="A91:AB106">
    <sortCondition ref="AA90"/>
  </sortState>
  <mergeCells count="1">
    <mergeCell ref="A1:K1"/>
  </mergeCells>
  <phoneticPr fontId="3"/>
  <pageMargins left="0.55000000000000004" right="0.55000000000000004" top="0.55000000000000004" bottom="0.32" header="0.37" footer="0.24"/>
  <pageSetup paperSize="9" scale="76" orientation="landscape" verticalDpi="1200" r:id="rId1"/>
  <headerFooter alignWithMargins="0">
    <oddHeader>&amp;L&amp;"ＭＳ Ｐゴシック,太字" Institute for Global Environmental Strategies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Guidance</vt:lpstr>
      <vt:lpstr>Analytics</vt:lpstr>
      <vt:lpstr>GHG &amp; CO2 EMISSIONS</vt:lpstr>
      <vt:lpstr>Annex-GHG emissions CP1</vt:lpstr>
      <vt:lpstr>Working sheet</vt:lpstr>
      <vt:lpstr>'Annex-GHG emissions CP1'!Print_Area</vt:lpstr>
      <vt:lpstr>'GHG &amp; CO2 EMISSIONS'!Print_Area</vt:lpstr>
      <vt:lpstr>Guidance!Print_Area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Masatsugu AZUMA</dc:creator>
  <cp:lastModifiedBy>azuma</cp:lastModifiedBy>
  <cp:lastPrinted>2012-06-20T08:04:21Z</cp:lastPrinted>
  <dcterms:created xsi:type="dcterms:W3CDTF">2007-02-13T08:34:04Z</dcterms:created>
  <dcterms:modified xsi:type="dcterms:W3CDTF">2025-02-27T00:35:12Z</dcterms:modified>
</cp:coreProperties>
</file>